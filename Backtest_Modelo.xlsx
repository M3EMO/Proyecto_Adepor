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'Backtest'!$A$1:$AB$1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88888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3" customWidth="1" min="27" max="27"/>
    <col width="11" customWidth="1" min="28" max="28"/>
  </cols>
  <sheetData>
    <row r="1">
      <c r="A1" s="1" t="inlineStr">
        <is>
          <t>Fecha</t>
        </is>
      </c>
      <c r="B1" s="1" t="inlineStr">
        <is>
          <t>ID Partido</t>
        </is>
      </c>
      <c r="C1" s="1" t="inlineStr">
        <is>
          <t>Partido</t>
        </is>
      </c>
      <c r="D1" s="1" t="inlineStr">
        <is>
          <t>Local</t>
        </is>
      </c>
      <c r="E1" s="1" t="inlineStr">
        <is>
          <t>Visita</t>
        </is>
      </c>
      <c r="F1" s="1" t="inlineStr">
        <is>
          <t>Cuota 1</t>
        </is>
      </c>
      <c r="G1" s="1" t="inlineStr">
        <is>
          <t>Cuota X</t>
        </is>
      </c>
      <c r="H1" s="1" t="inlineStr">
        <is>
          <t>Cuota 2</t>
        </is>
      </c>
      <c r="I1" s="1" t="inlineStr">
        <is>
          <t>Cuota +2.5</t>
        </is>
      </c>
      <c r="J1" s="1" t="inlineStr">
        <is>
          <t>Cuota -2.5</t>
        </is>
      </c>
      <c r="K1" s="1" t="inlineStr">
        <is>
          <t>Liga</t>
        </is>
      </c>
      <c r="L1" s="1" t="inlineStr">
        <is>
          <t>Prob 1</t>
        </is>
      </c>
      <c r="M1" s="1" t="inlineStr">
        <is>
          <t>Prob X</t>
        </is>
      </c>
      <c r="N1" s="1" t="inlineStr">
        <is>
          <t>Prob 2</t>
        </is>
      </c>
      <c r="O1" s="1" t="inlineStr">
        <is>
          <t>Prob +2.5</t>
        </is>
      </c>
      <c r="P1" s="1" t="inlineStr">
        <is>
          <t>Prob -2.5</t>
        </is>
      </c>
      <c r="Q1" s="1" t="inlineStr">
        <is>
          <t>Goles L</t>
        </is>
      </c>
      <c r="R1" s="1" t="inlineStr">
        <is>
          <t>Goles V</t>
        </is>
      </c>
      <c r="S1" s="1" t="inlineStr">
        <is>
          <t>Apuesta 1X2</t>
        </is>
      </c>
      <c r="T1" s="1" t="inlineStr">
        <is>
          <t>Apuesta O/U 2.5</t>
        </is>
      </c>
      <c r="U1" s="1" t="inlineStr">
        <is>
          <t>Stake 1X2</t>
        </is>
      </c>
      <c r="V1" s="1" t="inlineStr">
        <is>
          <t>Stake O/U 2.5</t>
        </is>
      </c>
      <c r="W1" s="1" t="inlineStr">
        <is>
          <t>Acierto</t>
        </is>
      </c>
      <c r="X1" s="1" t="inlineStr">
        <is>
          <t>P/L Neto</t>
        </is>
      </c>
      <c r="Y1" s="1" t="inlineStr">
        <is>
          <t>Equity Curve</t>
        </is>
      </c>
      <c r="Z1" s="1" t="inlineStr">
        <is>
          <t>Brier Score</t>
        </is>
      </c>
      <c r="AA1" s="1" t="inlineStr">
        <is>
          <t>Incertidumbre</t>
        </is>
      </c>
      <c r="AB1" s="1" t="inlineStr">
        <is>
          <t>Auditoria</t>
        </is>
      </c>
    </row>
    <row r="2">
      <c r="A2" s="2" t="inlineStr">
        <is>
          <t>16/03/2026</t>
        </is>
      </c>
      <c r="B2" s="3" t="inlineStr">
        <is>
          <t>2026-03-16aldosivihuracan</t>
        </is>
      </c>
      <c r="C2" s="3" t="inlineStr">
        <is>
          <t>Aldosivi vs Huracan</t>
        </is>
      </c>
      <c r="D2" s="3" t="inlineStr">
        <is>
          <t>Aldosivi</t>
        </is>
      </c>
      <c r="E2" s="3" t="inlineStr">
        <is>
          <t>Huracan</t>
        </is>
      </c>
      <c r="F2" s="4" t="n">
        <v>4.25</v>
      </c>
      <c r="G2" s="4" t="n">
        <v>1.81</v>
      </c>
      <c r="H2" s="4" t="n">
        <v>3.45</v>
      </c>
      <c r="I2" s="4" t="n"/>
      <c r="J2" s="4" t="n"/>
      <c r="K2" s="2" t="inlineStr">
        <is>
          <t>Argentina</t>
        </is>
      </c>
      <c r="L2" s="5" t="n">
        <v>0.3864712194844517</v>
      </c>
      <c r="M2" s="5" t="n">
        <v>0.3029442947314572</v>
      </c>
      <c r="N2" s="5" t="n">
        <v>0.310584485784091</v>
      </c>
      <c r="O2" s="5" t="n">
        <v>0.3827775037433976</v>
      </c>
      <c r="P2" s="5" t="n">
        <v>0.6172224962566024</v>
      </c>
      <c r="Q2" s="2" t="n">
        <v>0</v>
      </c>
      <c r="R2" s="2" t="n">
        <v>0</v>
      </c>
      <c r="S2" s="3">
        <f>IF(OR(Q2="",R2=""),"[APOSTAR] LOCAL",IF(Q2&gt;R2,"[GANADA] LOCAL","[PERDIDA] LOCAL"))</f>
        <v/>
      </c>
      <c r="T2" s="3" t="inlineStr">
        <is>
          <t>[PASAR] Sin Cuotas</t>
        </is>
      </c>
      <c r="U2" s="6" t="n">
        <v>2500</v>
      </c>
      <c r="V2" s="6" t="n">
        <v>0</v>
      </c>
      <c r="W2" s="3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6">
        <f>100000.0+X2</f>
        <v/>
      </c>
      <c r="Z2" s="7">
        <f>IF(OR(Q2="",R2=""),"",(L2-IF(Q2&gt;R2,1,0))^2+(M2-IF(Q2=R2,1,0))^2+(N2-IF(Q2&lt;R2,1,0))^2)</f>
        <v/>
      </c>
      <c r="AA2" s="8" t="n">
        <v>0.6575</v>
      </c>
      <c r="AB2" s="2" t="inlineStr">
        <is>
          <t>NO</t>
        </is>
      </c>
    </row>
    <row r="3">
      <c r="A3" s="2" t="inlineStr">
        <is>
          <t>16/03/2026</t>
        </is>
      </c>
      <c r="B3" s="3" t="inlineStr">
        <is>
          <t>2026-03-16barracascentralatleticotucuman</t>
        </is>
      </c>
      <c r="C3" s="3" t="inlineStr">
        <is>
          <t>Barracas Central vs Atletico Tucuman</t>
        </is>
      </c>
      <c r="D3" s="3" t="inlineStr">
        <is>
          <t>Barracas Central</t>
        </is>
      </c>
      <c r="E3" s="3" t="inlineStr">
        <is>
          <t>Atletico Tucuman</t>
        </is>
      </c>
      <c r="F3" s="4" t="n">
        <v>1.36</v>
      </c>
      <c r="G3" s="4" t="n">
        <v>3.75</v>
      </c>
      <c r="H3" s="4" t="n">
        <v>13</v>
      </c>
      <c r="I3" s="4" t="n"/>
      <c r="J3" s="4" t="n"/>
      <c r="K3" s="2" t="inlineStr">
        <is>
          <t>Argentina</t>
        </is>
      </c>
      <c r="L3" s="5" t="n">
        <v>0.4475866949290641</v>
      </c>
      <c r="M3" s="5" t="n">
        <v>0.2604082983113981</v>
      </c>
      <c r="N3" s="5" t="n">
        <v>0.2920050067595378</v>
      </c>
      <c r="O3" s="5" t="n">
        <v>0.5339922462117932</v>
      </c>
      <c r="P3" s="5" t="n">
        <v>0.4660077537882068</v>
      </c>
      <c r="Q3" s="2" t="n">
        <v>2</v>
      </c>
      <c r="R3" s="2" t="n">
        <v>1</v>
      </c>
      <c r="S3" s="3" t="inlineStr">
        <is>
          <t>[PASAR] Riesgo/Beneficio</t>
        </is>
      </c>
      <c r="T3" s="3" t="inlineStr">
        <is>
          <t>[PASAR] Sin Cuotas</t>
        </is>
      </c>
      <c r="U3" s="6" t="n">
        <v>0</v>
      </c>
      <c r="V3" s="6" t="n">
        <v>0</v>
      </c>
      <c r="W3" s="3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6">
        <f>Y2+X3</f>
        <v/>
      </c>
      <c r="Z3" s="7">
        <f>IF(OR(Q3="",R3=""),"",(L3-IF(Q3&gt;R3,1,0))^2+(M3-IF(Q3=R3,1,0))^2+(N3-IF(Q3&lt;R3,1,0))^2)</f>
        <v/>
      </c>
      <c r="AA3" s="8" t="n">
        <v>0.5278</v>
      </c>
      <c r="AB3" s="2" t="inlineStr">
        <is>
          <t>NO</t>
        </is>
      </c>
    </row>
    <row r="4">
      <c r="A4" s="2" t="inlineStr">
        <is>
          <t>16/03/2026</t>
        </is>
      </c>
      <c r="B4" s="3" t="inlineStr">
        <is>
          <t>2026-03-16brentfordwolverhamptonwanderers</t>
        </is>
      </c>
      <c r="C4" s="3" t="inlineStr">
        <is>
          <t>Brentford vs Wolverhampton Wanderers</t>
        </is>
      </c>
      <c r="D4" s="3" t="inlineStr">
        <is>
          <t>Brentford</t>
        </is>
      </c>
      <c r="E4" s="3" t="inlineStr">
        <is>
          <t>Wolverhampton Wanderers</t>
        </is>
      </c>
      <c r="F4" s="4" t="n">
        <v>1.55</v>
      </c>
      <c r="G4" s="4" t="n">
        <v>4.55</v>
      </c>
      <c r="H4" s="4" t="n">
        <v>5.9</v>
      </c>
      <c r="I4" s="4" t="n">
        <v>1.65</v>
      </c>
      <c r="J4" s="4" t="n">
        <v>2.25</v>
      </c>
      <c r="K4" s="2" t="inlineStr">
        <is>
          <t>Inglaterra</t>
        </is>
      </c>
      <c r="L4" s="5" t="n">
        <v>0.434312261576528</v>
      </c>
      <c r="M4" s="5" t="n">
        <v>0.2744559912783204</v>
      </c>
      <c r="N4" s="5" t="n">
        <v>0.2912317471451517</v>
      </c>
      <c r="O4" s="5" t="n">
        <v>0.4665313709826981</v>
      </c>
      <c r="P4" s="5" t="n">
        <v>0.5334686290173019</v>
      </c>
      <c r="Q4" s="2" t="n">
        <v>2</v>
      </c>
      <c r="R4" s="2" t="n">
        <v>2</v>
      </c>
      <c r="S4" s="3" t="inlineStr">
        <is>
          <t>[PASAR] Riesgo/Beneficio</t>
        </is>
      </c>
      <c r="T4" s="3" t="inlineStr">
        <is>
          <t>[PASAR] Margen Predictivo O/U Insuficiente (&lt;15%)</t>
        </is>
      </c>
      <c r="U4" s="6" t="n">
        <v>0</v>
      </c>
      <c r="V4" s="6" t="n">
        <v>0</v>
      </c>
      <c r="W4" s="3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6">
        <f>Y3+X4</f>
        <v/>
      </c>
      <c r="Z4" s="7">
        <f>IF(OR(Q4="",R4=""),"",(L4-IF(Q4&gt;R4,1,0))^2+(M4-IF(Q4=R4,1,0))^2+(N4-IF(Q4&lt;R4,1,0))^2)</f>
        <v/>
      </c>
      <c r="AA4" s="8" t="n">
        <v>0.696</v>
      </c>
      <c r="AB4" s="2" t="inlineStr">
        <is>
          <t>NO</t>
        </is>
      </c>
    </row>
    <row r="5">
      <c r="A5" s="2" t="inlineStr">
        <is>
          <t>16/03/2026</t>
        </is>
      </c>
      <c r="B5" s="3" t="inlineStr">
        <is>
          <t>2026-03-16chapecoensegremio</t>
        </is>
      </c>
      <c r="C5" s="3" t="inlineStr">
        <is>
          <t>Chapecoense vs Gremio</t>
        </is>
      </c>
      <c r="D5" s="3" t="inlineStr">
        <is>
          <t>Chapecoense</t>
        </is>
      </c>
      <c r="E5" s="3" t="inlineStr">
        <is>
          <t>Gremio</t>
        </is>
      </c>
      <c r="F5" s="4" t="n">
        <v>2.75</v>
      </c>
      <c r="G5" s="4" t="n">
        <v>3.3</v>
      </c>
      <c r="H5" s="4" t="n">
        <v>2.3</v>
      </c>
      <c r="I5" s="4" t="n">
        <v>1.92</v>
      </c>
      <c r="J5" s="4" t="n">
        <v>1.93</v>
      </c>
      <c r="K5" s="2" t="inlineStr">
        <is>
          <t>Brasil</t>
        </is>
      </c>
      <c r="L5" s="5" t="n">
        <v>0.3937692386797181</v>
      </c>
      <c r="M5" s="5" t="n">
        <v>0.2279151618356524</v>
      </c>
      <c r="N5" s="5" t="n">
        <v>0.3783155994846295</v>
      </c>
      <c r="O5" s="5" t="n">
        <v>0.6909968073204885</v>
      </c>
      <c r="P5" s="5" t="n">
        <v>0.3090031926795115</v>
      </c>
      <c r="Q5" s="2" t="n">
        <v>1</v>
      </c>
      <c r="R5" s="2" t="n">
        <v>1</v>
      </c>
      <c r="S5" s="3" t="inlineStr">
        <is>
          <t>[PASAR] Margen Predictivo Insuficiente (&lt;5%)</t>
        </is>
      </c>
      <c r="T5" s="3">
        <f>IF(OR(Q5="",R5=""),"[APOSTAR] OVER 2.5",IF((Q5+R5)&gt;2.5,"[GANADA] OVER 2.5","[PERDIDA] OVER 2.5"))</f>
        <v/>
      </c>
      <c r="U5" s="6" t="n">
        <v>0</v>
      </c>
      <c r="V5" s="6" t="n">
        <v>2500</v>
      </c>
      <c r="W5" s="3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6">
        <f>Y4+X5</f>
        <v/>
      </c>
      <c r="Z5" s="7">
        <f>IF(OR(Q5="",R5=""),"",(L5-IF(Q5&gt;R5,1,0))^2+(M5-IF(Q5=R5,1,0))^2+(N5-IF(Q5&lt;R5,1,0))^2)</f>
        <v/>
      </c>
      <c r="AA5" s="8" t="n">
        <v>0.7547</v>
      </c>
      <c r="AB5" s="2" t="inlineStr">
        <is>
          <t>NO</t>
        </is>
      </c>
    </row>
    <row r="6">
      <c r="A6" s="2" t="inlineStr">
        <is>
          <t>16/03/2026</t>
        </is>
      </c>
      <c r="B6" s="3" t="inlineStr">
        <is>
          <t>2026-03-16institutodecordobaindependiente</t>
        </is>
      </c>
      <c r="C6" s="3" t="inlineStr">
        <is>
          <t>Instituto (córdoba) vs Independiente</t>
        </is>
      </c>
      <c r="D6" s="3" t="inlineStr">
        <is>
          <t>Instituto (córdoba)</t>
        </is>
      </c>
      <c r="E6" s="3" t="inlineStr">
        <is>
          <t>Independiente</t>
        </is>
      </c>
      <c r="F6" s="4" t="n">
        <v>2.63</v>
      </c>
      <c r="G6" s="4" t="n">
        <v>3</v>
      </c>
      <c r="H6" s="4" t="n">
        <v>2.85</v>
      </c>
      <c r="I6" s="4" t="n">
        <v>2.68</v>
      </c>
      <c r="J6" s="4" t="n">
        <v>1.46</v>
      </c>
      <c r="K6" s="2" t="inlineStr">
        <is>
          <t>Argentina</t>
        </is>
      </c>
      <c r="L6" s="5" t="n">
        <v>0.3773418111731573</v>
      </c>
      <c r="M6" s="5" t="n">
        <v>0.2979746723846374</v>
      </c>
      <c r="N6" s="5" t="n">
        <v>0.3246835164422053</v>
      </c>
      <c r="O6" s="5" t="n">
        <v>0.4019708307918864</v>
      </c>
      <c r="P6" s="5" t="n">
        <v>0.5980291692081134</v>
      </c>
      <c r="Q6" s="2" t="n">
        <v>2</v>
      </c>
      <c r="R6" s="2" t="n">
        <v>1</v>
      </c>
      <c r="S6" s="3" t="inlineStr">
        <is>
          <t>[PASAR] Riesgo/Beneficio</t>
        </is>
      </c>
      <c r="T6" s="3" t="inlineStr">
        <is>
          <t>[PASAR] Sin Valor</t>
        </is>
      </c>
      <c r="U6" s="6" t="n">
        <v>0</v>
      </c>
      <c r="V6" s="6" t="n">
        <v>0</v>
      </c>
      <c r="W6" s="3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6">
        <f>Y5+X6</f>
        <v/>
      </c>
      <c r="Z6" s="7">
        <f>IF(OR(Q6="",R6=""),"",(L6-IF(Q6&gt;R6,1,0))^2+(M6-IF(Q6=R6,1,0))^2+(N6-IF(Q6&lt;R6,1,0))^2)</f>
        <v/>
      </c>
      <c r="AA6" s="8" t="n">
        <v>0.546</v>
      </c>
      <c r="AB6" s="2" t="inlineStr">
        <is>
          <t>NO</t>
        </is>
      </c>
    </row>
    <row r="7">
      <c r="A7" s="2" t="inlineStr">
        <is>
          <t>16/03/2026</t>
        </is>
      </c>
      <c r="B7" s="3" t="inlineStr">
        <is>
          <t>2026-03-16racingclubestudiantesderiocuarto</t>
        </is>
      </c>
      <c r="C7" s="3" t="inlineStr">
        <is>
          <t>Racing Club vs Estudiantes de Rio Cuarto</t>
        </is>
      </c>
      <c r="D7" s="3" t="inlineStr">
        <is>
          <t>Racing Club</t>
        </is>
      </c>
      <c r="E7" s="3" t="inlineStr">
        <is>
          <t>Estudiantes de Rio Cuarto</t>
        </is>
      </c>
      <c r="F7" s="4" t="n">
        <v>1.42</v>
      </c>
      <c r="G7" s="4" t="n">
        <v>4.2</v>
      </c>
      <c r="H7" s="4" t="n">
        <v>8.5</v>
      </c>
      <c r="I7" s="4" t="n">
        <v>2.2</v>
      </c>
      <c r="J7" s="4" t="n">
        <v>1.63</v>
      </c>
      <c r="K7" s="2" t="inlineStr">
        <is>
          <t>Argentina</t>
        </is>
      </c>
      <c r="L7" s="5" t="n">
        <v>0.4563664869848881</v>
      </c>
      <c r="M7" s="5" t="n">
        <v>0.2838899717075707</v>
      </c>
      <c r="N7" s="5" t="n">
        <v>0.2597435413075411</v>
      </c>
      <c r="O7" s="5" t="n">
        <v>0.4272824863232347</v>
      </c>
      <c r="P7" s="5" t="n">
        <v>0.5727175136767653</v>
      </c>
      <c r="Q7" s="2" t="n">
        <v>2</v>
      </c>
      <c r="R7" s="2" t="n">
        <v>0</v>
      </c>
      <c r="S7" s="3" t="inlineStr">
        <is>
          <t>[PASAR] Riesgo/Beneficio</t>
        </is>
      </c>
      <c r="T7" s="3" t="inlineStr">
        <is>
          <t>[PASAR] Margen Predictivo O/U Insuficiente (&lt;15%)</t>
        </is>
      </c>
      <c r="U7" s="6" t="n">
        <v>0</v>
      </c>
      <c r="V7" s="6" t="n">
        <v>0</v>
      </c>
      <c r="W7" s="3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6">
        <f>Y6+X7</f>
        <v/>
      </c>
      <c r="Z7" s="7">
        <f>IF(OR(Q7="",R7=""),"",(L7-IF(Q7&gt;R7,1,0))^2+(M7-IF(Q7=R7,1,0))^2+(N7-IF(Q7&lt;R7,1,0))^2)</f>
        <v/>
      </c>
      <c r="AA7" s="8" t="n">
        <v>0.5891999999999999</v>
      </c>
      <c r="AB7" s="2" t="inlineStr">
        <is>
          <t>NO</t>
        </is>
      </c>
    </row>
    <row r="8">
      <c r="A8" s="2" t="inlineStr">
        <is>
          <t>16/03/2026</t>
        </is>
      </c>
      <c r="B8" s="3" t="inlineStr">
        <is>
          <t>2026-03-16sanlorenzodefensayjusticia</t>
        </is>
      </c>
      <c r="C8" s="3" t="inlineStr">
        <is>
          <t>San Lorenzo vs Defensa y Justicia</t>
        </is>
      </c>
      <c r="D8" s="3" t="inlineStr">
        <is>
          <t>San Lorenzo</t>
        </is>
      </c>
      <c r="E8" s="3" t="inlineStr">
        <is>
          <t>Defensa y Justicia</t>
        </is>
      </c>
      <c r="F8" s="4" t="n">
        <v>2.2</v>
      </c>
      <c r="G8" s="4" t="n">
        <v>2.95</v>
      </c>
      <c r="H8" s="4" t="n">
        <v>3.7</v>
      </c>
      <c r="I8" s="4" t="n">
        <v>2.95</v>
      </c>
      <c r="J8" s="4" t="n">
        <v>1.39</v>
      </c>
      <c r="K8" s="2" t="inlineStr">
        <is>
          <t>Argentina</t>
        </is>
      </c>
      <c r="L8" s="5" t="n">
        <v>0.3798615710572955</v>
      </c>
      <c r="M8" s="5" t="n">
        <v>0.2847329793347727</v>
      </c>
      <c r="N8" s="5" t="n">
        <v>0.3354054496079319</v>
      </c>
      <c r="O8" s="5" t="n">
        <v>0.4513030188855334</v>
      </c>
      <c r="P8" s="5" t="n">
        <v>0.5486969811144666</v>
      </c>
      <c r="Q8" s="2" t="n">
        <v>2</v>
      </c>
      <c r="R8" s="2" t="n">
        <v>5</v>
      </c>
      <c r="S8" s="3" t="inlineStr">
        <is>
          <t>[PASAR] Margen Predictivo Insuficiente (&lt;5%)</t>
        </is>
      </c>
      <c r="T8" s="3" t="inlineStr">
        <is>
          <t>[PASAR] Margen Predictivo O/U Insuficiente (&lt;15%)</t>
        </is>
      </c>
      <c r="U8" s="6" t="n">
        <v>0</v>
      </c>
      <c r="V8" s="6" t="n">
        <v>0</v>
      </c>
      <c r="W8" s="3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6">
        <f>Y7+X8</f>
        <v/>
      </c>
      <c r="Z8" s="7">
        <f>IF(OR(Q8="",R8=""),"",(L8-IF(Q8&gt;R8,1,0))^2+(M8-IF(Q8=R8,1,0))^2+(N8-IF(Q8&lt;R8,1,0))^2)</f>
        <v/>
      </c>
      <c r="AA8" s="8" t="n">
        <v>0.7539</v>
      </c>
      <c r="AB8" s="2" t="inlineStr">
        <is>
          <t>NO</t>
        </is>
      </c>
    </row>
    <row r="9">
      <c r="A9" s="2" t="inlineStr">
        <is>
          <t>17/03/2026</t>
        </is>
      </c>
      <c r="B9" s="3" t="inlineStr">
        <is>
          <t>2026-03-17centralcordobadeportivoriestra</t>
        </is>
      </c>
      <c r="C9" s="3" t="inlineStr">
        <is>
          <t>Central Córdoba (santiago del Estero) vs Deportivo Riestra</t>
        </is>
      </c>
      <c r="D9" s="3" t="inlineStr">
        <is>
          <t>Central Córdoba (santiago del Estero)</t>
        </is>
      </c>
      <c r="E9" s="3" t="inlineStr">
        <is>
          <t>Deportivo Riestra</t>
        </is>
      </c>
      <c r="F9" s="4" t="n">
        <v>2.9</v>
      </c>
      <c r="G9" s="4" t="n">
        <v>2.6</v>
      </c>
      <c r="H9" s="4" t="n">
        <v>3.05</v>
      </c>
      <c r="I9" s="4" t="n">
        <v>3.7</v>
      </c>
      <c r="J9" s="4" t="n">
        <v>1.27</v>
      </c>
      <c r="K9" s="2" t="inlineStr">
        <is>
          <t>Argentina</t>
        </is>
      </c>
      <c r="L9" s="5" t="n">
        <v>0.4069740211310929</v>
      </c>
      <c r="M9" s="5" t="n">
        <v>0.3120677683623739</v>
      </c>
      <c r="N9" s="5" t="n">
        <v>0.2809582105065332</v>
      </c>
      <c r="O9" s="5" t="n">
        <v>0.3464517962857688</v>
      </c>
      <c r="P9" s="5" t="n">
        <v>0.6535482037142312</v>
      </c>
      <c r="Q9" s="2" t="n">
        <v>1</v>
      </c>
      <c r="R9" s="2" t="n">
        <v>0</v>
      </c>
      <c r="S9" s="3">
        <f>IF(OR(Q9="",R9=""),"[APOSTAR] LOCAL",IF(Q9&gt;R9,"[GANADA] LOCAL","[PERDIDA] LOCAL"))</f>
        <v/>
      </c>
      <c r="T9" s="3" t="inlineStr">
        <is>
          <t>[PASAR] Sin Valor</t>
        </is>
      </c>
      <c r="U9" s="6" t="n">
        <v>1767.77</v>
      </c>
      <c r="V9" s="6" t="n">
        <v>0</v>
      </c>
      <c r="W9" s="3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6">
        <f>Y8+X9</f>
        <v/>
      </c>
      <c r="Z9" s="7">
        <f>IF(OR(Q9="",R9=""),"",(L9-IF(Q9&gt;R9,1,0))^2+(M9-IF(Q9=R9,1,0))^2+(N9-IF(Q9&lt;R9,1,0))^2)</f>
        <v/>
      </c>
      <c r="AA9" s="8" t="n">
        <v>0.4799</v>
      </c>
      <c r="AB9" s="2" t="inlineStr">
        <is>
          <t>NO</t>
        </is>
      </c>
    </row>
    <row r="10">
      <c r="A10" s="2" t="inlineStr">
        <is>
          <t>17/03/2026</t>
        </is>
      </c>
      <c r="B10" s="3" t="inlineStr">
        <is>
          <t>2026-03-17gimnasiamendozaestudiantes</t>
        </is>
      </c>
      <c r="C10" s="3" t="inlineStr">
        <is>
          <t>Gimnasia Mendoza vs Estudiantes de la Plata</t>
        </is>
      </c>
      <c r="D10" s="3" t="inlineStr">
        <is>
          <t>Gimnasia Mendoza</t>
        </is>
      </c>
      <c r="E10" s="3" t="inlineStr">
        <is>
          <t>Estudiantes de la Plata</t>
        </is>
      </c>
      <c r="F10" s="4" t="n">
        <v>3.6</v>
      </c>
      <c r="G10" s="4" t="n">
        <v>2.85</v>
      </c>
      <c r="H10" s="4" t="n">
        <v>2.32</v>
      </c>
      <c r="I10" s="4" t="n">
        <v>3.15</v>
      </c>
      <c r="J10" s="4" t="n">
        <v>1.35</v>
      </c>
      <c r="K10" s="2" t="inlineStr">
        <is>
          <t>Argentina</t>
        </is>
      </c>
      <c r="L10" s="5" t="n">
        <v>0.3251529677910009</v>
      </c>
      <c r="M10" s="5" t="n">
        <v>0.2954016341458891</v>
      </c>
      <c r="N10" s="5" t="n">
        <v>0.3794453980631101</v>
      </c>
      <c r="O10" s="5" t="n">
        <v>0.4109755725200973</v>
      </c>
      <c r="P10" s="5" t="n">
        <v>0.5890244274799028</v>
      </c>
      <c r="Q10" s="2" t="n">
        <v>1</v>
      </c>
      <c r="R10" s="2" t="n">
        <v>2</v>
      </c>
      <c r="S10" s="3">
        <f>IF(OR(Q10="",R10=""),"[APOSTAR] LOCAL",IF(Q10&gt;R10,"[GANADA] LOCAL","[PERDIDA] LOCAL"))</f>
        <v/>
      </c>
      <c r="T10" s="3" t="inlineStr">
        <is>
          <t>[PASAR] Sin Valor</t>
        </is>
      </c>
      <c r="U10" s="6" t="n">
        <v>1767.77</v>
      </c>
      <c r="V10" s="6" t="n">
        <v>0</v>
      </c>
      <c r="W10" s="3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6">
        <f>Y9+X10</f>
        <v/>
      </c>
      <c r="Z10" s="7">
        <f>IF(OR(Q10="",R10=""),"",(L10-IF(Q10&gt;R10,1,0))^2+(M10-IF(Q10=R10,1,0))^2+(N10-IF(Q10&lt;R10,1,0))^2)</f>
        <v/>
      </c>
      <c r="AA10" s="8" t="n">
        <v>0.5361</v>
      </c>
      <c r="AB10" s="2" t="inlineStr">
        <is>
          <t>NO</t>
        </is>
      </c>
    </row>
    <row r="11">
      <c r="A11" s="2" t="inlineStr">
        <is>
          <t>17/03/2026</t>
        </is>
      </c>
      <c r="B11" s="3" t="inlineStr">
        <is>
          <t>2026-03-17lanusnewells</t>
        </is>
      </c>
      <c r="C11" s="3" t="inlineStr">
        <is>
          <t>Lanus vs Newell's Old Boys</t>
        </is>
      </c>
      <c r="D11" s="3" t="inlineStr">
        <is>
          <t>Lanus</t>
        </is>
      </c>
      <c r="E11" s="3" t="inlineStr">
        <is>
          <t>Newell's Old Boys</t>
        </is>
      </c>
      <c r="F11" s="4" t="n">
        <v>1.75</v>
      </c>
      <c r="G11" s="4" t="n">
        <v>3.45</v>
      </c>
      <c r="H11" s="4" t="n">
        <v>5.1</v>
      </c>
      <c r="I11" s="4" t="n">
        <v>2.3</v>
      </c>
      <c r="J11" s="4" t="n">
        <v>1.6</v>
      </c>
      <c r="K11" s="2" t="inlineStr">
        <is>
          <t>Argentina</t>
        </is>
      </c>
      <c r="L11" s="5" t="n">
        <v>0.5389595970726782</v>
      </c>
      <c r="M11" s="5" t="n">
        <v>0.2438527042840704</v>
      </c>
      <c r="N11" s="5" t="n">
        <v>0.2171876986432515</v>
      </c>
      <c r="O11" s="5" t="n">
        <v>0.5422530919991749</v>
      </c>
      <c r="P11" s="5" t="n">
        <v>0.4577469080008251</v>
      </c>
      <c r="Q11" s="2" t="n">
        <v>5</v>
      </c>
      <c r="R11" s="2" t="n">
        <v>0</v>
      </c>
      <c r="S11" s="3" t="inlineStr">
        <is>
          <t>[PASAR] Riesgo/Beneficio</t>
        </is>
      </c>
      <c r="T11" s="3" t="inlineStr">
        <is>
          <t>[PASAR] Margen Predictivo O/U Insuficiente (&lt;15%)</t>
        </is>
      </c>
      <c r="U11" s="6" t="n">
        <v>0</v>
      </c>
      <c r="V11" s="6" t="n">
        <v>0</v>
      </c>
      <c r="W11" s="3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6">
        <f>Y10+X11</f>
        <v/>
      </c>
      <c r="Z11" s="7">
        <f>IF(OR(Q11="",R11=""),"",(L11-IF(Q11&gt;R11,1,0))^2+(M11-IF(Q11=R11,1,0))^2+(N11-IF(Q11&lt;R11,1,0))^2)</f>
        <v/>
      </c>
      <c r="AA11" s="8" t="n">
        <v>0.8588</v>
      </c>
      <c r="AB11" s="2" t="inlineStr">
        <is>
          <t>NO</t>
        </is>
      </c>
    </row>
    <row r="12">
      <c r="A12" s="2" t="inlineStr">
        <is>
          <t>18/03/2026</t>
        </is>
      </c>
      <c r="B12" s="3" t="inlineStr">
        <is>
          <t>2026-03-18alanyasporkocaelispor</t>
        </is>
      </c>
      <c r="C12" s="3" t="inlineStr">
        <is>
          <t>Alanyaspor vs Kocaelispor</t>
        </is>
      </c>
      <c r="D12" s="3" t="inlineStr">
        <is>
          <t>Alanyaspor</t>
        </is>
      </c>
      <c r="E12" s="3" t="inlineStr">
        <is>
          <t>Kocaelispor</t>
        </is>
      </c>
      <c r="F12" s="4" t="n"/>
      <c r="G12" s="4" t="n"/>
      <c r="H12" s="4" t="n"/>
      <c r="I12" s="4" t="n"/>
      <c r="J12" s="4" t="n"/>
      <c r="K12" s="2" t="inlineStr">
        <is>
          <t>Turquia</t>
        </is>
      </c>
      <c r="L12" s="5" t="n">
        <v>0.4714950682292441</v>
      </c>
      <c r="M12" s="5" t="n">
        <v>0.2827861433763474</v>
      </c>
      <c r="N12" s="5" t="n">
        <v>0.2457187883944085</v>
      </c>
      <c r="O12" s="5" t="n">
        <v>0.4148022099731867</v>
      </c>
      <c r="P12" s="5" t="n">
        <v>0.5851977900268133</v>
      </c>
      <c r="Q12" s="2" t="n">
        <v>5</v>
      </c>
      <c r="R12" s="2" t="n">
        <v>0</v>
      </c>
      <c r="S12" s="3" t="inlineStr">
        <is>
          <t>[PASAR] Sin Cuotas</t>
        </is>
      </c>
      <c r="T12" s="3" t="inlineStr">
        <is>
          <t>[PASAR] Sin Cuotas</t>
        </is>
      </c>
      <c r="U12" s="6" t="n">
        <v>0</v>
      </c>
      <c r="V12" s="6" t="n">
        <v>0</v>
      </c>
      <c r="W12" s="3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6">
        <f>Y11+X12</f>
        <v/>
      </c>
      <c r="Z12" s="7">
        <f>IF(OR(Q12="",R12=""),"",(L12-IF(Q12&gt;R12,1,0))^2+(M12-IF(Q12=R12,1,0))^2+(N12-IF(Q12&lt;R12,1,0))^2)</f>
        <v/>
      </c>
      <c r="AA12" s="8" t="n">
        <v>0.7444</v>
      </c>
      <c r="AB12" s="2" t="inlineStr">
        <is>
          <t>NO</t>
        </is>
      </c>
    </row>
    <row r="13">
      <c r="A13" s="2" t="inlineStr">
        <is>
          <t>18/03/2026</t>
        </is>
      </c>
      <c r="B13" s="3" t="inlineStr">
        <is>
          <t>2026-03-18atleticomineirosaopaulo</t>
        </is>
      </c>
      <c r="C13" s="3" t="inlineStr">
        <is>
          <t>Atlético-mg vs Sao Paulo</t>
        </is>
      </c>
      <c r="D13" s="3" t="inlineStr">
        <is>
          <t>Atlético-mg</t>
        </is>
      </c>
      <c r="E13" s="3" t="inlineStr">
        <is>
          <t>Sao Paulo</t>
        </is>
      </c>
      <c r="F13" s="4" t="n"/>
      <c r="G13" s="4" t="n">
        <v>3.05</v>
      </c>
      <c r="H13" s="4" t="n"/>
      <c r="I13" s="4" t="n"/>
      <c r="J13" s="4" t="n"/>
      <c r="K13" s="2" t="inlineStr">
        <is>
          <t>Brasil</t>
        </is>
      </c>
      <c r="L13" s="5" t="n">
        <v>0.4728948126338116</v>
      </c>
      <c r="M13" s="5" t="n">
        <v>0.2408276612984365</v>
      </c>
      <c r="N13" s="5" t="n">
        <v>0.2862775260677519</v>
      </c>
      <c r="O13" s="5" t="n">
        <v>0.6015291871790185</v>
      </c>
      <c r="P13" s="5" t="n">
        <v>0.3984708128209815</v>
      </c>
      <c r="Q13" s="2" t="n">
        <v>1</v>
      </c>
      <c r="R13" s="2" t="n">
        <v>0</v>
      </c>
      <c r="S13" s="3" t="inlineStr">
        <is>
          <t>[PASAR] Sin Cuotas</t>
        </is>
      </c>
      <c r="T13" s="3" t="inlineStr">
        <is>
          <t>[PASAR] Sin Cuotas</t>
        </is>
      </c>
      <c r="U13" s="6" t="n">
        <v>0</v>
      </c>
      <c r="V13" s="6" t="n">
        <v>0</v>
      </c>
      <c r="W13" s="3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6">
        <f>Y12+X13</f>
        <v/>
      </c>
      <c r="Z13" s="7">
        <f>IF(OR(Q13="",R13=""),"",(L13-IF(Q13&gt;R13,1,0))^2+(M13-IF(Q13=R13,1,0))^2+(N13-IF(Q13&lt;R13,1,0))^2)</f>
        <v/>
      </c>
      <c r="AA13" s="8" t="n">
        <v>1.0764</v>
      </c>
      <c r="AB13" s="2" t="inlineStr">
        <is>
          <t>NO</t>
        </is>
      </c>
    </row>
    <row r="14">
      <c r="A14" s="2" t="inlineStr">
        <is>
          <t>18/03/2026</t>
        </is>
      </c>
      <c r="B14" s="3" t="inlineStr">
        <is>
          <t>2026-03-18atleticoparanaensecruzeiro</t>
        </is>
      </c>
      <c r="C14" s="3" t="inlineStr">
        <is>
          <t>Atletico Paranaense vs Cruzeiro</t>
        </is>
      </c>
      <c r="D14" s="3" t="inlineStr">
        <is>
          <t>Atletico Paranaense</t>
        </is>
      </c>
      <c r="E14" s="3" t="inlineStr">
        <is>
          <t>Cruzeiro</t>
        </is>
      </c>
      <c r="F14" s="4" t="n"/>
      <c r="G14" s="4" t="n">
        <v>3.2</v>
      </c>
      <c r="H14" s="4" t="n"/>
      <c r="I14" s="4" t="n"/>
      <c r="J14" s="4" t="n"/>
      <c r="K14" s="2" t="inlineStr">
        <is>
          <t>Brasil</t>
        </is>
      </c>
      <c r="L14" s="5" t="n">
        <v>0.480074836052128</v>
      </c>
      <c r="M14" s="5" t="n">
        <v>0.2574266969407835</v>
      </c>
      <c r="N14" s="5" t="n">
        <v>0.2624984670070885</v>
      </c>
      <c r="O14" s="5" t="n">
        <v>0.5155127869565838</v>
      </c>
      <c r="P14" s="5" t="n">
        <v>0.4844872130434162</v>
      </c>
      <c r="Q14" s="2" t="n">
        <v>2</v>
      </c>
      <c r="R14" s="2" t="n">
        <v>1</v>
      </c>
      <c r="S14" s="3" t="inlineStr">
        <is>
          <t>[PASAR] Sin Cuotas</t>
        </is>
      </c>
      <c r="T14" s="3" t="inlineStr">
        <is>
          <t>[PASAR] Sin Cuotas</t>
        </is>
      </c>
      <c r="U14" s="6" t="n">
        <v>0</v>
      </c>
      <c r="V14" s="6" t="n">
        <v>0</v>
      </c>
      <c r="W14" s="3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6">
        <f>Y13+X14</f>
        <v/>
      </c>
      <c r="Z14" s="7">
        <f>IF(OR(Q14="",R14=""),"",(L14-IF(Q14&gt;R14,1,0))^2+(M14-IF(Q14=R14,1,0))^2+(N14-IF(Q14&lt;R14,1,0))^2)</f>
        <v/>
      </c>
      <c r="AA14" s="8" t="n">
        <v>0.643</v>
      </c>
      <c r="AB14" s="2" t="inlineStr">
        <is>
          <t>NO</t>
        </is>
      </c>
    </row>
    <row r="15">
      <c r="A15" s="2" t="inlineStr">
        <is>
          <t>18/03/2026</t>
        </is>
      </c>
      <c r="B15" s="3" t="inlineStr">
        <is>
          <t>2026-03-18bahiabragantinosp</t>
        </is>
      </c>
      <c r="C15" s="3" t="inlineStr">
        <is>
          <t>Bahia vs Red Bull Bragantino</t>
        </is>
      </c>
      <c r="D15" s="3" t="inlineStr">
        <is>
          <t>Bahia</t>
        </is>
      </c>
      <c r="E15" s="3" t="inlineStr">
        <is>
          <t>Red Bull Bragantino</t>
        </is>
      </c>
      <c r="F15" s="4" t="n"/>
      <c r="G15" s="4" t="n">
        <v>3.75</v>
      </c>
      <c r="H15" s="4" t="n"/>
      <c r="I15" s="4" t="n"/>
      <c r="J15" s="4" t="n"/>
      <c r="K15" s="2" t="inlineStr">
        <is>
          <t>Brasil</t>
        </is>
      </c>
      <c r="L15" s="5" t="n">
        <v>0.5376016251385659</v>
      </c>
      <c r="M15" s="5" t="n">
        <v>0.2271711103765085</v>
      </c>
      <c r="N15" s="5" t="n">
        <v>0.2352272644849256</v>
      </c>
      <c r="O15" s="5" t="n">
        <v>0.6197678553969835</v>
      </c>
      <c r="P15" s="5" t="n">
        <v>0.3802321446030164</v>
      </c>
      <c r="Q15" s="2" t="n">
        <v>2</v>
      </c>
      <c r="R15" s="2" t="n">
        <v>0</v>
      </c>
      <c r="S15" s="3" t="inlineStr">
        <is>
          <t>[PASAR] Sin Cuotas</t>
        </is>
      </c>
      <c r="T15" s="3" t="inlineStr">
        <is>
          <t>[PASAR] Sin Cuotas</t>
        </is>
      </c>
      <c r="U15" s="6" t="n">
        <v>0</v>
      </c>
      <c r="V15" s="6" t="n">
        <v>0</v>
      </c>
      <c r="W15" s="3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6">
        <f>Y14+X15</f>
        <v/>
      </c>
      <c r="Z15" s="7">
        <f>IF(OR(Q15="",R15=""),"",(L15-IF(Q15&gt;R15,1,0))^2+(M15-IF(Q15=R15,1,0))^2+(N15-IF(Q15&lt;R15,1,0))^2)</f>
        <v/>
      </c>
      <c r="AA15" s="8" t="n">
        <v>0.7623</v>
      </c>
      <c r="AB15" s="2" t="inlineStr">
        <is>
          <t>NO</t>
        </is>
      </c>
    </row>
    <row r="16">
      <c r="A16" s="2" t="inlineStr">
        <is>
          <t>18/03/2026</t>
        </is>
      </c>
      <c r="B16" s="3" t="inlineStr">
        <is>
          <t>2026-03-18caykurrizesporsamsunspor</t>
        </is>
      </c>
      <c r="C16" s="3" t="inlineStr">
        <is>
          <t>Caykur Rizespor vs Samsunspor</t>
        </is>
      </c>
      <c r="D16" s="3" t="inlineStr">
        <is>
          <t>Caykur Rizespor</t>
        </is>
      </c>
      <c r="E16" s="3" t="inlineStr">
        <is>
          <t>Samsunspor</t>
        </is>
      </c>
      <c r="F16" s="4" t="n"/>
      <c r="G16" s="4" t="n"/>
      <c r="H16" s="4" t="n"/>
      <c r="I16" s="4" t="n"/>
      <c r="J16" s="4" t="n"/>
      <c r="K16" s="2" t="inlineStr">
        <is>
          <t>Turquia</t>
        </is>
      </c>
      <c r="L16" s="5" t="n">
        <v>0.4143338364837813</v>
      </c>
      <c r="M16" s="5" t="n">
        <v>0.2731865517515846</v>
      </c>
      <c r="N16" s="5" t="n">
        <v>0.3124796117646341</v>
      </c>
      <c r="O16" s="5" t="n">
        <v>0.4828233891977304</v>
      </c>
      <c r="P16" s="5" t="n">
        <v>0.5171766108022696</v>
      </c>
      <c r="Q16" s="9" t="n"/>
      <c r="R16" s="9" t="n"/>
      <c r="S16" s="3" t="inlineStr">
        <is>
          <t>[PASAR] Sin Cuotas</t>
        </is>
      </c>
      <c r="T16" s="3" t="inlineStr">
        <is>
          <t>[PASAR] Sin Cuotas</t>
        </is>
      </c>
      <c r="U16" s="6" t="n">
        <v>0</v>
      </c>
      <c r="V16" s="6" t="n">
        <v>0</v>
      </c>
      <c r="W16" s="3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6">
        <f>Y15+X16</f>
        <v/>
      </c>
      <c r="Z16" s="7">
        <f>IF(OR(Q16="",R16=""),"",(L16-IF(Q16&gt;R16,1,0))^2+(M16-IF(Q16=R16,1,0))^2+(N16-IF(Q16&lt;R16,1,0))^2)</f>
        <v/>
      </c>
      <c r="AA16" s="8" t="n">
        <v>0.859</v>
      </c>
      <c r="AB16" s="2" t="inlineStr">
        <is>
          <t>NO</t>
        </is>
      </c>
    </row>
    <row r="17">
      <c r="A17" s="2" t="inlineStr">
        <is>
          <t>18/03/2026</t>
        </is>
      </c>
      <c r="B17" s="3" t="inlineStr">
        <is>
          <t>2026-03-18eyupsportrabzonspor</t>
        </is>
      </c>
      <c r="C17" s="3" t="inlineStr">
        <is>
          <t>Eyupspor vs Trabzonspor</t>
        </is>
      </c>
      <c r="D17" s="3" t="inlineStr">
        <is>
          <t>Eyupspor</t>
        </is>
      </c>
      <c r="E17" s="3" t="inlineStr">
        <is>
          <t>Trabzonspor</t>
        </is>
      </c>
      <c r="F17" s="4" t="n"/>
      <c r="G17" s="4" t="n"/>
      <c r="H17" s="4" t="n"/>
      <c r="I17" s="4" t="n"/>
      <c r="J17" s="4" t="n"/>
      <c r="K17" s="2" t="inlineStr">
        <is>
          <t>Turquia</t>
        </is>
      </c>
      <c r="L17" s="5" t="n">
        <v>0.2861270283395916</v>
      </c>
      <c r="M17" s="5" t="n">
        <v>0.2607651812525669</v>
      </c>
      <c r="N17" s="5" t="n">
        <v>0.4531077904078414</v>
      </c>
      <c r="O17" s="5" t="n">
        <v>0.5214361653599625</v>
      </c>
      <c r="P17" s="5" t="n">
        <v>0.4785638346400374</v>
      </c>
      <c r="Q17" s="2" t="n">
        <v>0</v>
      </c>
      <c r="R17" s="2" t="n">
        <v>1</v>
      </c>
      <c r="S17" s="3" t="inlineStr">
        <is>
          <t>[PASAR] Sin Cuotas</t>
        </is>
      </c>
      <c r="T17" s="3" t="inlineStr">
        <is>
          <t>[PASAR] Sin Cuotas</t>
        </is>
      </c>
      <c r="U17" s="6" t="n">
        <v>0</v>
      </c>
      <c r="V17" s="6" t="n">
        <v>0</v>
      </c>
      <c r="W17" s="3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6">
        <f>Y16+X17</f>
        <v/>
      </c>
      <c r="Z17" s="7">
        <f>IF(OR(Q17="",R17=""),"",(L17-IF(Q17&gt;R17,1,0))^2+(M17-IF(Q17=R17,1,0))^2+(N17-IF(Q17&lt;R17,1,0))^2)</f>
        <v/>
      </c>
      <c r="AA17" s="8" t="n">
        <v>0.8948</v>
      </c>
      <c r="AB17" s="2" t="inlineStr">
        <is>
          <t>NO</t>
        </is>
      </c>
    </row>
    <row r="18">
      <c r="A18" s="2" t="inlineStr">
        <is>
          <t>18/03/2026</t>
        </is>
      </c>
      <c r="B18" s="3" t="inlineStr">
        <is>
          <t>2026-03-18goztepegalatasaray</t>
        </is>
      </c>
      <c r="C18" s="3" t="inlineStr">
        <is>
          <t>Goztepe vs Galatasaray</t>
        </is>
      </c>
      <c r="D18" s="3" t="inlineStr">
        <is>
          <t>Goztepe</t>
        </is>
      </c>
      <c r="E18" s="3" t="inlineStr">
        <is>
          <t>Galatasaray</t>
        </is>
      </c>
      <c r="F18" s="4" t="n"/>
      <c r="G18" s="4" t="n"/>
      <c r="H18" s="4" t="n"/>
      <c r="I18" s="4" t="n"/>
      <c r="J18" s="4" t="n"/>
      <c r="K18" s="2" t="inlineStr">
        <is>
          <t>Turquia</t>
        </is>
      </c>
      <c r="L18" s="5" t="n">
        <v>0.3503567059368736</v>
      </c>
      <c r="M18" s="5" t="n">
        <v>0.283028484029018</v>
      </c>
      <c r="N18" s="5" t="n">
        <v>0.3666148100341084</v>
      </c>
      <c r="O18" s="5" t="n">
        <v>0.4513030547014477</v>
      </c>
      <c r="P18" s="5" t="n">
        <v>0.5486969452985523</v>
      </c>
      <c r="Q18" s="9" t="n"/>
      <c r="R18" s="9" t="n"/>
      <c r="S18" s="3" t="inlineStr">
        <is>
          <t>[PASAR] Sin Cuotas</t>
        </is>
      </c>
      <c r="T18" s="3" t="inlineStr">
        <is>
          <t>[PASAR] Sin Cuotas</t>
        </is>
      </c>
      <c r="U18" s="6" t="n">
        <v>0</v>
      </c>
      <c r="V18" s="6" t="n">
        <v>0</v>
      </c>
      <c r="W18" s="3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6">
        <f>Y17+X18</f>
        <v/>
      </c>
      <c r="Z18" s="7">
        <f>IF(OR(Q18="",R18=""),"",(L18-IF(Q18&gt;R18,1,0))^2+(M18-IF(Q18=R18,1,0))^2+(N18-IF(Q18&lt;R18,1,0))^2)</f>
        <v/>
      </c>
      <c r="AA18" s="8" t="n">
        <v>0.6991000000000001</v>
      </c>
      <c r="AB18" s="2" t="inlineStr">
        <is>
          <t>NO</t>
        </is>
      </c>
    </row>
    <row r="19">
      <c r="A19" s="2" t="inlineStr">
        <is>
          <t>18/03/2026</t>
        </is>
      </c>
      <c r="B19" s="3" t="inlineStr">
        <is>
          <t>2026-03-18istanbulbasaksehirantalyaspor</t>
        </is>
      </c>
      <c r="C19" s="3" t="inlineStr">
        <is>
          <t>Istanbul Basaksehir vs Antalyaspor</t>
        </is>
      </c>
      <c r="D19" s="3" t="inlineStr">
        <is>
          <t>Istanbul Basaksehir</t>
        </is>
      </c>
      <c r="E19" s="3" t="inlineStr">
        <is>
          <t>Antalyaspor</t>
        </is>
      </c>
      <c r="F19" s="4" t="n"/>
      <c r="G19" s="4" t="n"/>
      <c r="H19" s="4" t="n"/>
      <c r="I19" s="4" t="n"/>
      <c r="J19" s="4" t="n"/>
      <c r="K19" s="2" t="inlineStr">
        <is>
          <t>Turquia</t>
        </is>
      </c>
      <c r="L19" s="5" t="n">
        <v>0.4450762606164246</v>
      </c>
      <c r="M19" s="5" t="n">
        <v>0.2681926644878433</v>
      </c>
      <c r="N19" s="5" t="n">
        <v>0.2867310748957321</v>
      </c>
      <c r="O19" s="5" t="n">
        <v>0.4920602783752462</v>
      </c>
      <c r="P19" s="5" t="n">
        <v>0.5079397216247538</v>
      </c>
      <c r="Q19" s="2" t="n">
        <v>0</v>
      </c>
      <c r="R19" s="2" t="n">
        <v>0</v>
      </c>
      <c r="S19" s="3" t="inlineStr">
        <is>
          <t>[PASAR] Sin Cuotas</t>
        </is>
      </c>
      <c r="T19" s="3" t="inlineStr">
        <is>
          <t>[PASAR] Sin Cuotas</t>
        </is>
      </c>
      <c r="U19" s="6" t="n">
        <v>0</v>
      </c>
      <c r="V19" s="6" t="n">
        <v>0</v>
      </c>
      <c r="W19" s="3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6">
        <f>Y18+X19</f>
        <v/>
      </c>
      <c r="Z19" s="7">
        <f>IF(OR(Q19="",R19=""),"",(L19-IF(Q19&gt;R19,1,0))^2+(M19-IF(Q19=R19,1,0))^2+(N19-IF(Q19&lt;R19,1,0))^2)</f>
        <v/>
      </c>
      <c r="AA19" s="8" t="n">
        <v>0.752</v>
      </c>
      <c r="AB19" s="2" t="inlineStr">
        <is>
          <t>NO</t>
        </is>
      </c>
    </row>
    <row r="20">
      <c r="A20" s="2" t="inlineStr">
        <is>
          <t>18/03/2026</t>
        </is>
      </c>
      <c r="B20" s="3" t="inlineStr">
        <is>
          <t>2026-03-18mirassolcoritiba</t>
        </is>
      </c>
      <c r="C20" s="3" t="inlineStr">
        <is>
          <t>Mirassol vs Coritiba</t>
        </is>
      </c>
      <c r="D20" s="3" t="inlineStr">
        <is>
          <t>Mirassol</t>
        </is>
      </c>
      <c r="E20" s="3" t="inlineStr">
        <is>
          <t>Coritiba</t>
        </is>
      </c>
      <c r="F20" s="4" t="n"/>
      <c r="G20" s="4" t="n">
        <v>3.65</v>
      </c>
      <c r="H20" s="4" t="n"/>
      <c r="I20" s="4" t="n"/>
      <c r="J20" s="4" t="n"/>
      <c r="K20" s="2" t="inlineStr">
        <is>
          <t>Brasil</t>
        </is>
      </c>
      <c r="L20" s="5" t="n">
        <v>0.4829867095627181</v>
      </c>
      <c r="M20" s="5" t="n">
        <v>0.2489718278881507</v>
      </c>
      <c r="N20" s="5" t="n">
        <v>0.2680414625491314</v>
      </c>
      <c r="O20" s="5" t="n">
        <v>0.5542627005521311</v>
      </c>
      <c r="P20" s="5" t="n">
        <v>0.4457372994478689</v>
      </c>
      <c r="Q20" s="2" t="n">
        <v>0</v>
      </c>
      <c r="R20" s="2" t="n">
        <v>1</v>
      </c>
      <c r="S20" s="3" t="inlineStr">
        <is>
          <t>[PASAR] Sin Cuotas</t>
        </is>
      </c>
      <c r="T20" s="3" t="inlineStr">
        <is>
          <t>[PASAR] Sin Cuotas</t>
        </is>
      </c>
      <c r="U20" s="6" t="n">
        <v>0</v>
      </c>
      <c r="V20" s="6" t="n">
        <v>0</v>
      </c>
      <c r="W20" s="3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6">
        <f>Y19+X20</f>
        <v/>
      </c>
      <c r="Z20" s="7">
        <f>IF(OR(Q20="",R20=""),"",(L20-IF(Q20&gt;R20,1,0))^2+(M20-IF(Q20=R20,1,0))^2+(N20-IF(Q20&lt;R20,1,0))^2)</f>
        <v/>
      </c>
      <c r="AA20" s="8" t="n">
        <v>0.6311</v>
      </c>
      <c r="AB20" s="2" t="inlineStr">
        <is>
          <t>NO</t>
        </is>
      </c>
    </row>
    <row r="21">
      <c r="A21" s="2" t="inlineStr">
        <is>
          <t>18/03/2026</t>
        </is>
      </c>
      <c r="B21" s="3" t="inlineStr">
        <is>
          <t>2026-03-18palmeirasbotafogo</t>
        </is>
      </c>
      <c r="C21" s="3" t="inlineStr">
        <is>
          <t>Palmeiras vs Botafogo</t>
        </is>
      </c>
      <c r="D21" s="3" t="inlineStr">
        <is>
          <t>Palmeiras</t>
        </is>
      </c>
      <c r="E21" s="3" t="inlineStr">
        <is>
          <t>Botafogo</t>
        </is>
      </c>
      <c r="F21" s="4" t="n"/>
      <c r="G21" s="4" t="n"/>
      <c r="H21" s="4" t="n"/>
      <c r="I21" s="4" t="n"/>
      <c r="J21" s="4" t="n"/>
      <c r="K21" s="2" t="inlineStr">
        <is>
          <t>Brasil</t>
        </is>
      </c>
      <c r="L21" s="5" t="n">
        <v>0.5119692408305867</v>
      </c>
      <c r="M21" s="5" t="n">
        <v>0.2334490829472646</v>
      </c>
      <c r="N21" s="5" t="n">
        <v>0.2545816762221487</v>
      </c>
      <c r="O21" s="5" t="n">
        <v>0.6106143029243246</v>
      </c>
      <c r="P21" s="5" t="n">
        <v>0.3893856970756754</v>
      </c>
      <c r="Q21" s="2" t="n">
        <v>2</v>
      </c>
      <c r="R21" s="2" t="n">
        <v>1</v>
      </c>
      <c r="S21" s="3" t="inlineStr">
        <is>
          <t>[PASAR] Sin Cuotas</t>
        </is>
      </c>
      <c r="T21" s="3" t="inlineStr">
        <is>
          <t>[PASAR] Sin Cuotas</t>
        </is>
      </c>
      <c r="U21" s="6" t="n">
        <v>0</v>
      </c>
      <c r="V21" s="6" t="n">
        <v>0</v>
      </c>
      <c r="W21" s="3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6">
        <f>Y20+X21</f>
        <v/>
      </c>
      <c r="Z21" s="7">
        <f>IF(OR(Q21="",R21=""),"",(L21-IF(Q21&gt;R21,1,0))^2+(M21-IF(Q21=R21,1,0))^2+(N21-IF(Q21&lt;R21,1,0))^2)</f>
        <v/>
      </c>
      <c r="AA21" s="8" t="n">
        <v>0.8809</v>
      </c>
      <c r="AB21" s="2" t="inlineStr">
        <is>
          <t>NO</t>
        </is>
      </c>
    </row>
    <row r="22">
      <c r="A22" s="2" t="inlineStr">
        <is>
          <t>19/03/2026</t>
        </is>
      </c>
      <c r="B22" s="3" t="inlineStr">
        <is>
          <t>2026-03-19santosinternacional</t>
        </is>
      </c>
      <c r="C22" s="3" t="inlineStr">
        <is>
          <t>Santos vs Internacional</t>
        </is>
      </c>
      <c r="D22" s="3" t="inlineStr">
        <is>
          <t>Santos</t>
        </is>
      </c>
      <c r="E22" s="3" t="inlineStr">
        <is>
          <t>Internacional</t>
        </is>
      </c>
      <c r="F22" s="4" t="n"/>
      <c r="G22" s="4" t="n">
        <v>3.3</v>
      </c>
      <c r="H22" s="4" t="n"/>
      <c r="I22" s="4" t="n"/>
      <c r="J22" s="4" t="n"/>
      <c r="K22" s="2" t="inlineStr">
        <is>
          <t>Brasil</t>
        </is>
      </c>
      <c r="L22" s="5" t="n">
        <v>0.4564350431839485</v>
      </c>
      <c r="M22" s="5" t="n">
        <v>0.2445646006062771</v>
      </c>
      <c r="N22" s="5" t="n">
        <v>0.2990003562097744</v>
      </c>
      <c r="O22" s="5" t="n">
        <v>0.5921931616962641</v>
      </c>
      <c r="P22" s="5" t="n">
        <v>0.4078068383037358</v>
      </c>
      <c r="Q22" s="2" t="n">
        <v>1</v>
      </c>
      <c r="R22" s="2" t="n">
        <v>2</v>
      </c>
      <c r="S22" s="3" t="inlineStr">
        <is>
          <t>[PASAR] Sin Cuotas</t>
        </is>
      </c>
      <c r="T22" s="3" t="inlineStr">
        <is>
          <t>[PASAR] Sin Cuotas</t>
        </is>
      </c>
      <c r="U22" s="6" t="n">
        <v>0</v>
      </c>
      <c r="V22" s="6" t="n">
        <v>0</v>
      </c>
      <c r="W22" s="3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6">
        <f>Y21+X22</f>
        <v/>
      </c>
      <c r="Z22" s="7">
        <f>IF(OR(Q22="",R22=""),"",(L22-IF(Q22&gt;R22,1,0))^2+(M22-IF(Q22=R22,1,0))^2+(N22-IF(Q22&lt;R22,1,0))^2)</f>
        <v/>
      </c>
      <c r="AA22" s="8" t="n">
        <v>0.733</v>
      </c>
      <c r="AB22" s="2" t="inlineStr">
        <is>
          <t>NO</t>
        </is>
      </c>
    </row>
    <row r="23">
      <c r="A23" s="2" t="inlineStr">
        <is>
          <t>19/03/2026</t>
        </is>
      </c>
      <c r="B23" s="3" t="inlineStr">
        <is>
          <t>2026-03-19vascodagamafluminense</t>
        </is>
      </c>
      <c r="C23" s="3" t="inlineStr">
        <is>
          <t>Vasco da Gama vs Fluminense</t>
        </is>
      </c>
      <c r="D23" s="3" t="inlineStr">
        <is>
          <t>Vasco da Gama</t>
        </is>
      </c>
      <c r="E23" s="3" t="inlineStr">
        <is>
          <t>Fluminense</t>
        </is>
      </c>
      <c r="F23" s="4" t="n"/>
      <c r="G23" s="4" t="n">
        <v>3.15</v>
      </c>
      <c r="H23" s="4" t="n"/>
      <c r="I23" s="4" t="n"/>
      <c r="J23" s="4" t="n"/>
      <c r="K23" s="2" t="inlineStr">
        <is>
          <t>Brasil</t>
        </is>
      </c>
      <c r="L23" s="5" t="n">
        <v>0.4569965848957336</v>
      </c>
      <c r="M23" s="5" t="n">
        <v>0.2522332659342409</v>
      </c>
      <c r="N23" s="5" t="n">
        <v>0.2907701491700254</v>
      </c>
      <c r="O23" s="5" t="n">
        <v>0.5546107031970552</v>
      </c>
      <c r="P23" s="5" t="n">
        <v>0.4453892968029449</v>
      </c>
      <c r="Q23" s="2" t="n">
        <v>3</v>
      </c>
      <c r="R23" s="2" t="n">
        <v>2</v>
      </c>
      <c r="S23" s="3" t="inlineStr">
        <is>
          <t>[PASAR] Sin Cuotas</t>
        </is>
      </c>
      <c r="T23" s="3" t="inlineStr">
        <is>
          <t>[PASAR] Sin Cuotas</t>
        </is>
      </c>
      <c r="U23" s="6" t="n">
        <v>0</v>
      </c>
      <c r="V23" s="6" t="n">
        <v>0</v>
      </c>
      <c r="W23" s="3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6">
        <f>Y22+X23</f>
        <v/>
      </c>
      <c r="Z23" s="7">
        <f>IF(OR(Q23="",R23=""),"",(L23-IF(Q23&gt;R23,1,0))^2+(M23-IF(Q23=R23,1,0))^2+(N23-IF(Q23&lt;R23,1,0))^2)</f>
        <v/>
      </c>
      <c r="AA23" s="8" t="n">
        <v>0.6743</v>
      </c>
      <c r="AB23" s="2" t="inlineStr">
        <is>
          <t>NO</t>
        </is>
      </c>
    </row>
    <row r="24">
      <c r="A24" s="2" t="inlineStr">
        <is>
          <t>20/03/2026</t>
        </is>
      </c>
      <c r="B24" s="3" t="inlineStr">
        <is>
          <t>2026-03-20afcbournemouthmanchesterunited</t>
        </is>
      </c>
      <c r="C24" s="3" t="inlineStr">
        <is>
          <t>AFC Bournemouth vs Manchester United</t>
        </is>
      </c>
      <c r="D24" s="3" t="inlineStr">
        <is>
          <t>AFC Bournemouth</t>
        </is>
      </c>
      <c r="E24" s="3" t="inlineStr">
        <is>
          <t>Manchester United</t>
        </is>
      </c>
      <c r="F24" s="4" t="n">
        <v>3.5</v>
      </c>
      <c r="G24" s="4" t="n">
        <v>3.95</v>
      </c>
      <c r="H24" s="4" t="n">
        <v>2.16</v>
      </c>
      <c r="I24" s="4" t="n">
        <v>1.53</v>
      </c>
      <c r="J24" s="4" t="n">
        <v>2.38</v>
      </c>
      <c r="K24" s="2" t="inlineStr">
        <is>
          <t>Inglaterra</t>
        </is>
      </c>
      <c r="L24" s="5" t="n">
        <v>0.3799957049122062</v>
      </c>
      <c r="M24" s="5" t="n">
        <v>0.2708599958047667</v>
      </c>
      <c r="N24" s="5" t="n">
        <v>0.3491442992830271</v>
      </c>
      <c r="O24" s="5" t="n">
        <v>0.4961539582723372</v>
      </c>
      <c r="P24" s="5" t="n">
        <v>0.5038460417276629</v>
      </c>
      <c r="Q24" s="2" t="n">
        <v>2</v>
      </c>
      <c r="R24" s="2" t="n">
        <v>2</v>
      </c>
      <c r="S24" s="3" t="inlineStr">
        <is>
          <t>[PASAR] Margen Predictivo Insuficiente (&lt;5%)</t>
        </is>
      </c>
      <c r="T24" s="3" t="inlineStr">
        <is>
          <t>[PASAR] Margen Predictivo O/U Insuficiente (&lt;15%)</t>
        </is>
      </c>
      <c r="U24" s="6" t="n">
        <v>0</v>
      </c>
      <c r="V24" s="6" t="n">
        <v>0</v>
      </c>
      <c r="W24" s="3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6">
        <f>Y23+X24</f>
        <v/>
      </c>
      <c r="Z24" s="7">
        <f>IF(OR(Q24="",R24=""),"",(L24-IF(Q24&gt;R24,1,0))^2+(M24-IF(Q24=R24,1,0))^2+(N24-IF(Q24&lt;R24,1,0))^2)</f>
        <v/>
      </c>
      <c r="AA24" s="8" t="n">
        <v>0.6242</v>
      </c>
      <c r="AB24" s="2" t="inlineStr">
        <is>
          <t>NO</t>
        </is>
      </c>
    </row>
    <row r="25">
      <c r="A25" s="2" t="inlineStr">
        <is>
          <t>21/03/2026</t>
        </is>
      </c>
      <c r="B25" s="3" t="inlineStr">
        <is>
          <t>2026-03-21atleticotucumangimnasialaplata</t>
        </is>
      </c>
      <c r="C25" s="3" t="inlineStr">
        <is>
          <t>Atlético Tucumán vs Gimnasia la Plata</t>
        </is>
      </c>
      <c r="D25" s="3" t="inlineStr">
        <is>
          <t>Atlético Tucumán</t>
        </is>
      </c>
      <c r="E25" s="3" t="inlineStr">
        <is>
          <t>Gimnasia la Plata</t>
        </is>
      </c>
      <c r="F25" s="4" t="n">
        <v>2.16</v>
      </c>
      <c r="G25" s="4" t="n">
        <v>3.3</v>
      </c>
      <c r="H25" s="4" t="n">
        <v>4.1</v>
      </c>
      <c r="I25" s="4" t="n">
        <v>2.43</v>
      </c>
      <c r="J25" s="4" t="n">
        <v>1.55</v>
      </c>
      <c r="K25" s="2" t="inlineStr">
        <is>
          <t>Argentina</t>
        </is>
      </c>
      <c r="L25" s="5" t="n">
        <v>0.4602844528724606</v>
      </c>
      <c r="M25" s="5" t="n">
        <v>0.2873802282534934</v>
      </c>
      <c r="N25" s="5" t="n">
        <v>0.2523353188740459</v>
      </c>
      <c r="O25" s="5" t="n">
        <v>0.4109749443702656</v>
      </c>
      <c r="P25" s="5" t="n">
        <v>0.5890250556297344</v>
      </c>
      <c r="Q25" s="2" t="n">
        <v>1</v>
      </c>
      <c r="R25" s="2" t="n">
        <v>0</v>
      </c>
      <c r="S25" s="3" t="inlineStr">
        <is>
          <t>[PASAR] Riesgo/Beneficio</t>
        </is>
      </c>
      <c r="T25" s="3" t="inlineStr">
        <is>
          <t>[PASAR] Sin Valor</t>
        </is>
      </c>
      <c r="U25" s="6" t="n">
        <v>0</v>
      </c>
      <c r="V25" s="6" t="n">
        <v>0</v>
      </c>
      <c r="W25" s="3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6">
        <f>Y24+X25</f>
        <v/>
      </c>
      <c r="Z25" s="7">
        <f>IF(OR(Q25="",R25=""),"",(L25-IF(Q25&gt;R25,1,0))^2+(M25-IF(Q25=R25,1,0))^2+(N25-IF(Q25&lt;R25,1,0))^2)</f>
        <v/>
      </c>
      <c r="AA25" s="8" t="n">
        <v>0.6594</v>
      </c>
      <c r="AB25" s="2" t="inlineStr">
        <is>
          <t>NO</t>
        </is>
      </c>
    </row>
    <row r="26">
      <c r="A26" s="2" t="inlineStr">
        <is>
          <t>21/03/2026</t>
        </is>
      </c>
      <c r="B26" s="3" t="inlineStr">
        <is>
          <t>2026-03-21banfieldtigre</t>
        </is>
      </c>
      <c r="C26" s="3" t="inlineStr">
        <is>
          <t>Banfield vs Tigre</t>
        </is>
      </c>
      <c r="D26" s="3" t="inlineStr">
        <is>
          <t>Banfield</t>
        </is>
      </c>
      <c r="E26" s="3" t="inlineStr">
        <is>
          <t>Tigre</t>
        </is>
      </c>
      <c r="F26" s="4" t="n">
        <v>3</v>
      </c>
      <c r="G26" s="4" t="n">
        <v>3</v>
      </c>
      <c r="H26" s="4" t="n">
        <v>2.9</v>
      </c>
      <c r="I26" s="4" t="n">
        <v>2.85</v>
      </c>
      <c r="J26" s="4" t="n">
        <v>1.47</v>
      </c>
      <c r="K26" s="2" t="inlineStr">
        <is>
          <t>Argentina</t>
        </is>
      </c>
      <c r="L26" s="5" t="n">
        <v>0.3771663709959308</v>
      </c>
      <c r="M26" s="5" t="n">
        <v>0.2949877925073544</v>
      </c>
      <c r="N26" s="5" t="n">
        <v>0.3278458364967148</v>
      </c>
      <c r="O26" s="5" t="n">
        <v>0.4128242964781709</v>
      </c>
      <c r="P26" s="5" t="n">
        <v>0.5871757035218291</v>
      </c>
      <c r="Q26" s="2" t="n">
        <v>1</v>
      </c>
      <c r="R26" s="2" t="n">
        <v>0</v>
      </c>
      <c r="S26" s="3" t="inlineStr">
        <is>
          <t>[PASAR] Margen Predictivo Insuficiente (&lt;5%)</t>
        </is>
      </c>
      <c r="T26" s="3" t="inlineStr">
        <is>
          <t>[PASAR] Sin Valor</t>
        </is>
      </c>
      <c r="U26" s="6" t="n">
        <v>0</v>
      </c>
      <c r="V26" s="6" t="n">
        <v>0</v>
      </c>
      <c r="W26" s="3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6">
        <f>Y25+X26</f>
        <v/>
      </c>
      <c r="Z26" s="7">
        <f>IF(OR(Q26="",R26=""),"",(L26-IF(Q26&gt;R26,1,0))^2+(M26-IF(Q26=R26,1,0))^2+(N26-IF(Q26&lt;R26,1,0))^2)</f>
        <v/>
      </c>
      <c r="AA26" s="8" t="n">
        <v>0.6399</v>
      </c>
      <c r="AB26" s="2" t="inlineStr">
        <is>
          <t>NO</t>
        </is>
      </c>
    </row>
    <row r="27">
      <c r="A27" s="2" t="inlineStr">
        <is>
          <t>21/03/2026</t>
        </is>
      </c>
      <c r="B27" s="3" t="inlineStr">
        <is>
          <t>2026-03-21brightonhovealbionliverpool</t>
        </is>
      </c>
      <c r="C27" s="3" t="inlineStr">
        <is>
          <t>Brighton &amp; Hove Albion vs Liverpool</t>
        </is>
      </c>
      <c r="D27" s="3" t="inlineStr">
        <is>
          <t>Brighton &amp; Hove Albion</t>
        </is>
      </c>
      <c r="E27" s="3" t="inlineStr">
        <is>
          <t>Liverpool</t>
        </is>
      </c>
      <c r="F27" s="4" t="n">
        <v>3.25</v>
      </c>
      <c r="G27" s="4" t="n">
        <v>3.75</v>
      </c>
      <c r="H27" s="4" t="n">
        <v>2.33</v>
      </c>
      <c r="I27" s="4" t="n">
        <v>1.78</v>
      </c>
      <c r="J27" s="4" t="n">
        <v>2.21</v>
      </c>
      <c r="K27" s="2" t="inlineStr">
        <is>
          <t>Inglaterra</t>
        </is>
      </c>
      <c r="L27" s="5" t="n">
        <v>0.4108978929417581</v>
      </c>
      <c r="M27" s="5" t="n">
        <v>0.2678994893669501</v>
      </c>
      <c r="N27" s="5" t="n">
        <v>0.3212026176912918</v>
      </c>
      <c r="O27" s="5" t="n">
        <v>0.5030608941671695</v>
      </c>
      <c r="P27" s="5" t="n">
        <v>0.4969391058328305</v>
      </c>
      <c r="Q27" s="2" t="n">
        <v>2</v>
      </c>
      <c r="R27" s="2" t="n">
        <v>1</v>
      </c>
      <c r="S27" s="3">
        <f>IF(OR(Q27="",R27=""),"[APOSTAR] LOCAL",IF(Q27&gt;R27,"[GANADA] LOCAL","[PERDIDA] LOCAL"))</f>
        <v/>
      </c>
      <c r="T27" s="3" t="inlineStr">
        <is>
          <t>[PASAR] Margen Predictivo O/U Insuficiente (&lt;15%)</t>
        </is>
      </c>
      <c r="U27" s="6" t="n">
        <v>2500</v>
      </c>
      <c r="V27" s="6" t="n">
        <v>0</v>
      </c>
      <c r="W27" s="3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6">
        <f>Y26+X27</f>
        <v/>
      </c>
      <c r="Z27" s="7">
        <f>IF(OR(Q27="",R27=""),"",(L27-IF(Q27&gt;R27,1,0))^2+(M27-IF(Q27=R27,1,0))^2+(N27-IF(Q27&lt;R27,1,0))^2)</f>
        <v/>
      </c>
      <c r="AA27" s="8" t="n">
        <v>0.7135</v>
      </c>
      <c r="AB27" s="2" t="inlineStr">
        <is>
          <t>NO</t>
        </is>
      </c>
    </row>
    <row r="28">
      <c r="A28" s="2" t="inlineStr">
        <is>
          <t>21/03/2026</t>
        </is>
      </c>
      <c r="B28" s="3" t="inlineStr">
        <is>
          <t>2026-03-21defensayjusticiaunionsantafe</t>
        </is>
      </c>
      <c r="C28" s="3" t="inlineStr">
        <is>
          <t>Defensa y Justicia vs Unión (santa Fe)</t>
        </is>
      </c>
      <c r="D28" s="3" t="inlineStr">
        <is>
          <t>Defensa y Justicia</t>
        </is>
      </c>
      <c r="E28" s="3" t="inlineStr">
        <is>
          <t>Unión (santa Fe)</t>
        </is>
      </c>
      <c r="F28" s="4" t="n">
        <v>2.9</v>
      </c>
      <c r="G28" s="4" t="n">
        <v>3.1</v>
      </c>
      <c r="H28" s="4" t="n">
        <v>2.88</v>
      </c>
      <c r="I28" s="4" t="n">
        <v>2.62</v>
      </c>
      <c r="J28" s="4" t="n">
        <v>1.56</v>
      </c>
      <c r="K28" s="2" t="inlineStr">
        <is>
          <t>Argentina</t>
        </is>
      </c>
      <c r="L28" s="5" t="n">
        <v>0.4006995787297076</v>
      </c>
      <c r="M28" s="5" t="n">
        <v>0.2783874950113365</v>
      </c>
      <c r="N28" s="5" t="n">
        <v>0.320912926258956</v>
      </c>
      <c r="O28" s="5" t="n">
        <v>0.4728740634574408</v>
      </c>
      <c r="P28" s="5" t="n">
        <v>0.5271259365425592</v>
      </c>
      <c r="Q28" s="2" t="n">
        <v>2</v>
      </c>
      <c r="R28" s="2" t="n">
        <v>0</v>
      </c>
      <c r="S28" s="3">
        <f>IF(OR(Q28="",R28=""),"[APOSTAR] LOCAL",IF(Q28&gt;R28,"[GANADA] LOCAL","[PERDIDA] LOCAL"))</f>
        <v/>
      </c>
      <c r="T28" s="3" t="inlineStr">
        <is>
          <t>[PASAR] Margen Predictivo O/U Insuficiente (&lt;15%)</t>
        </is>
      </c>
      <c r="U28" s="6" t="n">
        <v>1443.38</v>
      </c>
      <c r="V28" s="6" t="n">
        <v>0</v>
      </c>
      <c r="W28" s="3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6">
        <f>Y27+X28</f>
        <v/>
      </c>
      <c r="Z28" s="7">
        <f>IF(OR(Q28="",R28=""),"",(L28-IF(Q28&gt;R28,1,0))^2+(M28-IF(Q28=R28,1,0))^2+(N28-IF(Q28&lt;R28,1,0))^2)</f>
        <v/>
      </c>
      <c r="AA28" s="8" t="n">
        <v>0.6448</v>
      </c>
      <c r="AB28" s="2" t="inlineStr">
        <is>
          <t>NO</t>
        </is>
      </c>
    </row>
    <row r="29">
      <c r="A29" s="2" t="inlineStr">
        <is>
          <t>21/03/2026</t>
        </is>
      </c>
      <c r="B29" s="3" t="inlineStr">
        <is>
          <t>2026-03-21evertonchelsea</t>
        </is>
      </c>
      <c r="C29" s="3" t="inlineStr">
        <is>
          <t>Everton vs Chelsea</t>
        </is>
      </c>
      <c r="D29" s="3" t="inlineStr">
        <is>
          <t>Everton</t>
        </is>
      </c>
      <c r="E29" s="3" t="inlineStr">
        <is>
          <t>Chelsea</t>
        </is>
      </c>
      <c r="F29" s="4" t="n">
        <v>3.6</v>
      </c>
      <c r="G29" s="4" t="n">
        <v>3.75</v>
      </c>
      <c r="H29" s="4" t="n">
        <v>2.2</v>
      </c>
      <c r="I29" s="4" t="n">
        <v>1.9</v>
      </c>
      <c r="J29" s="4" t="n">
        <v>2.11</v>
      </c>
      <c r="K29" s="2" t="inlineStr">
        <is>
          <t>Inglaterra</t>
        </is>
      </c>
      <c r="L29" s="5" t="n">
        <v>0.3695913356161412</v>
      </c>
      <c r="M29" s="5" t="n">
        <v>0.2608173287677175</v>
      </c>
      <c r="N29" s="5" t="n">
        <v>0.3695913356161413</v>
      </c>
      <c r="O29" s="5" t="n">
        <v>0.539788427825295</v>
      </c>
      <c r="P29" s="5" t="n">
        <v>0.460211572174705</v>
      </c>
      <c r="Q29" s="2" t="n">
        <v>3</v>
      </c>
      <c r="R29" s="2" t="n">
        <v>0</v>
      </c>
      <c r="S29" s="3" t="inlineStr">
        <is>
          <t>[PASAR] Margen Predictivo Insuficiente (&lt;5%)</t>
        </is>
      </c>
      <c r="T29" s="3" t="inlineStr">
        <is>
          <t>[PASAR] Margen Predictivo O/U Insuficiente (&lt;15%)</t>
        </is>
      </c>
      <c r="U29" s="6" t="n">
        <v>0</v>
      </c>
      <c r="V29" s="6" t="n">
        <v>0</v>
      </c>
      <c r="W29" s="3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6">
        <f>Y28+X29</f>
        <v/>
      </c>
      <c r="Z29" s="7">
        <f>IF(OR(Q29="",R29=""),"",(L29-IF(Q29&gt;R29,1,0))^2+(M29-IF(Q29=R29,1,0))^2+(N29-IF(Q29&lt;R29,1,0))^2)</f>
        <v/>
      </c>
      <c r="AA29" s="8" t="n">
        <v>0.8038999999999999</v>
      </c>
      <c r="AB29" s="2" t="inlineStr">
        <is>
          <t>NO</t>
        </is>
      </c>
    </row>
    <row r="30">
      <c r="A30" s="2" t="inlineStr">
        <is>
          <t>21/03/2026</t>
        </is>
      </c>
      <c r="B30" s="3" t="inlineStr">
        <is>
          <t>2026-03-21fluminenseatleticomg</t>
        </is>
      </c>
      <c r="C30" s="3" t="inlineStr">
        <is>
          <t>Fluminense vs Atlético-mg</t>
        </is>
      </c>
      <c r="D30" s="3" t="inlineStr">
        <is>
          <t>Fluminense</t>
        </is>
      </c>
      <c r="E30" s="3" t="inlineStr">
        <is>
          <t>Atlético-mg</t>
        </is>
      </c>
      <c r="F30" s="4" t="n">
        <v>1.78</v>
      </c>
      <c r="G30" s="4" t="n">
        <v>3.7</v>
      </c>
      <c r="H30" s="4" t="n">
        <v>5.2</v>
      </c>
      <c r="I30" s="4" t="n">
        <v>2.08</v>
      </c>
      <c r="J30" s="4" t="n">
        <v>1.81</v>
      </c>
      <c r="K30" s="2" t="inlineStr">
        <is>
          <t>Brasil</t>
        </is>
      </c>
      <c r="L30" s="5" t="n">
        <v>0.4890477683907821</v>
      </c>
      <c r="M30" s="5" t="n">
        <v>0.2269094292763235</v>
      </c>
      <c r="N30" s="5" t="n">
        <v>0.2840428023328944</v>
      </c>
      <c r="O30" s="5" t="n">
        <v>0.6626510174407112</v>
      </c>
      <c r="P30" s="5" t="n">
        <v>0.3373489825592889</v>
      </c>
      <c r="Q30" s="2" t="n">
        <v>1</v>
      </c>
      <c r="R30" s="2" t="n">
        <v>0</v>
      </c>
      <c r="S30" s="3" t="inlineStr">
        <is>
          <t>[PASAR] Riesgo/Beneficio</t>
        </is>
      </c>
      <c r="T30" s="3">
        <f>IF(OR(Q30="",R30=""),"[APOSTAR] OVER 2.5",IF((Q30+R30)&gt;2.5,"[GANADA] OVER 2.5","[PERDIDA] OVER 2.5"))</f>
        <v/>
      </c>
      <c r="U30" s="6" t="n">
        <v>0</v>
      </c>
      <c r="V30" s="6" t="n">
        <v>1767.77</v>
      </c>
      <c r="W30" s="3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6">
        <f>Y29+X30</f>
        <v/>
      </c>
      <c r="Z30" s="7">
        <f>IF(OR(Q30="",R30=""),"",(L30-IF(Q30&gt;R30,1,0))^2+(M30-IF(Q30=R30,1,0))^2+(N30-IF(Q30&lt;R30,1,0))^2)</f>
        <v/>
      </c>
      <c r="AA30" s="8" t="n">
        <v>1.0006</v>
      </c>
      <c r="AB30" s="2" t="inlineStr">
        <is>
          <t>NO</t>
        </is>
      </c>
    </row>
    <row r="31">
      <c r="A31" s="2" t="inlineStr">
        <is>
          <t>21/03/2026</t>
        </is>
      </c>
      <c r="B31" s="3" t="inlineStr">
        <is>
          <t>2026-03-21fulhamburnley</t>
        </is>
      </c>
      <c r="C31" s="3" t="inlineStr">
        <is>
          <t>Fulham vs Burnley</t>
        </is>
      </c>
      <c r="D31" s="3" t="inlineStr">
        <is>
          <t>Fulham</t>
        </is>
      </c>
      <c r="E31" s="3" t="inlineStr">
        <is>
          <t>Burnley</t>
        </is>
      </c>
      <c r="F31" s="4" t="n">
        <v>1.6</v>
      </c>
      <c r="G31" s="4" t="n">
        <v>4.3</v>
      </c>
      <c r="H31" s="4" t="n">
        <v>6.8</v>
      </c>
      <c r="I31" s="4" t="n">
        <v>1.86</v>
      </c>
      <c r="J31" s="4" t="n">
        <v>2.14</v>
      </c>
      <c r="K31" s="2" t="inlineStr">
        <is>
          <t>Inglaterra</t>
        </is>
      </c>
      <c r="L31" s="5" t="n">
        <v>0.4747849593452914</v>
      </c>
      <c r="M31" s="5" t="n">
        <v>0.2608106257157422</v>
      </c>
      <c r="N31" s="5" t="n">
        <v>0.2644044149389664</v>
      </c>
      <c r="O31" s="5" t="n">
        <v>0.5046559413263287</v>
      </c>
      <c r="P31" s="5" t="n">
        <v>0.4953440586736713</v>
      </c>
      <c r="Q31" s="2" t="n">
        <v>3</v>
      </c>
      <c r="R31" s="2" t="n">
        <v>1</v>
      </c>
      <c r="S31" s="3" t="inlineStr">
        <is>
          <t>[PASAR] Riesgo/Beneficio</t>
        </is>
      </c>
      <c r="T31" s="3" t="inlineStr">
        <is>
          <t>[PASAR] Margen Predictivo O/U Insuficiente (&lt;15%)</t>
        </is>
      </c>
      <c r="U31" s="6" t="n">
        <v>0</v>
      </c>
      <c r="V31" s="6" t="n">
        <v>0</v>
      </c>
      <c r="W31" s="3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6">
        <f>Y30+X31</f>
        <v/>
      </c>
      <c r="Z31" s="7">
        <f>IF(OR(Q31="",R31=""),"",(L31-IF(Q31&gt;R31,1,0))^2+(M31-IF(Q31=R31,1,0))^2+(N31-IF(Q31&lt;R31,1,0))^2)</f>
        <v/>
      </c>
      <c r="AA31" s="8" t="n">
        <v>0.6356000000000001</v>
      </c>
      <c r="AB31" s="2" t="inlineStr">
        <is>
          <t>NO</t>
        </is>
      </c>
    </row>
    <row r="32">
      <c r="A32" s="2" t="inlineStr">
        <is>
          <t>21/03/2026</t>
        </is>
      </c>
      <c r="B32" s="3" t="inlineStr">
        <is>
          <t>2026-03-21ikstartaalesund</t>
        </is>
      </c>
      <c r="C32" s="3" t="inlineStr">
        <is>
          <t>Ik Start vs Aalesund</t>
        </is>
      </c>
      <c r="D32" s="3" t="inlineStr">
        <is>
          <t>Ik Start</t>
        </is>
      </c>
      <c r="E32" s="3" t="inlineStr">
        <is>
          <t>Aalesund</t>
        </is>
      </c>
      <c r="F32" s="4" t="n">
        <v>2.28</v>
      </c>
      <c r="G32" s="4" t="n">
        <v>3.6</v>
      </c>
      <c r="H32" s="4" t="n">
        <v>3.45</v>
      </c>
      <c r="I32" s="4" t="n">
        <v>1.83</v>
      </c>
      <c r="J32" s="4" t="n">
        <v>2.07</v>
      </c>
      <c r="K32" s="2" t="inlineStr">
        <is>
          <t>Noruega</t>
        </is>
      </c>
      <c r="L32" s="5" t="n">
        <v>0.3728764081189995</v>
      </c>
      <c r="M32" s="5" t="n">
        <v>0.2634196863066652</v>
      </c>
      <c r="N32" s="5" t="n">
        <v>0.3637039055743354</v>
      </c>
      <c r="O32" s="5" t="n">
        <v>0.5136938723906329</v>
      </c>
      <c r="P32" s="5" t="n">
        <v>0.486306127609367</v>
      </c>
      <c r="Q32" s="2" t="n">
        <v>1</v>
      </c>
      <c r="R32" s="2" t="n">
        <v>1</v>
      </c>
      <c r="S32" s="3" t="inlineStr">
        <is>
          <t>[PASAR] Margen Predictivo Insuficiente (&lt;5%)</t>
        </is>
      </c>
      <c r="T32" s="3" t="inlineStr">
        <is>
          <t>[PASAR] Margen Predictivo O/U Insuficiente (&lt;15%)</t>
        </is>
      </c>
      <c r="U32" s="6" t="n">
        <v>0</v>
      </c>
      <c r="V32" s="6" t="n">
        <v>0</v>
      </c>
      <c r="W32" s="3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6">
        <f>Y31+X32</f>
        <v/>
      </c>
      <c r="Z32" s="7">
        <f>IF(OR(Q32="",R32=""),"",(L32-IF(Q32&gt;R32,1,0))^2+(M32-IF(Q32=R32,1,0))^2+(N32-IF(Q32&lt;R32,1,0))^2)</f>
        <v/>
      </c>
      <c r="AA32" s="8" t="n">
        <v>0.3228</v>
      </c>
      <c r="AB32" s="2" t="inlineStr">
        <is>
          <t>NO</t>
        </is>
      </c>
    </row>
    <row r="33">
      <c r="A33" s="2" t="inlineStr">
        <is>
          <t>21/03/2026</t>
        </is>
      </c>
      <c r="B33" s="3" t="inlineStr">
        <is>
          <t>2026-03-21independientetallerescordoba</t>
        </is>
      </c>
      <c r="C33" s="3" t="inlineStr">
        <is>
          <t>Independiente vs Talleres (córdoba)</t>
        </is>
      </c>
      <c r="D33" s="3" t="inlineStr">
        <is>
          <t>Independiente</t>
        </is>
      </c>
      <c r="E33" s="3" t="inlineStr">
        <is>
          <t>Talleres (córdoba)</t>
        </is>
      </c>
      <c r="F33" s="4" t="n">
        <v>2.04</v>
      </c>
      <c r="G33" s="4" t="n">
        <v>3.2</v>
      </c>
      <c r="H33" s="4" t="n">
        <v>4.38</v>
      </c>
      <c r="I33" s="4" t="n">
        <v>2.58</v>
      </c>
      <c r="J33" s="4" t="n">
        <v>1.56</v>
      </c>
      <c r="K33" s="2" t="inlineStr">
        <is>
          <t>Argentina</t>
        </is>
      </c>
      <c r="L33" s="5" t="n">
        <v>0.4225597218522608</v>
      </c>
      <c r="M33" s="5" t="n">
        <v>0.2822520609602481</v>
      </c>
      <c r="N33" s="5" t="n">
        <v>0.2951882171874911</v>
      </c>
      <c r="O33" s="5" t="n">
        <v>0.4502724152114714</v>
      </c>
      <c r="P33" s="5" t="n">
        <v>0.5497275847885285</v>
      </c>
      <c r="Q33" s="2" t="n">
        <v>1</v>
      </c>
      <c r="R33" s="2" t="n">
        <v>2</v>
      </c>
      <c r="S33" s="3">
        <f>IF(OR(Q33="",R33=""),"[APOSTAR] VISITA",IF(Q33&lt;R33,"[GANADA] VISITA","[PERDIDA] VISITA"))</f>
        <v/>
      </c>
      <c r="T33" s="3" t="inlineStr">
        <is>
          <t>[PASAR] Margen Predictivo O/U Insuficiente (&lt;15%)</t>
        </is>
      </c>
      <c r="U33" s="6" t="n">
        <v>1443.38</v>
      </c>
      <c r="V33" s="6" t="n">
        <v>0</v>
      </c>
      <c r="W33" s="3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6">
        <f>Y32+X33</f>
        <v/>
      </c>
      <c r="Z33" s="7">
        <f>IF(OR(Q33="",R33=""),"",(L33-IF(Q33&gt;R33,1,0))^2+(M33-IF(Q33=R33,1,0))^2+(N33-IF(Q33&lt;R33,1,0))^2)</f>
        <v/>
      </c>
      <c r="AA33" s="8" t="n">
        <v>0.6657999999999999</v>
      </c>
      <c r="AB33" s="2" t="inlineStr">
        <is>
          <t>NO</t>
        </is>
      </c>
    </row>
    <row r="34">
      <c r="A34" s="2" t="inlineStr">
        <is>
          <t>21/03/2026</t>
        </is>
      </c>
      <c r="B34" s="3" t="inlineStr">
        <is>
          <t>2026-03-21leedsunitedbrentford</t>
        </is>
      </c>
      <c r="C34" s="3" t="inlineStr">
        <is>
          <t>Leeds United vs Brentford</t>
        </is>
      </c>
      <c r="D34" s="3" t="inlineStr">
        <is>
          <t>Leeds United</t>
        </is>
      </c>
      <c r="E34" s="3" t="inlineStr">
        <is>
          <t>Brentford</t>
        </is>
      </c>
      <c r="F34" s="4" t="n">
        <v>2.58</v>
      </c>
      <c r="G34" s="4" t="n">
        <v>3.56</v>
      </c>
      <c r="H34" s="4" t="n">
        <v>3.05</v>
      </c>
      <c r="I34" s="4" t="n">
        <v>1.93</v>
      </c>
      <c r="J34" s="4" t="n">
        <v>2.04</v>
      </c>
      <c r="K34" s="2" t="inlineStr">
        <is>
          <t>Inglaterra</t>
        </is>
      </c>
      <c r="L34" s="5" t="n">
        <v>0.368413852818284</v>
      </c>
      <c r="M34" s="5" t="n">
        <v>0.2810524265651128</v>
      </c>
      <c r="N34" s="5" t="n">
        <v>0.3505337206166031</v>
      </c>
      <c r="O34" s="5" t="n">
        <v>0.4555445338173486</v>
      </c>
      <c r="P34" s="5" t="n">
        <v>0.5444554661826514</v>
      </c>
      <c r="Q34" s="2" t="n">
        <v>0</v>
      </c>
      <c r="R34" s="2" t="n">
        <v>0</v>
      </c>
      <c r="S34" s="3" t="inlineStr">
        <is>
          <t>[PASAR] Margen Predictivo Insuficiente (&lt;5%)</t>
        </is>
      </c>
      <c r="T34" s="3" t="inlineStr">
        <is>
          <t>[PASAR] Margen Predictivo O/U Insuficiente (&lt;15%)</t>
        </is>
      </c>
      <c r="U34" s="6" t="n">
        <v>0</v>
      </c>
      <c r="V34" s="6" t="n">
        <v>0</v>
      </c>
      <c r="W34" s="3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6">
        <f>Y33+X34</f>
        <v/>
      </c>
      <c r="Z34" s="7">
        <f>IF(OR(Q34="",R34=""),"",(L34-IF(Q34&gt;R34,1,0))^2+(M34-IF(Q34=R34,1,0))^2+(N34-IF(Q34&lt;R34,1,0))^2)</f>
        <v/>
      </c>
      <c r="AA34" s="8" t="n">
        <v>0.7822</v>
      </c>
      <c r="AB34" s="2" t="inlineStr">
        <is>
          <t>NO</t>
        </is>
      </c>
    </row>
    <row r="35">
      <c r="A35" s="2" t="inlineStr">
        <is>
          <t>21/03/2026</t>
        </is>
      </c>
      <c r="B35" s="3" t="inlineStr">
        <is>
          <t>2026-03-21newellsoldboysgimnasiamendoza</t>
        </is>
      </c>
      <c r="C35" s="3" t="inlineStr">
        <is>
          <t>Newell's Old Boys vs Gimnasia (mendoza)</t>
        </is>
      </c>
      <c r="D35" s="3" t="inlineStr">
        <is>
          <t>Newell's Old Boys</t>
        </is>
      </c>
      <c r="E35" s="3" t="inlineStr">
        <is>
          <t>Gimnasia (mendoza)</t>
        </is>
      </c>
      <c r="F35" s="4" t="n">
        <v>2.38</v>
      </c>
      <c r="G35" s="4" t="n">
        <v>2.98</v>
      </c>
      <c r="H35" s="4" t="n">
        <v>3.5</v>
      </c>
      <c r="I35" s="4" t="n">
        <v>2.92</v>
      </c>
      <c r="J35" s="4" t="n">
        <v>1.39</v>
      </c>
      <c r="K35" s="2" t="inlineStr">
        <is>
          <t>Argentina</t>
        </is>
      </c>
      <c r="L35" s="5" t="n">
        <v>0.3778424308189837</v>
      </c>
      <c r="M35" s="5" t="n">
        <v>0.2815175646638742</v>
      </c>
      <c r="N35" s="5" t="n">
        <v>0.3406400045171421</v>
      </c>
      <c r="O35" s="5" t="n">
        <v>0.4642402790842933</v>
      </c>
      <c r="P35" s="5" t="n">
        <v>0.5357597209157067</v>
      </c>
      <c r="Q35" s="2" t="n">
        <v>1</v>
      </c>
      <c r="R35" s="2" t="n">
        <v>0</v>
      </c>
      <c r="S35" s="3" t="inlineStr">
        <is>
          <t>[PASAR] Margen Predictivo Insuficiente (&lt;5%)</t>
        </is>
      </c>
      <c r="T35" s="3" t="inlineStr">
        <is>
          <t>[PASAR] Margen Predictivo O/U Insuficiente (&lt;15%)</t>
        </is>
      </c>
      <c r="U35" s="6" t="n">
        <v>0</v>
      </c>
      <c r="V35" s="6" t="n">
        <v>0</v>
      </c>
      <c r="W35" s="3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6">
        <f>Y34+X35</f>
        <v/>
      </c>
      <c r="Z35" s="7">
        <f>IF(OR(Q35="",R35=""),"",(L35-IF(Q35&gt;R35,1,0))^2+(M35-IF(Q35=R35,1,0))^2+(N35-IF(Q35&lt;R35,1,0))^2)</f>
        <v/>
      </c>
      <c r="AA35" s="8" t="n">
        <v>0.5247000000000001</v>
      </c>
      <c r="AB35" s="2" t="inlineStr">
        <is>
          <t>NO</t>
        </is>
      </c>
    </row>
    <row r="36">
      <c r="A36" s="2" t="inlineStr">
        <is>
          <t>21/03/2026</t>
        </is>
      </c>
      <c r="B36" s="3" t="inlineStr">
        <is>
          <t>2026-03-21redbullbragantinobotafogo</t>
        </is>
      </c>
      <c r="C36" s="3" t="inlineStr">
        <is>
          <t>Red Bull Bragantino vs Botafogo</t>
        </is>
      </c>
      <c r="D36" s="3" t="inlineStr">
        <is>
          <t>Red Bull Bragantino</t>
        </is>
      </c>
      <c r="E36" s="3" t="inlineStr">
        <is>
          <t>Botafogo</t>
        </is>
      </c>
      <c r="F36" s="4" t="n">
        <v>2.12</v>
      </c>
      <c r="G36" s="4" t="n">
        <v>3.5</v>
      </c>
      <c r="H36" s="4" t="n">
        <v>3.79</v>
      </c>
      <c r="I36" s="4" t="n">
        <v>2.08</v>
      </c>
      <c r="J36" s="4" t="n">
        <v>1.86</v>
      </c>
      <c r="K36" s="2" t="inlineStr">
        <is>
          <t>Brasil</t>
        </is>
      </c>
      <c r="L36" s="5" t="n">
        <v>0.4676161041127207</v>
      </c>
      <c r="M36" s="5" t="n">
        <v>0.2444966016542059</v>
      </c>
      <c r="N36" s="5" t="n">
        <v>0.2878872942330735</v>
      </c>
      <c r="O36" s="5" t="n">
        <v>0.5863681195941622</v>
      </c>
      <c r="P36" s="5" t="n">
        <v>0.4136318804058379</v>
      </c>
      <c r="Q36" s="2" t="n">
        <v>1</v>
      </c>
      <c r="R36" s="2" t="n">
        <v>2</v>
      </c>
      <c r="S36" s="3" t="inlineStr">
        <is>
          <t>[PASAR] Overlap Riesgo (O/U Priorizado)</t>
        </is>
      </c>
      <c r="T36" s="3">
        <f>IF(OR(Q36="",R36=""),"[APOSTAR] OVER 2.5",IF((Q36+R36)&gt;2.5,"[GANADA] OVER 2.5","[PERDIDA] OVER 2.5"))</f>
        <v/>
      </c>
      <c r="U36" s="6" t="n">
        <v>0</v>
      </c>
      <c r="V36" s="6" t="n">
        <v>1767.77</v>
      </c>
      <c r="W36" s="3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6">
        <f>Y35+X36</f>
        <v/>
      </c>
      <c r="Z36" s="7">
        <f>IF(OR(Q36="",R36=""),"",(L36-IF(Q36&gt;R36,1,0))^2+(M36-IF(Q36=R36,1,0))^2+(N36-IF(Q36&lt;R36,1,0))^2)</f>
        <v/>
      </c>
      <c r="AA36" s="8" t="n">
        <v>0.8314</v>
      </c>
      <c r="AB36" s="2" t="inlineStr">
        <is>
          <t>NO</t>
        </is>
      </c>
    </row>
    <row r="37">
      <c r="A37" s="2" t="inlineStr">
        <is>
          <t>21/03/2026</t>
        </is>
      </c>
      <c r="B37" s="3" t="inlineStr">
        <is>
          <t>2026-03-21velezsarsfieldlanus</t>
        </is>
      </c>
      <c r="C37" s="3" t="inlineStr">
        <is>
          <t>Vélez Sarsfield vs Lanús</t>
        </is>
      </c>
      <c r="D37" s="3" t="inlineStr">
        <is>
          <t>Vélez Sarsfield</t>
        </is>
      </c>
      <c r="E37" s="3" t="inlineStr">
        <is>
          <t>Lanús</t>
        </is>
      </c>
      <c r="F37" s="4" t="n">
        <v>2.2</v>
      </c>
      <c r="G37" s="4" t="n">
        <v>3.1</v>
      </c>
      <c r="H37" s="4" t="n">
        <v>4</v>
      </c>
      <c r="I37" s="4" t="n">
        <v>2.75</v>
      </c>
      <c r="J37" s="4" t="n">
        <v>1.47</v>
      </c>
      <c r="K37" s="2" t="inlineStr">
        <is>
          <t>Argentina</t>
        </is>
      </c>
      <c r="L37" s="5" t="n">
        <v>0.3846226823626572</v>
      </c>
      <c r="M37" s="5" t="n">
        <v>0.2893087007798147</v>
      </c>
      <c r="N37" s="5" t="n">
        <v>0.326068616857528</v>
      </c>
      <c r="O37" s="5" t="n">
        <v>0.4329010012935023</v>
      </c>
      <c r="P37" s="5" t="n">
        <v>0.5670989987064977</v>
      </c>
      <c r="Q37" s="2" t="n">
        <v>0</v>
      </c>
      <c r="R37" s="2" t="n">
        <v>1</v>
      </c>
      <c r="S37" s="3">
        <f>IF(OR(Q37="",R37=""),"[APOSTAR] VISITA",IF(Q37&lt;R37,"[GANADA] VISITA","[PERDIDA] VISITA"))</f>
        <v/>
      </c>
      <c r="T37" s="3" t="inlineStr">
        <is>
          <t>[PASAR] Margen Predictivo O/U Insuficiente (&lt;15%)</t>
        </is>
      </c>
      <c r="U37" s="6" t="n">
        <v>1443.38</v>
      </c>
      <c r="V37" s="6" t="n">
        <v>0</v>
      </c>
      <c r="W37" s="3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6">
        <f>Y36+X37</f>
        <v/>
      </c>
      <c r="Z37" s="7">
        <f>IF(OR(Q37="",R37=""),"",(L37-IF(Q37&gt;R37,1,0))^2+(M37-IF(Q37=R37,1,0))^2+(N37-IF(Q37&lt;R37,1,0))^2)</f>
        <v/>
      </c>
      <c r="AA37" s="8" t="n">
        <v>0.5455</v>
      </c>
      <c r="AB37" s="2" t="inlineStr">
        <is>
          <t>NO</t>
        </is>
      </c>
    </row>
    <row r="38">
      <c r="A38" s="2" t="inlineStr">
        <is>
          <t>21/03/2026</t>
        </is>
      </c>
      <c r="B38" s="3" t="inlineStr">
        <is>
          <t>2026-03-21vikingfkmolde</t>
        </is>
      </c>
      <c r="C38" s="3" t="inlineStr">
        <is>
          <t>Viking fk vs Molde</t>
        </is>
      </c>
      <c r="D38" s="3" t="inlineStr">
        <is>
          <t>Viking fk</t>
        </is>
      </c>
      <c r="E38" s="3" t="inlineStr">
        <is>
          <t>Molde</t>
        </is>
      </c>
      <c r="F38" s="4" t="n">
        <v>1.9</v>
      </c>
      <c r="G38" s="4" t="n">
        <v>4.1</v>
      </c>
      <c r="H38" s="4" t="n">
        <v>4.24</v>
      </c>
      <c r="I38" s="4" t="n">
        <v>1.44</v>
      </c>
      <c r="J38" s="4" t="n">
        <v>2.5</v>
      </c>
      <c r="K38" s="2" t="inlineStr">
        <is>
          <t>Noruega</t>
        </is>
      </c>
      <c r="L38" s="5" t="n">
        <v>0.5520694254248895</v>
      </c>
      <c r="M38" s="5" t="n">
        <v>0.2266510763334995</v>
      </c>
      <c r="N38" s="5" t="n">
        <v>0.221279498241611</v>
      </c>
      <c r="O38" s="5" t="n">
        <v>0.5937147479622737</v>
      </c>
      <c r="P38" s="5" t="n">
        <v>0.4062852520377261</v>
      </c>
      <c r="Q38" s="2" t="n">
        <v>4</v>
      </c>
      <c r="R38" s="2" t="n">
        <v>1</v>
      </c>
      <c r="S38" s="3">
        <f>IF(OR(Q38="",R38=""),"[APOSTAR] LOCAL",IF(Q38&gt;R38,"[GANADA] LOCAL","[PERDIDA] LOCAL"))</f>
        <v/>
      </c>
      <c r="T38" s="3" t="inlineStr">
        <is>
          <t>[PASAR] Sin Valor</t>
        </is>
      </c>
      <c r="U38" s="6" t="n">
        <v>2500</v>
      </c>
      <c r="V38" s="6" t="n">
        <v>0</v>
      </c>
      <c r="W38" s="3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6">
        <f>Y37+X38</f>
        <v/>
      </c>
      <c r="Z38" s="7">
        <f>IF(OR(Q38="",R38=""),"",(L38-IF(Q38&gt;R38,1,0))^2+(M38-IF(Q38=R38,1,0))^2+(N38-IF(Q38&lt;R38,1,0))^2)</f>
        <v/>
      </c>
      <c r="AA38" s="8" t="n">
        <v>0.7687</v>
      </c>
      <c r="AB38" s="2" t="inlineStr">
        <is>
          <t>NO</t>
        </is>
      </c>
    </row>
    <row r="39">
      <c r="A39" s="2" t="inlineStr">
        <is>
          <t>22/03/2026</t>
        </is>
      </c>
      <c r="B39" s="3" t="inlineStr">
        <is>
          <t>2026-03-22astonvillawesthamunited</t>
        </is>
      </c>
      <c r="C39" s="3" t="inlineStr">
        <is>
          <t>Aston Villa vs West Ham United</t>
        </is>
      </c>
      <c r="D39" s="3" t="inlineStr">
        <is>
          <t>Aston Villa</t>
        </is>
      </c>
      <c r="E39" s="3" t="inlineStr">
        <is>
          <t>West Ham United</t>
        </is>
      </c>
      <c r="F39" s="4" t="n">
        <v>2.04</v>
      </c>
      <c r="G39" s="4" t="n">
        <v>3.77</v>
      </c>
      <c r="H39" s="4" t="n">
        <v>4.16</v>
      </c>
      <c r="I39" s="4" t="n">
        <v>1.89</v>
      </c>
      <c r="J39" s="4" t="n">
        <v>2.11</v>
      </c>
      <c r="K39" s="2" t="inlineStr">
        <is>
          <t>Inglaterra</t>
        </is>
      </c>
      <c r="L39" s="5" t="n">
        <v>0.4928664544249471</v>
      </c>
      <c r="M39" s="5" t="n">
        <v>0.2525110804175839</v>
      </c>
      <c r="N39" s="5" t="n">
        <v>0.2546224651574689</v>
      </c>
      <c r="O39" s="5" t="n">
        <v>0.5308988957465525</v>
      </c>
      <c r="P39" s="5" t="n">
        <v>0.4691011042534474</v>
      </c>
      <c r="Q39" s="2" t="n">
        <v>2</v>
      </c>
      <c r="R39" s="2" t="n">
        <v>0</v>
      </c>
      <c r="S39" s="3">
        <f>IF(OR(Q39="",R39=""),"[APOSTAR] VISITA",IF(Q39&lt;R39,"[GANADA] VISITA","[PERDIDA] VISITA"))</f>
        <v/>
      </c>
      <c r="T39" s="3" t="inlineStr">
        <is>
          <t>[PASAR] Margen Predictivo O/U Insuficiente (&lt;15%)</t>
        </is>
      </c>
      <c r="U39" s="6" t="n">
        <v>662.6799999999999</v>
      </c>
      <c r="V39" s="6" t="n">
        <v>0</v>
      </c>
      <c r="W39" s="3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6">
        <f>Y38+X39</f>
        <v/>
      </c>
      <c r="Z39" s="7">
        <f>IF(OR(Q39="",R39=""),"",(L39-IF(Q39&gt;R39,1,0))^2+(M39-IF(Q39=R39,1,0))^2+(N39-IF(Q39&lt;R39,1,0))^2)</f>
        <v/>
      </c>
      <c r="AA39" s="8" t="n">
        <v>0.7591</v>
      </c>
      <c r="AB39" s="2" t="inlineStr">
        <is>
          <t>NO</t>
        </is>
      </c>
    </row>
    <row r="40">
      <c r="A40" s="2" t="inlineStr">
        <is>
          <t>22/03/2026</t>
        </is>
      </c>
      <c r="B40" s="3" t="inlineStr">
        <is>
          <t>2026-03-22athleticoparanaensecoritiba</t>
        </is>
      </c>
      <c r="C40" s="3" t="inlineStr">
        <is>
          <t>Athletico Paranaense vs Coritiba</t>
        </is>
      </c>
      <c r="D40" s="3" t="inlineStr">
        <is>
          <t>Athletico Paranaense</t>
        </is>
      </c>
      <c r="E40" s="3" t="inlineStr">
        <is>
          <t>Coritiba</t>
        </is>
      </c>
      <c r="F40" s="4" t="n">
        <v>2.05</v>
      </c>
      <c r="G40" s="4" t="n">
        <v>3.4</v>
      </c>
      <c r="H40" s="4" t="n">
        <v>4.31</v>
      </c>
      <c r="I40" s="4" t="n">
        <v>2.23</v>
      </c>
      <c r="J40" s="4" t="n">
        <v>1.68</v>
      </c>
      <c r="K40" s="2" t="inlineStr">
        <is>
          <t>Brasil</t>
        </is>
      </c>
      <c r="L40" s="5" t="n">
        <v>0.4325379876463972</v>
      </c>
      <c r="M40" s="5" t="n">
        <v>0.2666240474736649</v>
      </c>
      <c r="N40" s="5" t="n">
        <v>0.3008379648799378</v>
      </c>
      <c r="O40" s="5" t="n">
        <v>0.4998597255701074</v>
      </c>
      <c r="P40" s="5" t="n">
        <v>0.5001402744298925</v>
      </c>
      <c r="Q40" s="2" t="n">
        <v>2</v>
      </c>
      <c r="R40" s="2" t="n">
        <v>0</v>
      </c>
      <c r="S40" s="3">
        <f>IF(OR(Q40="",R40=""),"[APOSTAR] VISITA",IF(Q40&lt;R40,"[GANADA] VISITA","[PERDIDA] VISITA"))</f>
        <v/>
      </c>
      <c r="T40" s="3" t="inlineStr">
        <is>
          <t>[PASAR] Margen Predictivo O/U Insuficiente (&lt;15%)</t>
        </is>
      </c>
      <c r="U40" s="6" t="n">
        <v>1250</v>
      </c>
      <c r="V40" s="6" t="n">
        <v>0</v>
      </c>
      <c r="W40" s="3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6">
        <f>Y39+X40</f>
        <v/>
      </c>
      <c r="Z40" s="7">
        <f>IF(OR(Q40="",R40=""),"",(L40-IF(Q40&gt;R40,1,0))^2+(M40-IF(Q40=R40,1,0))^2+(N40-IF(Q40&lt;R40,1,0))^2)</f>
        <v/>
      </c>
      <c r="AA40" s="8" t="n">
        <v>0.5407999999999999</v>
      </c>
      <c r="AB40" s="2" t="inlineStr">
        <is>
          <t>NO</t>
        </is>
      </c>
    </row>
    <row r="41">
      <c r="A41" s="2" t="inlineStr">
        <is>
          <t>22/03/2026</t>
        </is>
      </c>
      <c r="B41" s="3" t="inlineStr">
        <is>
          <t>2026-03-22belgranocordobaracingclub</t>
        </is>
      </c>
      <c r="C41" s="3" t="inlineStr">
        <is>
          <t>Belgrano (córdoba) vs Racing Club</t>
        </is>
      </c>
      <c r="D41" s="3" t="inlineStr">
        <is>
          <t>Belgrano (córdoba)</t>
        </is>
      </c>
      <c r="E41" s="3" t="inlineStr">
        <is>
          <t>Racing Club</t>
        </is>
      </c>
      <c r="F41" s="4" t="n">
        <v>2.88</v>
      </c>
      <c r="G41" s="4" t="n">
        <v>3.1</v>
      </c>
      <c r="H41" s="4" t="n">
        <v>2.95</v>
      </c>
      <c r="I41" s="4" t="n">
        <v>2.7</v>
      </c>
      <c r="J41" s="4" t="n">
        <v>1.52</v>
      </c>
      <c r="K41" s="2" t="inlineStr">
        <is>
          <t>Argentina</t>
        </is>
      </c>
      <c r="L41" s="5" t="n">
        <v>0.3278105992180673</v>
      </c>
      <c r="M41" s="5" t="n">
        <v>0.3008241159499364</v>
      </c>
      <c r="N41" s="5" t="n">
        <v>0.3713652848319963</v>
      </c>
      <c r="O41" s="5" t="n">
        <v>0.3926604043241473</v>
      </c>
      <c r="P41" s="5" t="n">
        <v>0.6073395956758527</v>
      </c>
      <c r="Q41" s="2" t="n">
        <v>1</v>
      </c>
      <c r="R41" s="2" t="n">
        <v>2</v>
      </c>
      <c r="S41" s="3" t="inlineStr">
        <is>
          <t>[PASAR] Margen Predictivo Insuficiente (&lt;5%)</t>
        </is>
      </c>
      <c r="T41" s="3" t="inlineStr">
        <is>
          <t>[PASAR] Sin Valor</t>
        </is>
      </c>
      <c r="U41" s="6" t="n">
        <v>0</v>
      </c>
      <c r="V41" s="6" t="n">
        <v>0</v>
      </c>
      <c r="W41" s="3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6">
        <f>Y40+X41</f>
        <v/>
      </c>
      <c r="Z41" s="7">
        <f>IF(OR(Q41="",R41=""),"",(L41-IF(Q41&gt;R41,1,0))^2+(M41-IF(Q41=R41,1,0))^2+(N41-IF(Q41&lt;R41,1,0))^2)</f>
        <v/>
      </c>
      <c r="AA41" s="8" t="n">
        <v>0.6212</v>
      </c>
      <c r="AB41" s="2" t="inlineStr">
        <is>
          <t>NO</t>
        </is>
      </c>
    </row>
    <row r="42">
      <c r="A42" s="2" t="inlineStr">
        <is>
          <t>22/03/2026</t>
        </is>
      </c>
      <c r="B42" s="3" t="inlineStr">
        <is>
          <t>2026-03-22bocajuniorsinstitutocordoba</t>
        </is>
      </c>
      <c r="C42" s="3" t="inlineStr">
        <is>
          <t>Boca Juniors vs Instituto (córdoba)</t>
        </is>
      </c>
      <c r="D42" s="3" t="inlineStr">
        <is>
          <t>Boca Juniors</t>
        </is>
      </c>
      <c r="E42" s="3" t="inlineStr">
        <is>
          <t>Instituto (córdoba)</t>
        </is>
      </c>
      <c r="F42" s="4" t="n">
        <v>1.8</v>
      </c>
      <c r="G42" s="4" t="n">
        <v>3.4</v>
      </c>
      <c r="H42" s="4" t="n">
        <v>5.75</v>
      </c>
      <c r="I42" s="4" t="n">
        <v>2.72</v>
      </c>
      <c r="J42" s="4" t="n">
        <v>1.49</v>
      </c>
      <c r="K42" s="2" t="inlineStr">
        <is>
          <t>Argentina</t>
        </is>
      </c>
      <c r="L42" s="5" t="n">
        <v>0.4722930484720415</v>
      </c>
      <c r="M42" s="5" t="n">
        <v>0.2891280590874311</v>
      </c>
      <c r="N42" s="5" t="n">
        <v>0.2385788924405274</v>
      </c>
      <c r="O42" s="5" t="n">
        <v>0.3963885637853248</v>
      </c>
      <c r="P42" s="5" t="n">
        <v>0.6036114362146752</v>
      </c>
      <c r="Q42" s="2" t="n">
        <v>2</v>
      </c>
      <c r="R42" s="2" t="n">
        <v>0</v>
      </c>
      <c r="S42" s="3" t="inlineStr">
        <is>
          <t>[PASAR] Riesgo/Beneficio</t>
        </is>
      </c>
      <c r="T42" s="3" t="inlineStr">
        <is>
          <t>[PASAR] Sin Valor</t>
        </is>
      </c>
      <c r="U42" s="6" t="n">
        <v>0</v>
      </c>
      <c r="V42" s="6" t="n">
        <v>0</v>
      </c>
      <c r="W42" s="3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6">
        <f>Y41+X42</f>
        <v/>
      </c>
      <c r="Z42" s="7">
        <f>IF(OR(Q42="",R42=""),"",(L42-IF(Q42&gt;R42,1,0))^2+(M42-IF(Q42=R42,1,0))^2+(N42-IF(Q42&lt;R42,1,0))^2)</f>
        <v/>
      </c>
      <c r="AA42" s="8" t="n">
        <v>0.6121</v>
      </c>
      <c r="AB42" s="2" t="inlineStr">
        <is>
          <t>NO</t>
        </is>
      </c>
    </row>
    <row r="43">
      <c r="A43" s="2" t="inlineStr">
        <is>
          <t>22/03/2026</t>
        </is>
      </c>
      <c r="B43" s="3" t="inlineStr">
        <is>
          <t>2026-03-22corinthiansflamengo</t>
        </is>
      </c>
      <c r="C43" s="3" t="inlineStr">
        <is>
          <t>Corinthians vs Flamengo</t>
        </is>
      </c>
      <c r="D43" s="3" t="inlineStr">
        <is>
          <t>Corinthians</t>
        </is>
      </c>
      <c r="E43" s="3" t="inlineStr">
        <is>
          <t>Flamengo</t>
        </is>
      </c>
      <c r="F43" s="4" t="n">
        <v>3.74</v>
      </c>
      <c r="G43" s="4" t="n">
        <v>3.3</v>
      </c>
      <c r="H43" s="4" t="n">
        <v>2.18</v>
      </c>
      <c r="I43" s="4" t="n">
        <v>2.31</v>
      </c>
      <c r="J43" s="4" t="n">
        <v>1.65</v>
      </c>
      <c r="K43" s="2" t="inlineStr">
        <is>
          <t>Brasil</t>
        </is>
      </c>
      <c r="L43" s="5" t="n">
        <v>0.3931356953833188</v>
      </c>
      <c r="M43" s="5" t="n">
        <v>0.2611856627335812</v>
      </c>
      <c r="N43" s="5" t="n">
        <v>0.3456786418830998</v>
      </c>
      <c r="O43" s="5" t="n">
        <v>0.5350607893625914</v>
      </c>
      <c r="P43" s="5" t="n">
        <v>0.4649392106374085</v>
      </c>
      <c r="Q43" s="2" t="n">
        <v>1</v>
      </c>
      <c r="R43" s="2" t="n">
        <v>1</v>
      </c>
      <c r="S43" s="3" t="inlineStr">
        <is>
          <t>[PASAR] Margen Predictivo Insuficiente (&lt;5%)</t>
        </is>
      </c>
      <c r="T43" s="3" t="inlineStr">
        <is>
          <t>[PASAR] Margen Predictivo O/U Insuficiente (&lt;15%)</t>
        </is>
      </c>
      <c r="U43" s="6" t="n">
        <v>0</v>
      </c>
      <c r="V43" s="6" t="n">
        <v>0</v>
      </c>
      <c r="W43" s="3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6">
        <f>Y42+X43</f>
        <v/>
      </c>
      <c r="Z43" s="7">
        <f>IF(OR(Q43="",R43=""),"",(L43-IF(Q43&gt;R43,1,0))^2+(M43-IF(Q43=R43,1,0))^2+(N43-IF(Q43&lt;R43,1,0))^2)</f>
        <v/>
      </c>
      <c r="AA43" s="8" t="n">
        <v>0.7604</v>
      </c>
      <c r="AB43" s="2" t="inlineStr">
        <is>
          <t>NO</t>
        </is>
      </c>
    </row>
    <row r="44">
      <c r="A44" s="2" t="inlineStr">
        <is>
          <t>22/03/2026</t>
        </is>
      </c>
      <c r="B44" s="3" t="inlineStr">
        <is>
          <t>2026-03-22cruzeirosantos</t>
        </is>
      </c>
      <c r="C44" s="3" t="inlineStr">
        <is>
          <t>Cruzeiro vs Santos</t>
        </is>
      </c>
      <c r="D44" s="3" t="inlineStr">
        <is>
          <t>Cruzeiro</t>
        </is>
      </c>
      <c r="E44" s="3" t="inlineStr">
        <is>
          <t>Santos</t>
        </is>
      </c>
      <c r="F44" s="4" t="n">
        <v>1.94</v>
      </c>
      <c r="G44" s="4" t="n">
        <v>3.6</v>
      </c>
      <c r="H44" s="4" t="n">
        <v>4.42</v>
      </c>
      <c r="I44" s="4" t="n">
        <v>2.05</v>
      </c>
      <c r="J44" s="4" t="n">
        <v>1.81</v>
      </c>
      <c r="K44" s="2" t="inlineStr">
        <is>
          <t>Brasil</t>
        </is>
      </c>
      <c r="L44" s="5" t="n">
        <v>0.4949507676366833</v>
      </c>
      <c r="M44" s="5" t="n">
        <v>0.238440966152403</v>
      </c>
      <c r="N44" s="5" t="n">
        <v>0.2666082662109137</v>
      </c>
      <c r="O44" s="5" t="n">
        <v>0.5985032908303799</v>
      </c>
      <c r="P44" s="5" t="n">
        <v>0.40149670916962</v>
      </c>
      <c r="Q44" s="2" t="n">
        <v>0</v>
      </c>
      <c r="R44" s="2" t="n">
        <v>0</v>
      </c>
      <c r="S44" s="3" t="inlineStr">
        <is>
          <t>[PASAR] Overlap Riesgo (O/U Priorizado)</t>
        </is>
      </c>
      <c r="T44" s="3">
        <f>IF(OR(Q44="",R44=""),"[APOSTAR] OVER 2.5",IF((Q44+R44)&gt;2.5,"[GANADA] OVER 2.5","[PERDIDA] OVER 2.5"))</f>
        <v/>
      </c>
      <c r="U44" s="6" t="n">
        <v>0</v>
      </c>
      <c r="V44" s="6" t="n">
        <v>1250</v>
      </c>
      <c r="W44" s="3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6">
        <f>Y43+X44</f>
        <v/>
      </c>
      <c r="Z44" s="7">
        <f>IF(OR(Q44="",R44=""),"",(L44-IF(Q44&gt;R44,1,0))^2+(M44-IF(Q44=R44,1,0))^2+(N44-IF(Q44&lt;R44,1,0))^2)</f>
        <v/>
      </c>
      <c r="AA44" s="8" t="n">
        <v>0.7753</v>
      </c>
      <c r="AB44" s="2" t="inlineStr">
        <is>
          <t>NO</t>
        </is>
      </c>
    </row>
    <row r="45">
      <c r="A45" s="2" t="inlineStr">
        <is>
          <t>22/03/2026</t>
        </is>
      </c>
      <c r="B45" s="3" t="inlineStr">
        <is>
          <t>2026-03-22estudiantesderiocuartoriverplate</t>
        </is>
      </c>
      <c r="C45" s="3" t="inlineStr">
        <is>
          <t>Estudiantes de Río Cuarto vs River Plate</t>
        </is>
      </c>
      <c r="D45" s="3" t="inlineStr">
        <is>
          <t>Estudiantes de Río Cuarto</t>
        </is>
      </c>
      <c r="E45" s="3" t="inlineStr">
        <is>
          <t>River Plate</t>
        </is>
      </c>
      <c r="F45" s="4" t="n">
        <v>5.96</v>
      </c>
      <c r="G45" s="4" t="n">
        <v>3.55</v>
      </c>
      <c r="H45" s="4" t="n">
        <v>1.75</v>
      </c>
      <c r="I45" s="4" t="n">
        <v>2.38</v>
      </c>
      <c r="J45" s="4" t="n">
        <v>1.64</v>
      </c>
      <c r="K45" s="2" t="inlineStr">
        <is>
          <t>Argentina</t>
        </is>
      </c>
      <c r="L45" s="5" t="n">
        <v>0.3300752709987969</v>
      </c>
      <c r="M45" s="5" t="n">
        <v>0.2967300732151796</v>
      </c>
      <c r="N45" s="5" t="n">
        <v>0.3731946557860236</v>
      </c>
      <c r="O45" s="5" t="n">
        <v>0.4070079729829672</v>
      </c>
      <c r="P45" s="5" t="n">
        <v>0.5929920270170328</v>
      </c>
      <c r="Q45" s="2" t="n">
        <v>0</v>
      </c>
      <c r="R45" s="2" t="n">
        <v>2</v>
      </c>
      <c r="S45" s="3" t="inlineStr">
        <is>
          <t>[PASAR] Margen Predictivo Insuficiente (&lt;5%)</t>
        </is>
      </c>
      <c r="T45" s="3" t="inlineStr">
        <is>
          <t>[PASAR] Sin Valor</t>
        </is>
      </c>
      <c r="U45" s="6" t="n">
        <v>0</v>
      </c>
      <c r="V45" s="6" t="n">
        <v>0</v>
      </c>
      <c r="W45" s="3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6">
        <f>Y44+X45</f>
        <v/>
      </c>
      <c r="Z45" s="7">
        <f>IF(OR(Q45="",R45=""),"",(L45-IF(Q45&gt;R45,1,0))^2+(M45-IF(Q45=R45,1,0))^2+(N45-IF(Q45&lt;R45,1,0))^2)</f>
        <v/>
      </c>
      <c r="AA45" s="8" t="n">
        <v>0.6315</v>
      </c>
      <c r="AB45" s="2" t="inlineStr">
        <is>
          <t>NO</t>
        </is>
      </c>
    </row>
    <row r="46">
      <c r="A46" s="2" t="inlineStr">
        <is>
          <t>22/03/2026</t>
        </is>
      </c>
      <c r="B46" s="3" t="inlineStr">
        <is>
          <t>2026-03-22fredrikstadkfumoslo</t>
        </is>
      </c>
      <c r="C46" s="3" t="inlineStr">
        <is>
          <t>Fredrikstad vs Kfum Oslo</t>
        </is>
      </c>
      <c r="D46" s="3" t="inlineStr">
        <is>
          <t>Fredrikstad</t>
        </is>
      </c>
      <c r="E46" s="3" t="inlineStr">
        <is>
          <t>Kfum Oslo</t>
        </is>
      </c>
      <c r="F46" s="4" t="n">
        <v>2.38</v>
      </c>
      <c r="G46" s="4" t="n">
        <v>3.3</v>
      </c>
      <c r="H46" s="4" t="n">
        <v>3.22</v>
      </c>
      <c r="I46" s="4" t="n">
        <v>2.15</v>
      </c>
      <c r="J46" s="4" t="n">
        <v>1.76</v>
      </c>
      <c r="K46" s="2" t="inlineStr">
        <is>
          <t>Noruega</t>
        </is>
      </c>
      <c r="L46" s="5" t="n">
        <v>0.3783673362548702</v>
      </c>
      <c r="M46" s="5" t="n">
        <v>0.2603108873463264</v>
      </c>
      <c r="N46" s="5" t="n">
        <v>0.3613217763988035</v>
      </c>
      <c r="O46" s="5" t="n">
        <v>0.5270806894054612</v>
      </c>
      <c r="P46" s="5" t="n">
        <v>0.4729193105945388</v>
      </c>
      <c r="Q46" s="2" t="n">
        <v>3</v>
      </c>
      <c r="R46" s="2" t="n">
        <v>1</v>
      </c>
      <c r="S46" s="3" t="inlineStr">
        <is>
          <t>[PASAR] Margen Predictivo Insuficiente (&lt;5%)</t>
        </is>
      </c>
      <c r="T46" s="3" t="inlineStr">
        <is>
          <t>[PASAR] Margen Predictivo O/U Insuficiente (&lt;15%)</t>
        </is>
      </c>
      <c r="U46" s="6" t="n">
        <v>0</v>
      </c>
      <c r="V46" s="6" t="n">
        <v>0</v>
      </c>
      <c r="W46" s="3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6">
        <f>Y45+X46</f>
        <v/>
      </c>
      <c r="Z46" s="7">
        <f>IF(OR(Q46="",R46=""),"",(L46-IF(Q46&gt;R46,1,0))^2+(M46-IF(Q46=R46,1,0))^2+(N46-IF(Q46&lt;R46,1,0))^2)</f>
        <v/>
      </c>
      <c r="AA46" s="8" t="n">
        <v>0.6645</v>
      </c>
      <c r="AB46" s="2" t="inlineStr">
        <is>
          <t>NO</t>
        </is>
      </c>
    </row>
    <row r="47">
      <c r="A47" s="2" t="inlineStr">
        <is>
          <t>22/03/2026</t>
        </is>
      </c>
      <c r="B47" s="3" t="inlineStr">
        <is>
          <t>2026-03-22internacionalchapecoense</t>
        </is>
      </c>
      <c r="C47" s="3" t="inlineStr">
        <is>
          <t>Internacional vs Chapecoense</t>
        </is>
      </c>
      <c r="D47" s="3" t="inlineStr">
        <is>
          <t>Internacional</t>
        </is>
      </c>
      <c r="E47" s="3" t="inlineStr">
        <is>
          <t>Chapecoense</t>
        </is>
      </c>
      <c r="F47" s="4" t="n">
        <v>1.6</v>
      </c>
      <c r="G47" s="4" t="n">
        <v>4.36</v>
      </c>
      <c r="H47" s="4" t="n">
        <v>8.199999999999999</v>
      </c>
      <c r="I47" s="4" t="n">
        <v>1.93</v>
      </c>
      <c r="J47" s="4" t="n">
        <v>2.04</v>
      </c>
      <c r="K47" s="2" t="inlineStr">
        <is>
          <t>Brasil</t>
        </is>
      </c>
      <c r="L47" s="5" t="n">
        <v>0.4766139756239055</v>
      </c>
      <c r="M47" s="5" t="n">
        <v>0.2464739182027748</v>
      </c>
      <c r="N47" s="5" t="n">
        <v>0.2769121061733198</v>
      </c>
      <c r="O47" s="5" t="n">
        <v>0.5709537516820591</v>
      </c>
      <c r="P47" s="5" t="n">
        <v>0.4290462483179409</v>
      </c>
      <c r="Q47" s="2" t="n">
        <v>2</v>
      </c>
      <c r="R47" s="2" t="n">
        <v>0</v>
      </c>
      <c r="S47" s="3" t="inlineStr">
        <is>
          <t>[PASAR] Riesgo/Beneficio</t>
        </is>
      </c>
      <c r="T47" s="3" t="inlineStr">
        <is>
          <t>[PASAR] Margen Predictivo O/U Insuficiente (&lt;15%)</t>
        </is>
      </c>
      <c r="U47" s="6" t="n">
        <v>0</v>
      </c>
      <c r="V47" s="6" t="n">
        <v>0</v>
      </c>
      <c r="W47" s="3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6">
        <f>Y46+X47</f>
        <v/>
      </c>
      <c r="Z47" s="7">
        <f>IF(OR(Q47="",R47=""),"",(L47-IF(Q47&gt;R47,1,0))^2+(M47-IF(Q47=R47,1,0))^2+(N47-IF(Q47&lt;R47,1,0))^2)</f>
        <v/>
      </c>
      <c r="AA47" s="8" t="n">
        <v>0.6413</v>
      </c>
      <c r="AB47" s="2" t="inlineStr">
        <is>
          <t>NO</t>
        </is>
      </c>
    </row>
    <row r="48">
      <c r="A48" s="2" t="inlineStr">
        <is>
          <t>22/03/2026</t>
        </is>
      </c>
      <c r="B48" s="3" t="inlineStr">
        <is>
          <t>2026-03-22newcastleunitedsunderland</t>
        </is>
      </c>
      <c r="C48" s="3" t="inlineStr">
        <is>
          <t>Newcastle United vs Sunderland</t>
        </is>
      </c>
      <c r="D48" s="3" t="inlineStr">
        <is>
          <t>Newcastle United</t>
        </is>
      </c>
      <c r="E48" s="3" t="inlineStr">
        <is>
          <t>Sunderland</t>
        </is>
      </c>
      <c r="F48" s="4" t="n">
        <v>1.74</v>
      </c>
      <c r="G48" s="4" t="n">
        <v>4.2</v>
      </c>
      <c r="H48" s="4" t="n">
        <v>5.6</v>
      </c>
      <c r="I48" s="4" t="n">
        <v>1.96</v>
      </c>
      <c r="J48" s="4" t="n">
        <v>2.02</v>
      </c>
      <c r="K48" s="2" t="inlineStr">
        <is>
          <t>Inglaterra</t>
        </is>
      </c>
      <c r="L48" s="5" t="n">
        <v>0.4508549739721156</v>
      </c>
      <c r="M48" s="5" t="n">
        <v>0.2538639291312507</v>
      </c>
      <c r="N48" s="5" t="n">
        <v>0.2952810968966337</v>
      </c>
      <c r="O48" s="5" t="n">
        <v>0.5513673051023443</v>
      </c>
      <c r="P48" s="5" t="n">
        <v>0.4486326948976557</v>
      </c>
      <c r="Q48" s="2" t="n">
        <v>1</v>
      </c>
      <c r="R48" s="2" t="n">
        <v>2</v>
      </c>
      <c r="S48" s="3" t="inlineStr">
        <is>
          <t>[PASAR] Riesgo/Beneficio</t>
        </is>
      </c>
      <c r="T48" s="3" t="inlineStr">
        <is>
          <t>[PASAR] Margen Predictivo O/U Insuficiente (&lt;15%)</t>
        </is>
      </c>
      <c r="U48" s="6" t="n">
        <v>0</v>
      </c>
      <c r="V48" s="6" t="n">
        <v>0</v>
      </c>
      <c r="W48" s="3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6">
        <f>Y47+X48</f>
        <v/>
      </c>
      <c r="Z48" s="7">
        <f>IF(OR(Q48="",R48=""),"",(L48-IF(Q48&gt;R48,1,0))^2+(M48-IF(Q48=R48,1,0))^2+(N48-IF(Q48&lt;R48,1,0))^2)</f>
        <v/>
      </c>
      <c r="AA48" s="8" t="n">
        <v>0.6213</v>
      </c>
      <c r="AB48" s="2" t="inlineStr">
        <is>
          <t>NO</t>
        </is>
      </c>
    </row>
    <row r="49">
      <c r="A49" s="2" t="inlineStr">
        <is>
          <t>22/03/2026</t>
        </is>
      </c>
      <c r="B49" s="3" t="inlineStr">
        <is>
          <t>2026-03-22remobahia</t>
        </is>
      </c>
      <c r="C49" s="3" t="inlineStr">
        <is>
          <t>Remo vs Bahia</t>
        </is>
      </c>
      <c r="D49" s="3" t="inlineStr">
        <is>
          <t>Remo</t>
        </is>
      </c>
      <c r="E49" s="3" t="inlineStr">
        <is>
          <t>Bahia</t>
        </is>
      </c>
      <c r="F49" s="4" t="n">
        <v>3.69</v>
      </c>
      <c r="G49" s="4" t="n">
        <v>3.5</v>
      </c>
      <c r="H49" s="4" t="n">
        <v>2.28</v>
      </c>
      <c r="I49" s="4" t="n">
        <v>1.96</v>
      </c>
      <c r="J49" s="4" t="n">
        <v>2.01</v>
      </c>
      <c r="K49" s="2" t="inlineStr">
        <is>
          <t>Brasil</t>
        </is>
      </c>
      <c r="L49" s="5" t="n">
        <v>0.4732405209477041</v>
      </c>
      <c r="M49" s="5" t="n">
        <v>0.2488105586276542</v>
      </c>
      <c r="N49" s="5" t="n">
        <v>0.2779489204246416</v>
      </c>
      <c r="O49" s="5" t="n">
        <v>0.5616275155884431</v>
      </c>
      <c r="P49" s="5" t="n">
        <v>0.4383724844115568</v>
      </c>
      <c r="Q49" s="2" t="n">
        <v>4</v>
      </c>
      <c r="R49" s="2" t="n">
        <v>1</v>
      </c>
      <c r="S49" s="3" t="inlineStr">
        <is>
          <t>[PASAR] Info Oculta</t>
        </is>
      </c>
      <c r="T49" s="3" t="inlineStr">
        <is>
          <t>[PASAR] Margen Predictivo O/U Insuficiente (&lt;15%)</t>
        </is>
      </c>
      <c r="U49" s="6" t="n">
        <v>0</v>
      </c>
      <c r="V49" s="6" t="n">
        <v>0</v>
      </c>
      <c r="W49" s="3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6">
        <f>Y48+X49</f>
        <v/>
      </c>
      <c r="Z49" s="7">
        <f>IF(OR(Q49="",R49=""),"",(L49-IF(Q49&gt;R49,1,0))^2+(M49-IF(Q49=R49,1,0))^2+(N49-IF(Q49&lt;R49,1,0))^2)</f>
        <v/>
      </c>
      <c r="AA49" s="8" t="n">
        <v>0.7503</v>
      </c>
      <c r="AB49" s="2" t="inlineStr">
        <is>
          <t>NO</t>
        </is>
      </c>
    </row>
    <row r="50">
      <c r="A50" s="2" t="inlineStr">
        <is>
          <t>22/03/2026</t>
        </is>
      </c>
      <c r="B50" s="3" t="inlineStr">
        <is>
          <t>2026-03-22rosenborgvalerenga</t>
        </is>
      </c>
      <c r="C50" s="3" t="inlineStr">
        <is>
          <t>Rosenborg vs Valerenga</t>
        </is>
      </c>
      <c r="D50" s="3" t="inlineStr">
        <is>
          <t>Rosenborg</t>
        </is>
      </c>
      <c r="E50" s="3" t="inlineStr">
        <is>
          <t>Valerenga</t>
        </is>
      </c>
      <c r="F50" s="4" t="n">
        <v>2.26</v>
      </c>
      <c r="G50" s="4" t="n">
        <v>3.85</v>
      </c>
      <c r="H50" s="4" t="n">
        <v>3.25</v>
      </c>
      <c r="I50" s="4" t="n">
        <v>1.58</v>
      </c>
      <c r="J50" s="4" t="n">
        <v>2.33</v>
      </c>
      <c r="K50" s="2" t="inlineStr">
        <is>
          <t>Noruega</t>
        </is>
      </c>
      <c r="L50" s="5" t="n">
        <v>0.4866934908317617</v>
      </c>
      <c r="M50" s="5" t="n">
        <v>0.2477732271558427</v>
      </c>
      <c r="N50" s="5" t="n">
        <v>0.2655332820123957</v>
      </c>
      <c r="O50" s="5" t="n">
        <v>0.5442511332454576</v>
      </c>
      <c r="P50" s="5" t="n">
        <v>0.4557488667545425</v>
      </c>
      <c r="Q50" s="2" t="n">
        <v>0</v>
      </c>
      <c r="R50" s="2" t="n">
        <v>2</v>
      </c>
      <c r="S50" s="3">
        <f>IF(OR(Q50="",R50=""),"[APOSTAR] LOCAL",IF(Q50&gt;R50,"[GANADA] LOCAL","[PERDIDA] LOCAL"))</f>
        <v/>
      </c>
      <c r="T50" s="3" t="inlineStr">
        <is>
          <t>[PASAR] Margen Predictivo O/U Insuficiente (&lt;15%)</t>
        </is>
      </c>
      <c r="U50" s="6" t="n">
        <v>1443.38</v>
      </c>
      <c r="V50" s="6" t="n">
        <v>0</v>
      </c>
      <c r="W50" s="3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6">
        <f>Y49+X50</f>
        <v/>
      </c>
      <c r="Z50" s="7">
        <f>IF(OR(Q50="",R50=""),"",(L50-IF(Q50&gt;R50,1,0))^2+(M50-IF(Q50=R50,1,0))^2+(N50-IF(Q50&lt;R50,1,0))^2)</f>
        <v/>
      </c>
      <c r="AA50" s="8" t="n">
        <v>1.038</v>
      </c>
      <c r="AB50" s="2" t="inlineStr">
        <is>
          <t>NO</t>
        </is>
      </c>
    </row>
    <row r="51">
      <c r="A51" s="2" t="inlineStr">
        <is>
          <t>22/03/2026</t>
        </is>
      </c>
      <c r="B51" s="3" t="inlineStr">
        <is>
          <t>2026-03-22sandefjordsarpsborgfk</t>
        </is>
      </c>
      <c r="C51" s="3" t="inlineStr">
        <is>
          <t>Sandefjord vs Sarpsborg fk</t>
        </is>
      </c>
      <c r="D51" s="3" t="inlineStr">
        <is>
          <t>Sandefjord</t>
        </is>
      </c>
      <c r="E51" s="3" t="inlineStr">
        <is>
          <t>Sarpsborg fk</t>
        </is>
      </c>
      <c r="F51" s="4" t="n">
        <v>2.1</v>
      </c>
      <c r="G51" s="4" t="n">
        <v>4.25</v>
      </c>
      <c r="H51" s="4" t="n">
        <v>3.15</v>
      </c>
      <c r="I51" s="4" t="n">
        <v>1.4</v>
      </c>
      <c r="J51" s="4" t="n">
        <v>2.7</v>
      </c>
      <c r="K51" s="2" t="inlineStr">
        <is>
          <t>Noruega</t>
        </is>
      </c>
      <c r="L51" s="5" t="n">
        <v>0.4042249201863001</v>
      </c>
      <c r="M51" s="5" t="n">
        <v>0.2470649039021326</v>
      </c>
      <c r="N51" s="5" t="n">
        <v>0.3487101759115673</v>
      </c>
      <c r="O51" s="5" t="n">
        <v>0.585044147222101</v>
      </c>
      <c r="P51" s="5" t="n">
        <v>0.414955852777899</v>
      </c>
      <c r="Q51" s="2" t="n">
        <v>0</v>
      </c>
      <c r="R51" s="2" t="n">
        <v>2</v>
      </c>
      <c r="S51" s="3">
        <f>IF(OR(Q51="",R51=""),"[APOSTAR] VISITA",IF(Q51&lt;R51,"[GANADA] VISITA","[PERDIDA] VISITA"))</f>
        <v/>
      </c>
      <c r="T51" s="3" t="inlineStr">
        <is>
          <t>[PASAR] Sin Valor</t>
        </is>
      </c>
      <c r="U51" s="6" t="n">
        <v>1321.69</v>
      </c>
      <c r="V51" s="6" t="n">
        <v>0</v>
      </c>
      <c r="W51" s="3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6">
        <f>Y50+X51</f>
        <v/>
      </c>
      <c r="Z51" s="7">
        <f>IF(OR(Q51="",R51=""),"",(L51-IF(Q51&gt;R51,1,0))^2+(M51-IF(Q51=R51,1,0))^2+(N51-IF(Q51&lt;R51,1,0))^2)</f>
        <v/>
      </c>
      <c r="AA51" s="8" t="n">
        <v>0.7825</v>
      </c>
      <c r="AB51" s="2" t="inlineStr">
        <is>
          <t>NO</t>
        </is>
      </c>
    </row>
    <row r="52">
      <c r="A52" s="2" t="inlineStr">
        <is>
          <t>22/03/2026</t>
        </is>
      </c>
      <c r="B52" s="3" t="inlineStr">
        <is>
          <t>2026-03-22saopaulopalmeiras</t>
        </is>
      </c>
      <c r="C52" s="3" t="inlineStr">
        <is>
          <t>São Paulo vs Palmeiras</t>
        </is>
      </c>
      <c r="D52" s="3" t="inlineStr">
        <is>
          <t>São Paulo</t>
        </is>
      </c>
      <c r="E52" s="3" t="inlineStr">
        <is>
          <t>Palmeiras</t>
        </is>
      </c>
      <c r="F52" s="4" t="n">
        <v>3.01</v>
      </c>
      <c r="G52" s="4" t="n">
        <v>3.25</v>
      </c>
      <c r="H52" s="4" t="n">
        <v>2.77</v>
      </c>
      <c r="I52" s="4" t="n">
        <v>2.12</v>
      </c>
      <c r="J52" s="4" t="n">
        <v>1.76</v>
      </c>
      <c r="K52" s="2" t="inlineStr">
        <is>
          <t>Brasil</t>
        </is>
      </c>
      <c r="L52" s="5" t="n">
        <v>0.3807645330432524</v>
      </c>
      <c r="M52" s="5" t="n">
        <v>0.2714991843113134</v>
      </c>
      <c r="N52" s="5" t="n">
        <v>0.3477362826454341</v>
      </c>
      <c r="O52" s="5" t="n">
        <v>0.4920610600377214</v>
      </c>
      <c r="P52" s="5" t="n">
        <v>0.5079389399622787</v>
      </c>
      <c r="Q52" s="2" t="n">
        <v>0</v>
      </c>
      <c r="R52" s="2" t="n">
        <v>1</v>
      </c>
      <c r="S52" s="3" t="inlineStr">
        <is>
          <t>[PASAR] Margen Predictivo Insuficiente (&lt;5%)</t>
        </is>
      </c>
      <c r="T52" s="3" t="inlineStr">
        <is>
          <t>[PASAR] Margen Predictivo O/U Insuficiente (&lt;15%)</t>
        </is>
      </c>
      <c r="U52" s="6" t="n">
        <v>0</v>
      </c>
      <c r="V52" s="6" t="n">
        <v>0</v>
      </c>
      <c r="W52" s="3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6">
        <f>Y51+X52</f>
        <v/>
      </c>
      <c r="Z52" s="7">
        <f>IF(OR(Q52="",R52=""),"",(L52-IF(Q52&gt;R52,1,0))^2+(M52-IF(Q52=R52,1,0))^2+(N52-IF(Q52&lt;R52,1,0))^2)</f>
        <v/>
      </c>
      <c r="AA52" s="8" t="n">
        <v>0.7821</v>
      </c>
      <c r="AB52" s="2" t="inlineStr">
        <is>
          <t>NO</t>
        </is>
      </c>
    </row>
    <row r="53">
      <c r="A53" s="2" t="inlineStr">
        <is>
          <t>22/03/2026</t>
        </is>
      </c>
      <c r="B53" s="3" t="inlineStr">
        <is>
          <t>2026-03-22sarmientojuninaldosivi</t>
        </is>
      </c>
      <c r="C53" s="3" t="inlineStr">
        <is>
          <t>Sarmiento (junín) vs Aldosivi</t>
        </is>
      </c>
      <c r="D53" s="3" t="inlineStr">
        <is>
          <t>Sarmiento (junín)</t>
        </is>
      </c>
      <c r="E53" s="3" t="inlineStr">
        <is>
          <t>Aldosivi</t>
        </is>
      </c>
      <c r="F53" s="4" t="n">
        <v>2.26</v>
      </c>
      <c r="G53" s="4" t="n">
        <v>3</v>
      </c>
      <c r="H53" s="4" t="n">
        <v>4</v>
      </c>
      <c r="I53" s="4" t="n">
        <v>3.15</v>
      </c>
      <c r="J53" s="4" t="n">
        <v>1.35</v>
      </c>
      <c r="K53" s="2" t="inlineStr">
        <is>
          <t>Argentina</t>
        </is>
      </c>
      <c r="L53" s="5" t="n">
        <v>0.457454332660802</v>
      </c>
      <c r="M53" s="5" t="n">
        <v>0.2834740986487994</v>
      </c>
      <c r="N53" s="5" t="n">
        <v>0.2590715686903986</v>
      </c>
      <c r="O53" s="5" t="n">
        <v>0.4283291668066846</v>
      </c>
      <c r="P53" s="5" t="n">
        <v>0.5716708331933155</v>
      </c>
      <c r="Q53" s="2" t="n">
        <v>2</v>
      </c>
      <c r="R53" s="2" t="n">
        <v>0</v>
      </c>
      <c r="S53" s="3">
        <f>IF(OR(Q53="",R53=""),"[APOSTAR] LOCAL",IF(Q53&gt;R53,"[GANADA] LOCAL","[PERDIDA] LOCAL"))</f>
        <v/>
      </c>
      <c r="T53" s="3" t="inlineStr">
        <is>
          <t>[PASAR] Margen Predictivo O/U Insuficiente (&lt;15%)</t>
        </is>
      </c>
      <c r="U53" s="6" t="n">
        <v>1343.13</v>
      </c>
      <c r="V53" s="6" t="n">
        <v>0</v>
      </c>
      <c r="W53" s="3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6">
        <f>Y52+X53</f>
        <v/>
      </c>
      <c r="Z53" s="7">
        <f>IF(OR(Q53="",R53=""),"",(L53-IF(Q53&gt;R53,1,0))^2+(M53-IF(Q53=R53,1,0))^2+(N53-IF(Q53&lt;R53,1,0))^2)</f>
        <v/>
      </c>
      <c r="AA53" s="8" t="n">
        <v>0.6433</v>
      </c>
      <c r="AB53" s="2" t="inlineStr">
        <is>
          <t>NO</t>
        </is>
      </c>
    </row>
    <row r="54">
      <c r="A54" s="2" t="inlineStr">
        <is>
          <t>22/03/2026</t>
        </is>
      </c>
      <c r="B54" s="3" t="inlineStr">
        <is>
          <t>2026-03-22skbranntromso</t>
        </is>
      </c>
      <c r="C54" s="3" t="inlineStr">
        <is>
          <t>Sk Brann vs Tromso</t>
        </is>
      </c>
      <c r="D54" s="3" t="inlineStr">
        <is>
          <t>Sk Brann</t>
        </is>
      </c>
      <c r="E54" s="3" t="inlineStr">
        <is>
          <t>Tromso</t>
        </is>
      </c>
      <c r="F54" s="4" t="n">
        <v>2.15</v>
      </c>
      <c r="G54" s="4" t="n">
        <v>3.65</v>
      </c>
      <c r="H54" s="4" t="n">
        <v>3.4</v>
      </c>
      <c r="I54" s="4" t="n">
        <v>1.77</v>
      </c>
      <c r="J54" s="4" t="n">
        <v>2.12</v>
      </c>
      <c r="K54" s="2" t="inlineStr">
        <is>
          <t>Noruega</t>
        </is>
      </c>
      <c r="L54" s="5" t="n">
        <v>0.4012742120202197</v>
      </c>
      <c r="M54" s="5" t="n">
        <v>0.2569191123823455</v>
      </c>
      <c r="N54" s="5" t="n">
        <v>0.3418066755974347</v>
      </c>
      <c r="O54" s="5" t="n">
        <v>0.5395525426368118</v>
      </c>
      <c r="P54" s="5" t="n">
        <v>0.4604474573631882</v>
      </c>
      <c r="Q54" s="2" t="n">
        <v>1</v>
      </c>
      <c r="R54" s="2" t="n">
        <v>2</v>
      </c>
      <c r="S54" s="3">
        <f>IF(OR(Q54="",R54=""),"[APOSTAR] VISITA",IF(Q54&lt;R54,"[GANADA] VISITA","[PERDIDA] VISITA"))</f>
        <v/>
      </c>
      <c r="T54" s="3" t="inlineStr">
        <is>
          <t>[PASAR] Margen Predictivo O/U Insuficiente (&lt;15%)</t>
        </is>
      </c>
      <c r="U54" s="6" t="n">
        <v>1443.38</v>
      </c>
      <c r="V54" s="6" t="n">
        <v>0</v>
      </c>
      <c r="W54" s="3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6">
        <f>Y53+X54</f>
        <v/>
      </c>
      <c r="Z54" s="7">
        <f>IF(OR(Q54="",R54=""),"",(L54-IF(Q54&gt;R54,1,0))^2+(M54-IF(Q54=R54,1,0))^2+(N54-IF(Q54&lt;R54,1,0))^2)</f>
        <v/>
      </c>
      <c r="AA54" s="8" t="n">
        <v>0.7016</v>
      </c>
      <c r="AB54" s="2" t="inlineStr">
        <is>
          <t>NO</t>
        </is>
      </c>
    </row>
    <row r="55">
      <c r="A55" s="2" t="inlineStr">
        <is>
          <t>22/03/2026</t>
        </is>
      </c>
      <c r="B55" s="3" t="inlineStr">
        <is>
          <t>2026-03-22tottenhamhotspurnottinghamforest</t>
        </is>
      </c>
      <c r="C55" s="3" t="inlineStr">
        <is>
          <t>Tottenham Hotspur vs Nottingham Forest</t>
        </is>
      </c>
      <c r="D55" s="3" t="inlineStr">
        <is>
          <t>Tottenham Hotspur</t>
        </is>
      </c>
      <c r="E55" s="3" t="inlineStr">
        <is>
          <t>Nottingham Forest</t>
        </is>
      </c>
      <c r="F55" s="4" t="n">
        <v>2.36</v>
      </c>
      <c r="G55" s="4" t="n">
        <v>3.5</v>
      </c>
      <c r="H55" s="4" t="n">
        <v>3.4</v>
      </c>
      <c r="I55" s="4" t="n">
        <v>1.97</v>
      </c>
      <c r="J55" s="4" t="n">
        <v>2.02</v>
      </c>
      <c r="K55" s="2" t="inlineStr">
        <is>
          <t>Inglaterra</t>
        </is>
      </c>
      <c r="L55" s="5" t="n">
        <v>0.3189858742001957</v>
      </c>
      <c r="M55" s="5" t="n">
        <v>0.2610953806422436</v>
      </c>
      <c r="N55" s="5" t="n">
        <v>0.4199187451575607</v>
      </c>
      <c r="O55" s="5" t="n">
        <v>0.5305437527495472</v>
      </c>
      <c r="P55" s="5" t="n">
        <v>0.4694562472504527</v>
      </c>
      <c r="Q55" s="2" t="n">
        <v>0</v>
      </c>
      <c r="R55" s="2" t="n">
        <v>3</v>
      </c>
      <c r="S55" s="3">
        <f>IF(OR(Q55="",R55=""),"[APOSTAR] VISITA",IF(Q55&lt;R55,"[GANADA] VISITA","[PERDIDA] VISITA"))</f>
        <v/>
      </c>
      <c r="T55" s="3" t="inlineStr">
        <is>
          <t>[PASAR] Margen Predictivo O/U Insuficiente (&lt;15%)</t>
        </is>
      </c>
      <c r="U55" s="6" t="n">
        <v>1767.77</v>
      </c>
      <c r="V55" s="6" t="n">
        <v>0</v>
      </c>
      <c r="W55" s="3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6">
        <f>Y54+X55</f>
        <v/>
      </c>
      <c r="Z55" s="7">
        <f>IF(OR(Q55="",R55=""),"",(L55-IF(Q55&gt;R55,1,0))^2+(M55-IF(Q55=R55,1,0))^2+(N55-IF(Q55&lt;R55,1,0))^2)</f>
        <v/>
      </c>
      <c r="AA55" s="8" t="n">
        <v>0.6999</v>
      </c>
      <c r="AB55" s="2" t="inlineStr">
        <is>
          <t>NO</t>
        </is>
      </c>
    </row>
    <row r="56">
      <c r="A56" s="2" t="inlineStr">
        <is>
          <t>22/03/2026</t>
        </is>
      </c>
      <c r="B56" s="3" t="inlineStr">
        <is>
          <t>2026-03-22vascodagamagremio</t>
        </is>
      </c>
      <c r="C56" s="3" t="inlineStr">
        <is>
          <t>Vasco da Gama vs Grêmio</t>
        </is>
      </c>
      <c r="D56" s="3" t="inlineStr">
        <is>
          <t>Vasco da Gama</t>
        </is>
      </c>
      <c r="E56" s="3" t="inlineStr">
        <is>
          <t>Grêmio</t>
        </is>
      </c>
      <c r="F56" s="4" t="n">
        <v>2.08</v>
      </c>
      <c r="G56" s="4" t="n">
        <v>3.6</v>
      </c>
      <c r="H56" s="4" t="n">
        <v>3.9</v>
      </c>
      <c r="I56" s="4" t="n">
        <v>2</v>
      </c>
      <c r="J56" s="4" t="n">
        <v>1.94</v>
      </c>
      <c r="K56" s="2" t="inlineStr">
        <is>
          <t>Brasil</t>
        </is>
      </c>
      <c r="L56" s="5" t="n">
        <v>0.4719454724136109</v>
      </c>
      <c r="M56" s="5" t="n">
        <v>0.2340777994760033</v>
      </c>
      <c r="N56" s="5" t="n">
        <v>0.2939767281103858</v>
      </c>
      <c r="O56" s="5" t="n">
        <v>0.6363287956697196</v>
      </c>
      <c r="P56" s="5" t="n">
        <v>0.3636712043302804</v>
      </c>
      <c r="Q56" s="2" t="n">
        <v>2</v>
      </c>
      <c r="R56" s="2" t="n">
        <v>1</v>
      </c>
      <c r="S56" s="3" t="inlineStr">
        <is>
          <t>[PASAR] Overlap Riesgo (O/U Priorizado)</t>
        </is>
      </c>
      <c r="T56" s="3">
        <f>IF(OR(Q56="",R56=""),"[APOSTAR] OVER 2.5",IF((Q56+R56)&gt;2.5,"[GANADA] OVER 2.5","[PERDIDA] OVER 2.5"))</f>
        <v/>
      </c>
      <c r="U56" s="6" t="n">
        <v>0</v>
      </c>
      <c r="V56" s="6" t="n">
        <v>1250</v>
      </c>
      <c r="W56" s="3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6">
        <f>Y55+X56</f>
        <v/>
      </c>
      <c r="Z56" s="7">
        <f>IF(OR(Q56="",R56=""),"",(L56-IF(Q56&gt;R56,1,0))^2+(M56-IF(Q56=R56,1,0))^2+(N56-IF(Q56&lt;R56,1,0))^2)</f>
        <v/>
      </c>
      <c r="AA56" s="8" t="n">
        <v>0.7447</v>
      </c>
      <c r="AB56" s="2" t="inlineStr">
        <is>
          <t>NO</t>
        </is>
      </c>
    </row>
    <row r="57">
      <c r="A57" s="2" t="inlineStr">
        <is>
          <t>22/03/2026</t>
        </is>
      </c>
      <c r="B57" s="3" t="inlineStr">
        <is>
          <t>2026-03-22vitoriamirassol</t>
        </is>
      </c>
      <c r="C57" s="3" t="inlineStr">
        <is>
          <t>Vitória vs Mirassol</t>
        </is>
      </c>
      <c r="D57" s="3" t="inlineStr">
        <is>
          <t>Vitória</t>
        </is>
      </c>
      <c r="E57" s="3" t="inlineStr">
        <is>
          <t>Mirassol</t>
        </is>
      </c>
      <c r="F57" s="4" t="n">
        <v>2.55</v>
      </c>
      <c r="G57" s="4" t="n">
        <v>3.4</v>
      </c>
      <c r="H57" s="4" t="n">
        <v>3.03</v>
      </c>
      <c r="I57" s="4" t="n">
        <v>2.07</v>
      </c>
      <c r="J57" s="4" t="n">
        <v>1.81</v>
      </c>
      <c r="K57" s="2" t="inlineStr">
        <is>
          <t>Brasil</t>
        </is>
      </c>
      <c r="L57" s="5" t="n">
        <v>0.4430922685337359</v>
      </c>
      <c r="M57" s="5" t="n">
        <v>0.2555776112866258</v>
      </c>
      <c r="N57" s="5" t="n">
        <v>0.3013301201796382</v>
      </c>
      <c r="O57" s="5" t="n">
        <v>0.545657589335549</v>
      </c>
      <c r="P57" s="5" t="n">
        <v>0.454342410664451</v>
      </c>
      <c r="Q57" s="2" t="n">
        <v>1</v>
      </c>
      <c r="R57" s="2" t="n">
        <v>0</v>
      </c>
      <c r="S57" s="3">
        <f>IF(OR(Q57="",R57=""),"[APOSTAR] LOCAL",IF(Q57&gt;R57,"[GANADA] LOCAL","[PERDIDA] LOCAL"))</f>
        <v/>
      </c>
      <c r="T57" s="3" t="inlineStr">
        <is>
          <t>[PASAR] Margen Predictivo O/U Insuficiente (&lt;15%)</t>
        </is>
      </c>
      <c r="U57" s="6" t="n">
        <v>1250</v>
      </c>
      <c r="V57" s="6" t="n">
        <v>0</v>
      </c>
      <c r="W57" s="3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6">
        <f>Y56+X57</f>
        <v/>
      </c>
      <c r="Z57" s="7">
        <f>IF(OR(Q57="",R57=""),"",(L57-IF(Q57&gt;R57,1,0))^2+(M57-IF(Q57=R57,1,0))^2+(N57-IF(Q57&lt;R57,1,0))^2)</f>
        <v/>
      </c>
      <c r="AA57" s="8" t="n">
        <v>0.5823</v>
      </c>
      <c r="AB57" s="2" t="inlineStr">
        <is>
          <t>NO</t>
        </is>
      </c>
    </row>
    <row r="58">
      <c r="A58" s="2" t="inlineStr">
        <is>
          <t>23/03/2026</t>
        </is>
      </c>
      <c r="B58" s="3" t="inlineStr">
        <is>
          <t>2026-03-23argentinosjuniorsplatense</t>
        </is>
      </c>
      <c r="C58" s="3" t="inlineStr">
        <is>
          <t>Argentinos Juniors vs Platense</t>
        </is>
      </c>
      <c r="D58" s="3" t="inlineStr">
        <is>
          <t>Argentinos Juniors</t>
        </is>
      </c>
      <c r="E58" s="3" t="inlineStr">
        <is>
          <t>Platense</t>
        </is>
      </c>
      <c r="F58" s="4" t="n">
        <v>1.79</v>
      </c>
      <c r="G58" s="4" t="n">
        <v>3.4</v>
      </c>
      <c r="H58" s="4" t="n">
        <v>5.95</v>
      </c>
      <c r="I58" s="4" t="n">
        <v>2.72</v>
      </c>
      <c r="J58" s="4" t="n">
        <v>1.44</v>
      </c>
      <c r="K58" s="2" t="inlineStr">
        <is>
          <t>Argentina</t>
        </is>
      </c>
      <c r="L58" s="5" t="n">
        <v>0.4861455834470699</v>
      </c>
      <c r="M58" s="5" t="n">
        <v>0.2825156066180544</v>
      </c>
      <c r="N58" s="5" t="n">
        <v>0.2313388099348757</v>
      </c>
      <c r="O58" s="5" t="n">
        <v>0.4128232474368506</v>
      </c>
      <c r="P58" s="5" t="n">
        <v>0.5871767525631493</v>
      </c>
      <c r="Q58" s="2" t="n">
        <v>1</v>
      </c>
      <c r="R58" s="2" t="n">
        <v>0</v>
      </c>
      <c r="S58" s="3" t="inlineStr">
        <is>
          <t>[PASAR] Riesgo/Beneficio</t>
        </is>
      </c>
      <c r="T58" s="3" t="inlineStr">
        <is>
          <t>[PASAR] Sin Valor</t>
        </is>
      </c>
      <c r="U58" s="6" t="n">
        <v>0</v>
      </c>
      <c r="V58" s="6" t="n">
        <v>0</v>
      </c>
      <c r="W58" s="3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6">
        <f>Y57+X58</f>
        <v/>
      </c>
      <c r="Z58" s="7">
        <f>IF(OR(Q58="",R58=""),"",(L58-IF(Q58&gt;R58,1,0))^2+(M58-IF(Q58=R58,1,0))^2+(N58-IF(Q58&lt;R58,1,0))^2)</f>
        <v/>
      </c>
      <c r="AA58" s="8" t="n">
        <v>0.6281</v>
      </c>
      <c r="AB58" s="2" t="inlineStr">
        <is>
          <t>NO</t>
        </is>
      </c>
    </row>
    <row r="59">
      <c r="A59" s="2" t="inlineStr">
        <is>
          <t>23/03/2026</t>
        </is>
      </c>
      <c r="B59" s="3" t="inlineStr">
        <is>
          <t>2026-03-23estudiantesdelaplatacentralcordobasantiagodelestero</t>
        </is>
      </c>
      <c r="C59" s="3" t="inlineStr">
        <is>
          <t>Estudiantes de la Plata vs Central Córdoba (santiago del Estero)</t>
        </is>
      </c>
      <c r="D59" s="3" t="inlineStr">
        <is>
          <t>Estudiantes de la Plata</t>
        </is>
      </c>
      <c r="E59" s="3" t="inlineStr">
        <is>
          <t>Central Córdoba (santiago del Estero)</t>
        </is>
      </c>
      <c r="F59" s="4" t="n">
        <v>1.56</v>
      </c>
      <c r="G59" s="4" t="n">
        <v>4.05</v>
      </c>
      <c r="H59" s="4" t="n">
        <v>7.4</v>
      </c>
      <c r="I59" s="4" t="n">
        <v>2.52</v>
      </c>
      <c r="J59" s="4" t="n">
        <v>1.55</v>
      </c>
      <c r="K59" s="2" t="inlineStr">
        <is>
          <t>Argentina</t>
        </is>
      </c>
      <c r="L59" s="5" t="n">
        <v>0.5733983104227208</v>
      </c>
      <c r="M59" s="5" t="n">
        <v>0.2544284890419143</v>
      </c>
      <c r="N59" s="5" t="n">
        <v>0.1721732005353649</v>
      </c>
      <c r="O59" s="5" t="n">
        <v>0.4463974102627131</v>
      </c>
      <c r="P59" s="5" t="n">
        <v>0.5536025897372868</v>
      </c>
      <c r="Q59" s="2" t="n">
        <v>5</v>
      </c>
      <c r="R59" s="2" t="n">
        <v>0</v>
      </c>
      <c r="S59" s="3" t="inlineStr">
        <is>
          <t>[PASAR] Riesgo/Beneficio</t>
        </is>
      </c>
      <c r="T59" s="3" t="inlineStr">
        <is>
          <t>[PASAR] Margen Predictivo O/U Insuficiente (&lt;15%)</t>
        </is>
      </c>
      <c r="U59" s="6" t="n">
        <v>0</v>
      </c>
      <c r="V59" s="6" t="n">
        <v>0</v>
      </c>
      <c r="W59" s="3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6">
        <f>Y58+X59</f>
        <v/>
      </c>
      <c r="Z59" s="7">
        <f>IF(OR(Q59="",R59=""),"",(L59-IF(Q59&gt;R59,1,0))^2+(M59-IF(Q59=R59,1,0))^2+(N59-IF(Q59&lt;R59,1,0))^2)</f>
        <v/>
      </c>
      <c r="AA59" s="8" t="n">
        <v>0.9419</v>
      </c>
      <c r="AB59" s="2" t="inlineStr">
        <is>
          <t>NO</t>
        </is>
      </c>
    </row>
    <row r="60">
      <c r="A60" s="2" t="inlineStr">
        <is>
          <t>23/03/2026</t>
        </is>
      </c>
      <c r="B60" s="3" t="inlineStr">
        <is>
          <t>2026-03-23independienterivadaviarosariocentral</t>
        </is>
      </c>
      <c r="C60" s="3" t="inlineStr">
        <is>
          <t>Independiente Rivadavia vs Rosario Central</t>
        </is>
      </c>
      <c r="D60" s="3" t="inlineStr">
        <is>
          <t>Independiente Rivadavia</t>
        </is>
      </c>
      <c r="E60" s="3" t="inlineStr">
        <is>
          <t>Rosario Central</t>
        </is>
      </c>
      <c r="F60" s="4" t="n">
        <v>2.75</v>
      </c>
      <c r="G60" s="4" t="n">
        <v>3.1</v>
      </c>
      <c r="H60" s="4" t="n">
        <v>3.25</v>
      </c>
      <c r="I60" s="4" t="n">
        <v>2.42</v>
      </c>
      <c r="J60" s="4" t="n">
        <v>1.55</v>
      </c>
      <c r="K60" s="2" t="inlineStr">
        <is>
          <t>Argentina</t>
        </is>
      </c>
      <c r="L60" s="5" t="n">
        <v>0.3574002129603266</v>
      </c>
      <c r="M60" s="5" t="n">
        <v>0.2842453289890072</v>
      </c>
      <c r="N60" s="5" t="n">
        <v>0.3583544580506661</v>
      </c>
      <c r="O60" s="5" t="n">
        <v>0.4546459849409152</v>
      </c>
      <c r="P60" s="5" t="n">
        <v>0.5453540150590849</v>
      </c>
      <c r="Q60" s="2" t="n">
        <v>2</v>
      </c>
      <c r="R60" s="2" t="n">
        <v>0</v>
      </c>
      <c r="S60" s="3" t="inlineStr">
        <is>
          <t>[PASAR] Margen Predictivo Insuficiente (&lt;5%)</t>
        </is>
      </c>
      <c r="T60" s="3" t="inlineStr">
        <is>
          <t>[PASAR] Margen Predictivo O/U Insuficiente (&lt;15%)</t>
        </is>
      </c>
      <c r="U60" s="6" t="n">
        <v>0</v>
      </c>
      <c r="V60" s="6" t="n">
        <v>0</v>
      </c>
      <c r="W60" s="3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6">
        <f>Y59+X60</f>
        <v/>
      </c>
      <c r="Z60" s="7">
        <f>IF(OR(Q60="",R60=""),"",(L60-IF(Q60&gt;R60,1,0))^2+(M60-IF(Q60=R60,1,0))^2+(N60-IF(Q60&lt;R60,1,0))^2)</f>
        <v/>
      </c>
      <c r="AA60" s="8" t="n">
        <v>0.5954</v>
      </c>
      <c r="AB60" s="2" t="inlineStr">
        <is>
          <t>NO</t>
        </is>
      </c>
    </row>
    <row r="61">
      <c r="A61" s="2" t="inlineStr">
        <is>
          <t>24/03/2026</t>
        </is>
      </c>
      <c r="B61" s="3" t="inlineStr">
        <is>
          <t>2026-03-24huracanbarracascentral</t>
        </is>
      </c>
      <c r="C61" s="3" t="inlineStr">
        <is>
          <t>Huracán vs Barracas Central</t>
        </is>
      </c>
      <c r="D61" s="3" t="inlineStr">
        <is>
          <t>Huracán</t>
        </is>
      </c>
      <c r="E61" s="3" t="inlineStr">
        <is>
          <t>Barracas Central</t>
        </is>
      </c>
      <c r="F61" s="4" t="n">
        <v>1.83</v>
      </c>
      <c r="G61" s="4" t="n">
        <v>3.18</v>
      </c>
      <c r="H61" s="4" t="n">
        <v>5.9</v>
      </c>
      <c r="I61" s="4" t="n">
        <v>3.05</v>
      </c>
      <c r="J61" s="4" t="n">
        <v>1.37</v>
      </c>
      <c r="K61" s="2" t="inlineStr">
        <is>
          <t>Argentina</t>
        </is>
      </c>
      <c r="L61" s="5" t="n">
        <v>0.4392961184668734</v>
      </c>
      <c r="M61" s="5" t="n">
        <v>0.295245274746423</v>
      </c>
      <c r="N61" s="5" t="n">
        <v>0.2654586067867036</v>
      </c>
      <c r="O61" s="5" t="n">
        <v>0.3922601733778666</v>
      </c>
      <c r="P61" s="5" t="n">
        <v>0.6077398266221333</v>
      </c>
      <c r="Q61" s="2" t="n">
        <v>0</v>
      </c>
      <c r="R61" s="2" t="n">
        <v>0</v>
      </c>
      <c r="S61" s="3" t="inlineStr">
        <is>
          <t>[PASAR] Riesgo/Beneficio</t>
        </is>
      </c>
      <c r="T61" s="3" t="inlineStr">
        <is>
          <t>[PASAR] Sin Valor</t>
        </is>
      </c>
      <c r="U61" s="6" t="n">
        <v>0</v>
      </c>
      <c r="V61" s="6" t="n">
        <v>0</v>
      </c>
      <c r="W61" s="3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6">
        <f>Y60+X61</f>
        <v/>
      </c>
      <c r="Z61" s="7">
        <f>IF(OR(Q61="",R61=""),"",(L61-IF(Q61&gt;R61,1,0))^2+(M61-IF(Q61=R61,1,0))^2+(N61-IF(Q61&lt;R61,1,0))^2)</f>
        <v/>
      </c>
      <c r="AA61" s="8" t="n">
        <v>0.6915</v>
      </c>
      <c r="AB61" s="2" t="inlineStr">
        <is>
          <t>NO</t>
        </is>
      </c>
    </row>
    <row r="62">
      <c r="A62" s="2" t="inlineStr">
        <is>
          <t>25/03/2026</t>
        </is>
      </c>
      <c r="B62" s="3" t="inlineStr">
        <is>
          <t>2026-03-25deportivoriestrasanlorenzo</t>
        </is>
      </c>
      <c r="C62" s="3" t="inlineStr">
        <is>
          <t>Deportivo Riestra vs San Lorenzo</t>
        </is>
      </c>
      <c r="D62" s="3" t="inlineStr">
        <is>
          <t>Deportivo Riestra</t>
        </is>
      </c>
      <c r="E62" s="3" t="inlineStr">
        <is>
          <t>San Lorenzo</t>
        </is>
      </c>
      <c r="F62" s="4" t="n">
        <v>2.55</v>
      </c>
      <c r="G62" s="4" t="n">
        <v>2.75</v>
      </c>
      <c r="H62" s="4" t="n">
        <v>3.66</v>
      </c>
      <c r="I62" s="4" t="n">
        <v>3.55</v>
      </c>
      <c r="J62" s="4" t="n">
        <v>1.29</v>
      </c>
      <c r="K62" s="2" t="inlineStr">
        <is>
          <t>Argentina</t>
        </is>
      </c>
      <c r="L62" s="5" t="n">
        <v>0.4094691656420323</v>
      </c>
      <c r="M62" s="5" t="n">
        <v>0.3142022266959207</v>
      </c>
      <c r="N62" s="5" t="n">
        <v>0.2763286076620469</v>
      </c>
      <c r="O62" s="5" t="n">
        <v>0.2976156163420789</v>
      </c>
      <c r="P62" s="5" t="n">
        <v>0.7023843836579211</v>
      </c>
      <c r="Q62" s="2" t="n">
        <v>1</v>
      </c>
      <c r="R62" s="2" t="n">
        <v>1</v>
      </c>
      <c r="S62" s="3" t="inlineStr">
        <is>
          <t>[PERDIDA] LOCAL</t>
        </is>
      </c>
      <c r="T62" s="3" t="inlineStr">
        <is>
          <t>[PASAR] Sin Valor</t>
        </is>
      </c>
      <c r="U62" s="6" t="n">
        <v>2500</v>
      </c>
      <c r="V62" s="6" t="n">
        <v>0</v>
      </c>
      <c r="W62" s="3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6">
        <f>Y61+X62</f>
        <v/>
      </c>
      <c r="Z62" s="7">
        <f>IF(OR(Q62="",R62=""),"",(L62-IF(Q62&gt;R62,1,0))^2+(M62-IF(Q62=R62,1,0))^2+(N62-IF(Q62&lt;R62,1,0))^2)</f>
        <v/>
      </c>
      <c r="AA62" s="9" t="n"/>
      <c r="AB62" s="2" t="inlineStr">
        <is>
          <t>NO</t>
        </is>
      </c>
    </row>
    <row r="63">
      <c r="A63" s="2" t="inlineStr">
        <is>
          <t>26/03/2026</t>
        </is>
      </c>
      <c r="B63" s="3" t="inlineStr">
        <is>
          <t>2026-03-26argentinosjuniorslanus</t>
        </is>
      </c>
      <c r="C63" s="3" t="inlineStr">
        <is>
          <t>Argentinos Juniors vs Lanus</t>
        </is>
      </c>
      <c r="D63" s="3" t="inlineStr">
        <is>
          <t>Argentinos Juniors</t>
        </is>
      </c>
      <c r="E63" s="3" t="inlineStr">
        <is>
          <t>Lanus</t>
        </is>
      </c>
      <c r="F63" s="4" t="n"/>
      <c r="G63" s="4" t="n"/>
      <c r="H63" s="4" t="n"/>
      <c r="I63" s="4" t="n"/>
      <c r="J63" s="4" t="n"/>
      <c r="K63" s="2" t="inlineStr">
        <is>
          <t>Argentina</t>
        </is>
      </c>
      <c r="L63" s="5" t="n">
        <v>0.4958938011102199</v>
      </c>
      <c r="M63" s="5" t="n">
        <v>0.2679207593102701</v>
      </c>
      <c r="N63" s="5" t="n">
        <v>0.23618543957951</v>
      </c>
      <c r="O63" s="5" t="n">
        <v>0.4152526267373821</v>
      </c>
      <c r="P63" s="5" t="n">
        <v>0.5847473732626179</v>
      </c>
      <c r="Q63" s="2" t="n">
        <v>2</v>
      </c>
      <c r="R63" s="2" t="n">
        <v>1</v>
      </c>
      <c r="S63" s="3" t="inlineStr">
        <is>
          <t>[PASAR] Sin Cuotas</t>
        </is>
      </c>
      <c r="T63" s="3" t="inlineStr">
        <is>
          <t>[PASAR] Sin Cuotas</t>
        </is>
      </c>
      <c r="U63" s="6" t="n">
        <v>0</v>
      </c>
      <c r="V63" s="6" t="n">
        <v>0</v>
      </c>
      <c r="W63" s="3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6">
        <f>Y62+X63</f>
        <v/>
      </c>
      <c r="Z63" s="7">
        <f>IF(OR(Q63="",R63=""),"",(L63-IF(Q63&gt;R63,1,0))^2+(M63-IF(Q63=R63,1,0))^2+(N63-IF(Q63&lt;R63,1,0))^2)</f>
        <v/>
      </c>
      <c r="AA63" s="9" t="n"/>
      <c r="AB63" s="2" t="inlineStr">
        <is>
          <t>NO</t>
        </is>
      </c>
    </row>
    <row r="64">
      <c r="A64" s="2" t="inlineStr">
        <is>
          <t>29/03/2026</t>
        </is>
      </c>
      <c r="B64" s="3" t="inlineStr">
        <is>
          <t>2026-03-29athleticoparanaensebotafogo</t>
        </is>
      </c>
      <c r="C64" s="3" t="inlineStr">
        <is>
          <t>Athletico Paranaense vs Botafogo</t>
        </is>
      </c>
      <c r="D64" s="3" t="inlineStr">
        <is>
          <t>Athletico Paranaense</t>
        </is>
      </c>
      <c r="E64" s="3" t="inlineStr">
        <is>
          <t>Botafogo</t>
        </is>
      </c>
      <c r="F64" s="4" t="n">
        <v>2</v>
      </c>
      <c r="G64" s="4" t="n">
        <v>3.38</v>
      </c>
      <c r="H64" s="4" t="n">
        <v>4.1</v>
      </c>
      <c r="I64" s="4" t="n"/>
      <c r="J64" s="4" t="n"/>
      <c r="K64" s="2" t="inlineStr">
        <is>
          <t>Brasil</t>
        </is>
      </c>
      <c r="L64" s="5" t="n">
        <v>0.4792198934747284</v>
      </c>
      <c r="M64" s="5" t="n">
        <v>0.2503404114630621</v>
      </c>
      <c r="N64" s="5" t="n">
        <v>0.2704396950622094</v>
      </c>
      <c r="O64" s="5" t="n">
        <v>0.5068581021814974</v>
      </c>
      <c r="P64" s="5" t="n">
        <v>0.4931418978185027</v>
      </c>
      <c r="Q64" s="2" t="n">
        <v>4</v>
      </c>
      <c r="R64" s="2" t="n">
        <v>1</v>
      </c>
      <c r="S64" s="3" t="inlineStr">
        <is>
          <t>[PERDIDA] VISITA</t>
        </is>
      </c>
      <c r="T64" s="3" t="inlineStr">
        <is>
          <t>[PASAR] Sin Cuotas</t>
        </is>
      </c>
      <c r="U64" s="6" t="n">
        <v>2500</v>
      </c>
      <c r="V64" s="6" t="n">
        <v>0</v>
      </c>
      <c r="W64" s="3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6">
        <f>Y63+X64</f>
        <v/>
      </c>
      <c r="Z64" s="7">
        <f>IF(OR(Q64="",R64=""),"",(L64-IF(Q64&gt;R64,1,0))^2+(M64-IF(Q64=R64,1,0))^2+(N64-IF(Q64&lt;R64,1,0))^2)</f>
        <v/>
      </c>
      <c r="AA64" s="9" t="n"/>
      <c r="AB64" s="2" t="inlineStr">
        <is>
          <t>NO</t>
        </is>
      </c>
    </row>
    <row r="65">
      <c r="A65" s="2" t="inlineStr">
        <is>
          <t>31/03/2026</t>
        </is>
      </c>
      <c r="B65" s="3" t="inlineStr">
        <is>
          <t>2026-03-31aldosiviargentinosjuniors</t>
        </is>
      </c>
      <c r="C65" s="3" t="inlineStr">
        <is>
          <t>Aldosivi vs Argentinos Juniors</t>
        </is>
      </c>
      <c r="D65" s="3" t="inlineStr">
        <is>
          <t>Aldosivi</t>
        </is>
      </c>
      <c r="E65" s="3" t="inlineStr">
        <is>
          <t>Argentinos Juniors</t>
        </is>
      </c>
      <c r="F65" s="4" t="n">
        <v>4.68</v>
      </c>
      <c r="G65" s="4" t="n">
        <v>3.12</v>
      </c>
      <c r="H65" s="4" t="n">
        <v>1.97</v>
      </c>
      <c r="I65" s="4" t="n">
        <v>2.38</v>
      </c>
      <c r="J65" s="4" t="n">
        <v>1.56</v>
      </c>
      <c r="K65" s="2" t="inlineStr">
        <is>
          <t>Argentina</t>
        </is>
      </c>
      <c r="L65" s="5" t="n">
        <v>0.3592167536462595</v>
      </c>
      <c r="M65" s="5" t="n">
        <v>0.2850352364071356</v>
      </c>
      <c r="N65" s="5" t="n">
        <v>0.3557480099466048</v>
      </c>
      <c r="O65" s="5" t="n">
        <v>0.3991510715073303</v>
      </c>
      <c r="P65" s="5" t="n">
        <v>0.6008489284926697</v>
      </c>
      <c r="Q65" s="2" t="n">
        <v>0</v>
      </c>
      <c r="R65" s="2" t="n">
        <v>2</v>
      </c>
      <c r="S65" s="3" t="inlineStr">
        <is>
          <t>[PASAR] Margen Predictivo Insuficiente (&lt;5%)</t>
        </is>
      </c>
      <c r="T65" s="3" t="inlineStr">
        <is>
          <t>[PASAR] Sin Valor</t>
        </is>
      </c>
      <c r="U65" s="6" t="n">
        <v>0</v>
      </c>
      <c r="V65" s="6" t="n">
        <v>0</v>
      </c>
      <c r="W65" s="3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6">
        <f>Y64+X65</f>
        <v/>
      </c>
      <c r="Z65" s="7">
        <f>IF(OR(Q65="",R65=""),"",(L65-IF(Q65&gt;R65,1,0))^2+(M65-IF(Q65=R65,1,0))^2+(N65-IF(Q65&lt;R65,1,0))^2)</f>
        <v/>
      </c>
      <c r="AA65" s="9" t="n"/>
      <c r="AB65" s="2" t="inlineStr">
        <is>
          <t>NO</t>
        </is>
      </c>
    </row>
    <row r="66">
      <c r="A66" s="2" t="inlineStr">
        <is>
          <t>01/04/2026</t>
        </is>
      </c>
      <c r="B66" s="3" t="inlineStr">
        <is>
          <t>2026-04-01bahiaathleticoparanaense</t>
        </is>
      </c>
      <c r="C66" s="3" t="inlineStr">
        <is>
          <t>Bahia vs Athletico Paranaense</t>
        </is>
      </c>
      <c r="D66" s="3" t="inlineStr">
        <is>
          <t>Bahia</t>
        </is>
      </c>
      <c r="E66" s="3" t="inlineStr">
        <is>
          <t>Athletico Paranaense</t>
        </is>
      </c>
      <c r="F66" s="4" t="n">
        <v>4.56</v>
      </c>
      <c r="G66" s="4" t="n">
        <v>3.64</v>
      </c>
      <c r="H66" s="4" t="n">
        <v>1.85</v>
      </c>
      <c r="I66" s="4" t="n">
        <v>2.01</v>
      </c>
      <c r="J66" s="4" t="n">
        <v>1.83</v>
      </c>
      <c r="K66" s="2" t="inlineStr">
        <is>
          <t>Brasil</t>
        </is>
      </c>
      <c r="L66" s="5" t="n">
        <v>0.5150502601834692</v>
      </c>
      <c r="M66" s="5" t="n">
        <v>0.2466242235936462</v>
      </c>
      <c r="N66" s="5" t="n">
        <v>0.2383255162228845</v>
      </c>
      <c r="O66" s="5" t="n">
        <v>0.5401679498832862</v>
      </c>
      <c r="P66" s="5" t="n">
        <v>0.4598320501167139</v>
      </c>
      <c r="Q66" s="2" t="n">
        <v>3</v>
      </c>
      <c r="R66" s="2" t="n">
        <v>0</v>
      </c>
      <c r="S66" s="3" t="inlineStr">
        <is>
          <t>[GANADA] LOCAL</t>
        </is>
      </c>
      <c r="T66" s="3" t="inlineStr">
        <is>
          <t>[PASAR] Margen Predictivo O/U Insuficiente (&lt;15%)</t>
        </is>
      </c>
      <c r="U66" s="6" t="n">
        <v>1250</v>
      </c>
      <c r="V66" s="6" t="n">
        <v>0</v>
      </c>
      <c r="W66" s="3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6">
        <f>Y65+X66</f>
        <v/>
      </c>
      <c r="Z66" s="7">
        <f>IF(OR(Q66="",R66=""),"",(L66-IF(Q66&gt;R66,1,0))^2+(M66-IF(Q66=R66,1,0))^2+(N66-IF(Q66&lt;R66,1,0))^2)</f>
        <v/>
      </c>
      <c r="AA66" s="9" t="n"/>
      <c r="AB66" s="2" t="inlineStr">
        <is>
          <t>NO</t>
        </is>
      </c>
    </row>
    <row r="67">
      <c r="A67" s="2" t="inlineStr">
        <is>
          <t>01/04/2026</t>
        </is>
      </c>
      <c r="B67" s="3" t="inlineStr">
        <is>
          <t>2026-04-01botafogomirassol</t>
        </is>
      </c>
      <c r="C67" s="3" t="inlineStr">
        <is>
          <t>Botafogo vs Mirassol</t>
        </is>
      </c>
      <c r="D67" s="3" t="inlineStr">
        <is>
          <t>Botafogo</t>
        </is>
      </c>
      <c r="E67" s="3" t="inlineStr">
        <is>
          <t>Mirassol</t>
        </is>
      </c>
      <c r="F67" s="4" t="n">
        <v>2.51</v>
      </c>
      <c r="G67" s="4" t="n">
        <v>3.13</v>
      </c>
      <c r="H67" s="4" t="n">
        <v>2.95</v>
      </c>
      <c r="I67" s="4" t="n">
        <v>2.21</v>
      </c>
      <c r="J67" s="4" t="n">
        <v>1.7</v>
      </c>
      <c r="K67" s="2" t="inlineStr">
        <is>
          <t>Brasil</t>
        </is>
      </c>
      <c r="L67" s="5" t="n">
        <v>0.4827886646873569</v>
      </c>
      <c r="M67" s="5" t="n">
        <v>0.2512966792986987</v>
      </c>
      <c r="N67" s="5" t="n">
        <v>0.2659146560139444</v>
      </c>
      <c r="O67" s="5" t="n">
        <v>0.5434962545008356</v>
      </c>
      <c r="P67" s="5" t="n">
        <v>0.4565037454991643</v>
      </c>
      <c r="Q67" s="2" t="n">
        <v>3</v>
      </c>
      <c r="R67" s="2" t="n">
        <v>2</v>
      </c>
      <c r="S67" s="3" t="inlineStr">
        <is>
          <t>[GANADA] LOCAL</t>
        </is>
      </c>
      <c r="T67" s="3" t="inlineStr">
        <is>
          <t>[PASAR] Margen Predictivo O/U Insuficiente (&lt;15%)</t>
        </is>
      </c>
      <c r="U67" s="6" t="n">
        <v>1250</v>
      </c>
      <c r="V67" s="6" t="n">
        <v>0</v>
      </c>
      <c r="W67" s="3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6">
        <f>Y66+X67</f>
        <v/>
      </c>
      <c r="Z67" s="7">
        <f>IF(OR(Q67="",R67=""),"",(L67-IF(Q67&gt;R67,1,0))^2+(M67-IF(Q67=R67,1,0))^2+(N67-IF(Q67&lt;R67,1,0))^2)</f>
        <v/>
      </c>
      <c r="AA67" s="9" t="n"/>
      <c r="AB67" s="2" t="inlineStr">
        <is>
          <t>NO</t>
        </is>
      </c>
    </row>
    <row r="68">
      <c r="A68" s="2" t="inlineStr">
        <is>
          <t>01/04/2026</t>
        </is>
      </c>
      <c r="B68" s="3" t="inlineStr">
        <is>
          <t>2026-04-01coritibavascodagama</t>
        </is>
      </c>
      <c r="C68" s="3" t="inlineStr">
        <is>
          <t>Coritiba vs Vasco da Gama</t>
        </is>
      </c>
      <c r="D68" s="3" t="inlineStr">
        <is>
          <t>Coritiba</t>
        </is>
      </c>
      <c r="E68" s="3" t="inlineStr">
        <is>
          <t>Vasco da Gama</t>
        </is>
      </c>
      <c r="F68" s="4" t="n">
        <v>2.7</v>
      </c>
      <c r="G68" s="4" t="n">
        <v>3.07</v>
      </c>
      <c r="H68" s="4" t="n">
        <v>2.95</v>
      </c>
      <c r="I68" s="4" t="n">
        <v>2.23</v>
      </c>
      <c r="J68" s="4" t="n">
        <v>1.68</v>
      </c>
      <c r="K68" s="2" t="inlineStr">
        <is>
          <t>Brasil</t>
        </is>
      </c>
      <c r="L68" s="5" t="n">
        <v>0.4358142186065552</v>
      </c>
      <c r="M68" s="5" t="n">
        <v>0.2565066179178108</v>
      </c>
      <c r="N68" s="5" t="n">
        <v>0.307679163475634</v>
      </c>
      <c r="O68" s="5" t="n">
        <v>0.5449423545554228</v>
      </c>
      <c r="P68" s="5" t="n">
        <v>0.4550576454445772</v>
      </c>
      <c r="Q68" s="2" t="n">
        <v>1</v>
      </c>
      <c r="R68" s="2" t="n">
        <v>1</v>
      </c>
      <c r="S68" s="3" t="inlineStr">
        <is>
          <t>[PERDIDA] LOCAL</t>
        </is>
      </c>
      <c r="T68" s="3" t="inlineStr">
        <is>
          <t>[PASAR] Margen Predictivo O/U Insuficiente (&lt;15%)</t>
        </is>
      </c>
      <c r="U68" s="6" t="n">
        <v>1250</v>
      </c>
      <c r="V68" s="6" t="n">
        <v>0</v>
      </c>
      <c r="W68" s="3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6">
        <f>Y67+X68</f>
        <v/>
      </c>
      <c r="Z68" s="7">
        <f>IF(OR(Q68="",R68=""),"",(L68-IF(Q68&gt;R68,1,0))^2+(M68-IF(Q68=R68,1,0))^2+(N68-IF(Q68&lt;R68,1,0))^2)</f>
        <v/>
      </c>
      <c r="AA68" s="9" t="n"/>
      <c r="AB68" s="2" t="inlineStr">
        <is>
          <t>NO</t>
        </is>
      </c>
    </row>
    <row r="69">
      <c r="A69" s="2" t="inlineStr">
        <is>
          <t>01/04/2026</t>
        </is>
      </c>
      <c r="B69" s="3" t="inlineStr">
        <is>
          <t>2026-04-01cruzeirovitoria</t>
        </is>
      </c>
      <c r="C69" s="3" t="inlineStr">
        <is>
          <t>Cruzeiro vs Vitória</t>
        </is>
      </c>
      <c r="D69" s="3" t="inlineStr">
        <is>
          <t>Cruzeiro</t>
        </is>
      </c>
      <c r="E69" s="3" t="inlineStr">
        <is>
          <t>Vitória</t>
        </is>
      </c>
      <c r="F69" s="4" t="n">
        <v>1.53</v>
      </c>
      <c r="G69" s="4" t="n">
        <v>4.1</v>
      </c>
      <c r="H69" s="4" t="n">
        <v>7.19</v>
      </c>
      <c r="I69" s="4" t="n">
        <v>2.04</v>
      </c>
      <c r="J69" s="4" t="n">
        <v>1.85</v>
      </c>
      <c r="K69" s="2" t="inlineStr">
        <is>
          <t>Brasil</t>
        </is>
      </c>
      <c r="L69" s="5" t="n">
        <v>0.5632474055848253</v>
      </c>
      <c r="M69" s="5" t="n">
        <v>0.2384298779432382</v>
      </c>
      <c r="N69" s="5" t="n">
        <v>0.1983227164719363</v>
      </c>
      <c r="O69" s="5" t="n">
        <v>0.5291932149801006</v>
      </c>
      <c r="P69" s="5" t="n">
        <v>0.4708067850198994</v>
      </c>
      <c r="Q69" s="2" t="n">
        <v>3</v>
      </c>
      <c r="R69" s="2" t="n">
        <v>0</v>
      </c>
      <c r="S69" s="3" t="inlineStr">
        <is>
          <t>[PASAR] Sin Valor</t>
        </is>
      </c>
      <c r="T69" s="3" t="inlineStr">
        <is>
          <t>[PASAR] Margen Predictivo O/U Insuficiente (&lt;15%)</t>
        </is>
      </c>
      <c r="U69" s="6" t="n">
        <v>0</v>
      </c>
      <c r="V69" s="6" t="n">
        <v>0</v>
      </c>
      <c r="W69" s="3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6">
        <f>Y68+X69</f>
        <v/>
      </c>
      <c r="Z69" s="7">
        <f>IF(OR(Q69="",R69=""),"",(L69-IF(Q69&gt;R69,1,0))^2+(M69-IF(Q69=R69,1,0))^2+(N69-IF(Q69&lt;R69,1,0))^2)</f>
        <v/>
      </c>
      <c r="AA69" s="9" t="n"/>
      <c r="AB69" s="2" t="inlineStr">
        <is>
          <t>NO</t>
        </is>
      </c>
    </row>
    <row r="70">
      <c r="A70" s="2" t="inlineStr">
        <is>
          <t>01/04/2026</t>
        </is>
      </c>
      <c r="B70" s="3" t="inlineStr">
        <is>
          <t>2026-04-01fluminensecorinthians</t>
        </is>
      </c>
      <c r="C70" s="3" t="inlineStr">
        <is>
          <t>Fluminense vs Corinthians</t>
        </is>
      </c>
      <c r="D70" s="3" t="inlineStr">
        <is>
          <t>Fluminense</t>
        </is>
      </c>
      <c r="E70" s="3" t="inlineStr">
        <is>
          <t>Corinthians</t>
        </is>
      </c>
      <c r="F70" s="4" t="n">
        <v>5.83</v>
      </c>
      <c r="G70" s="4" t="n">
        <v>3.57</v>
      </c>
      <c r="H70" s="4" t="n">
        <v>1.71</v>
      </c>
      <c r="I70" s="4" t="n">
        <v>2.33</v>
      </c>
      <c r="J70" s="4" t="n">
        <v>1.63</v>
      </c>
      <c r="K70" s="2" t="inlineStr">
        <is>
          <t>Brasil</t>
        </is>
      </c>
      <c r="L70" s="5" t="n">
        <v>0.5235415322364162</v>
      </c>
      <c r="M70" s="5" t="n">
        <v>0.2701965479983924</v>
      </c>
      <c r="N70" s="5" t="n">
        <v>0.2062619197651913</v>
      </c>
      <c r="O70" s="5" t="n">
        <v>0.4207519190896275</v>
      </c>
      <c r="P70" s="5" t="n">
        <v>0.5792480809103725</v>
      </c>
      <c r="Q70" s="2" t="n">
        <v>3</v>
      </c>
      <c r="R70" s="2" t="n">
        <v>1</v>
      </c>
      <c r="S70" s="3" t="inlineStr">
        <is>
          <t>[PASAR] Sin Valor</t>
        </is>
      </c>
      <c r="T70" s="3" t="inlineStr">
        <is>
          <t>[PASAR] Sin Valor</t>
        </is>
      </c>
      <c r="U70" s="6" t="n">
        <v>0</v>
      </c>
      <c r="V70" s="6" t="n">
        <v>0</v>
      </c>
      <c r="W70" s="3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6">
        <f>Y69+X70</f>
        <v/>
      </c>
      <c r="Z70" s="7">
        <f>IF(OR(Q70="",R70=""),"",(L70-IF(Q70&gt;R70,1,0))^2+(M70-IF(Q70=R70,1,0))^2+(N70-IF(Q70&lt;R70,1,0))^2)</f>
        <v/>
      </c>
      <c r="AA70" s="9" t="n"/>
      <c r="AB70" s="2" t="inlineStr">
        <is>
          <t>NO</t>
        </is>
      </c>
    </row>
    <row r="71">
      <c r="A71" s="2" t="inlineStr">
        <is>
          <t>01/04/2026</t>
        </is>
      </c>
      <c r="B71" s="3" t="inlineStr">
        <is>
          <t>2026-04-01internacionalsaopaulo</t>
        </is>
      </c>
      <c r="C71" s="3" t="inlineStr">
        <is>
          <t>Internacional vs São Paulo</t>
        </is>
      </c>
      <c r="D71" s="3" t="inlineStr">
        <is>
          <t>Internacional</t>
        </is>
      </c>
      <c r="E71" s="3" t="inlineStr">
        <is>
          <t>São Paulo</t>
        </is>
      </c>
      <c r="F71" s="4" t="n">
        <v>2.31</v>
      </c>
      <c r="G71" s="4" t="n">
        <v>3.01</v>
      </c>
      <c r="H71" s="4" t="n">
        <v>3.44</v>
      </c>
      <c r="I71" s="4" t="n">
        <v>2.17</v>
      </c>
      <c r="J71" s="4" t="n">
        <v>1.72</v>
      </c>
      <c r="K71" s="2" t="inlineStr">
        <is>
          <t>Brasil</t>
        </is>
      </c>
      <c r="L71" s="5" t="n">
        <v>0.4964885772833537</v>
      </c>
      <c r="M71" s="5" t="n">
        <v>0.2695985320345707</v>
      </c>
      <c r="N71" s="5" t="n">
        <v>0.2339128906820757</v>
      </c>
      <c r="O71" s="5" t="n">
        <v>0.4477207898072098</v>
      </c>
      <c r="P71" s="5" t="n">
        <v>0.5522792101927904</v>
      </c>
      <c r="Q71" s="2" t="n">
        <v>1</v>
      </c>
      <c r="R71" s="2" t="n">
        <v>1</v>
      </c>
      <c r="S71" s="3" t="inlineStr">
        <is>
          <t>[PERDIDA] LOCAL</t>
        </is>
      </c>
      <c r="T71" s="3" t="inlineStr">
        <is>
          <t>[PASAR] Margen Predictivo O/U Insuficiente (&lt;15%)</t>
        </is>
      </c>
      <c r="U71" s="6" t="n">
        <v>1250</v>
      </c>
      <c r="V71" s="6" t="n">
        <v>0</v>
      </c>
      <c r="W71" s="3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6">
        <f>Y70+X71</f>
        <v/>
      </c>
      <c r="Z71" s="7">
        <f>IF(OR(Q71="",R71=""),"",(L71-IF(Q71&gt;R71,1,0))^2+(M71-IF(Q71=R71,1,0))^2+(N71-IF(Q71&lt;R71,1,0))^2)</f>
        <v/>
      </c>
      <c r="AA71" s="9" t="n"/>
      <c r="AB71" s="2" t="inlineStr">
        <is>
          <t>NO</t>
        </is>
      </c>
    </row>
    <row r="72">
      <c r="A72" s="2" t="inlineStr">
        <is>
          <t>01/04/2026</t>
        </is>
      </c>
      <c r="B72" s="3" t="inlineStr">
        <is>
          <t>2026-04-01lanusplatense</t>
        </is>
      </c>
      <c r="C72" s="3" t="inlineStr">
        <is>
          <t>Lanús vs Platense</t>
        </is>
      </c>
      <c r="D72" s="3" t="inlineStr">
        <is>
          <t>Lanús</t>
        </is>
      </c>
      <c r="E72" s="3" t="inlineStr">
        <is>
          <t>Platense</t>
        </is>
      </c>
      <c r="F72" s="4" t="n">
        <v>2.24</v>
      </c>
      <c r="G72" s="4" t="n">
        <v>2.94</v>
      </c>
      <c r="H72" s="4" t="n">
        <v>4.04</v>
      </c>
      <c r="I72" s="4" t="n"/>
      <c r="J72" s="4" t="n"/>
      <c r="K72" s="2" t="inlineStr">
        <is>
          <t>Argentina</t>
        </is>
      </c>
      <c r="L72" s="5" t="n">
        <v>0.4341466229276166</v>
      </c>
      <c r="M72" s="5" t="n">
        <v>0.2916865937645456</v>
      </c>
      <c r="N72" s="5" t="n">
        <v>0.2741667833078378</v>
      </c>
      <c r="O72" s="5" t="n">
        <v>0.408283532473147</v>
      </c>
      <c r="P72" s="5" t="n">
        <v>0.591716467526853</v>
      </c>
      <c r="Q72" s="2" t="n">
        <v>0</v>
      </c>
      <c r="R72" s="2" t="n">
        <v>0</v>
      </c>
      <c r="S72" s="3" t="inlineStr">
        <is>
          <t>[PERDIDA] VISITA</t>
        </is>
      </c>
      <c r="T72" s="3" t="inlineStr">
        <is>
          <t>[PASAR] Sin Cuotas</t>
        </is>
      </c>
      <c r="U72" s="6" t="n">
        <v>2500</v>
      </c>
      <c r="V72" s="6" t="n">
        <v>0</v>
      </c>
      <c r="W72" s="3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6">
        <f>Y71+X72</f>
        <v/>
      </c>
      <c r="Z72" s="7">
        <f>IF(OR(Q72="",R72=""),"",(L72-IF(Q72&gt;R72,1,0))^2+(M72-IF(Q72=R72,1,0))^2+(N72-IF(Q72&lt;R72,1,0))^2)</f>
        <v/>
      </c>
      <c r="AA72" s="9" t="n"/>
      <c r="AB72" s="2" t="inlineStr">
        <is>
          <t>NO</t>
        </is>
      </c>
    </row>
    <row r="73">
      <c r="A73" s="2" t="inlineStr">
        <is>
          <t>02/04/2026</t>
        </is>
      </c>
      <c r="B73" s="3" t="inlineStr">
        <is>
          <t>2026-04-02barracascentralsarmientojunin</t>
        </is>
      </c>
      <c r="C73" s="3" t="inlineStr">
        <is>
          <t>Barracas Central vs Sarmiento (junin)</t>
        </is>
      </c>
      <c r="D73" s="3" t="inlineStr">
        <is>
          <t>Barracas Central</t>
        </is>
      </c>
      <c r="E73" s="3" t="inlineStr">
        <is>
          <t>Sarmiento (junin)</t>
        </is>
      </c>
      <c r="F73" s="4" t="n">
        <v>2.67</v>
      </c>
      <c r="G73" s="4" t="n">
        <v>2.84</v>
      </c>
      <c r="H73" s="4" t="n">
        <v>3.27</v>
      </c>
      <c r="I73" s="4" t="n"/>
      <c r="J73" s="4" t="n"/>
      <c r="K73" s="2" t="inlineStr">
        <is>
          <t>Argentina</t>
        </is>
      </c>
      <c r="L73" s="5" t="n">
        <v>0.4631610971338595</v>
      </c>
      <c r="M73" s="5" t="n">
        <v>0.2749680430095705</v>
      </c>
      <c r="N73" s="5" t="n">
        <v>0.26187085985657</v>
      </c>
      <c r="O73" s="5" t="n">
        <v>0.4607938128029536</v>
      </c>
      <c r="P73" s="5" t="n">
        <v>0.5392061871970464</v>
      </c>
      <c r="Q73" s="2" t="n">
        <v>1</v>
      </c>
      <c r="R73" s="2" t="n">
        <v>2</v>
      </c>
      <c r="S73" s="3" t="inlineStr">
        <is>
          <t>[PERDIDA] LOCAL</t>
        </is>
      </c>
      <c r="T73" s="3" t="inlineStr">
        <is>
          <t>[PASAR] Sin Cuotas</t>
        </is>
      </c>
      <c r="U73" s="6" t="n">
        <v>1767.77</v>
      </c>
      <c r="V73" s="6" t="n">
        <v>0</v>
      </c>
      <c r="W73" s="3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6">
        <f>Y72+X73</f>
        <v/>
      </c>
      <c r="Z73" s="7">
        <f>IF(OR(Q73="",R73=""),"",(L73-IF(Q73&gt;R73,1,0))^2+(M73-IF(Q73=R73,1,0))^2+(N73-IF(Q73&lt;R73,1,0))^2)</f>
        <v/>
      </c>
      <c r="AA73" s="8" t="n">
        <v>0.6324</v>
      </c>
      <c r="AB73" s="2" t="inlineStr">
        <is>
          <t>NO</t>
        </is>
      </c>
    </row>
    <row r="74">
      <c r="A74" s="2" t="inlineStr">
        <is>
          <t>02/04/2026</t>
        </is>
      </c>
      <c r="B74" s="3" t="inlineStr">
        <is>
          <t>2026-04-02chapecoenseatleticomg</t>
        </is>
      </c>
      <c r="C74" s="3" t="inlineStr">
        <is>
          <t>Chapecoense vs Atlético-mg</t>
        </is>
      </c>
      <c r="D74" s="3" t="inlineStr">
        <is>
          <t>Chapecoense</t>
        </is>
      </c>
      <c r="E74" s="3" t="inlineStr">
        <is>
          <t>Atlético-mg</t>
        </is>
      </c>
      <c r="F74" s="4" t="n">
        <v>2.47</v>
      </c>
      <c r="G74" s="4" t="n">
        <v>3.4</v>
      </c>
      <c r="H74" s="4" t="n">
        <v>2.87</v>
      </c>
      <c r="I74" s="4" t="n"/>
      <c r="J74" s="4" t="n"/>
      <c r="K74" s="2" t="inlineStr">
        <is>
          <t>Brasil</t>
        </is>
      </c>
      <c r="L74" s="5" t="n">
        <v>0.4508135647270181</v>
      </c>
      <c r="M74" s="5" t="n">
        <v>0.2725414129728858</v>
      </c>
      <c r="N74" s="5" t="n">
        <v>0.276645022300096</v>
      </c>
      <c r="O74" s="5" t="n">
        <v>0.4658949957692715</v>
      </c>
      <c r="P74" s="5" t="n">
        <v>0.5341050042307285</v>
      </c>
      <c r="Q74" s="2" t="n">
        <v>0</v>
      </c>
      <c r="R74" s="2" t="n">
        <v>4</v>
      </c>
      <c r="S74" s="3" t="inlineStr">
        <is>
          <t>[PERDIDA] LOCAL</t>
        </is>
      </c>
      <c r="T74" s="3" t="inlineStr">
        <is>
          <t>[PASAR] Sin Cuotas</t>
        </is>
      </c>
      <c r="U74" s="6" t="n">
        <v>2500</v>
      </c>
      <c r="V74" s="6" t="n">
        <v>0</v>
      </c>
      <c r="W74" s="3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6">
        <f>Y73+X74</f>
        <v/>
      </c>
      <c r="Z74" s="7">
        <f>IF(OR(Q74="",R74=""),"",(L74-IF(Q74&gt;R74,1,0))^2+(M74-IF(Q74=R74,1,0))^2+(N74-IF(Q74&lt;R74,1,0))^2)</f>
        <v/>
      </c>
      <c r="AA74" s="8" t="n">
        <v>0.7455000000000001</v>
      </c>
      <c r="AB74" s="2" t="inlineStr">
        <is>
          <t>NO</t>
        </is>
      </c>
    </row>
    <row r="75">
      <c r="A75" s="2" t="inlineStr">
        <is>
          <t>01/04/2026</t>
        </is>
      </c>
      <c r="B75" s="3" t="inlineStr">
        <is>
          <t>2026-04-02fluminensecorinthians</t>
        </is>
      </c>
      <c r="C75" s="3" t="inlineStr">
        <is>
          <t>Fluminense vs Corinthians</t>
        </is>
      </c>
      <c r="D75" s="3" t="inlineStr">
        <is>
          <t>Fluminense</t>
        </is>
      </c>
      <c r="E75" s="3" t="inlineStr">
        <is>
          <t>Corinthians</t>
        </is>
      </c>
      <c r="F75" s="4" t="n">
        <v>5.83</v>
      </c>
      <c r="G75" s="4" t="n">
        <v>3.57</v>
      </c>
      <c r="H75" s="4" t="n">
        <v>1.71</v>
      </c>
      <c r="I75" s="4" t="n"/>
      <c r="J75" s="4" t="n"/>
      <c r="K75" s="2" t="inlineStr">
        <is>
          <t>Brasil</t>
        </is>
      </c>
      <c r="L75" s="5" t="n">
        <v>0.5157194503278281</v>
      </c>
      <c r="M75" s="5" t="n">
        <v>0.2239410019469031</v>
      </c>
      <c r="N75" s="5" t="n">
        <v>0.2603395477252687</v>
      </c>
      <c r="O75" s="5" t="n">
        <v>0.659164336345094</v>
      </c>
      <c r="P75" s="5" t="n">
        <v>0.340835663654906</v>
      </c>
      <c r="Q75" s="2" t="n">
        <v>3</v>
      </c>
      <c r="R75" s="2" t="n">
        <v>1</v>
      </c>
      <c r="S75" s="3" t="inlineStr">
        <is>
          <t>[PASAR] Sin Valor</t>
        </is>
      </c>
      <c r="T75" s="3" t="inlineStr">
        <is>
          <t>[PASAR] Sin Cuotas</t>
        </is>
      </c>
      <c r="U75" s="6" t="n">
        <v>0</v>
      </c>
      <c r="V75" s="6" t="n">
        <v>0</v>
      </c>
      <c r="W75" s="3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6">
        <f>Y74+X75</f>
        <v/>
      </c>
      <c r="Z75" s="7">
        <f>IF(OR(Q75="",R75=""),"",(L75-IF(Q75&gt;R75,1,0))^2+(M75-IF(Q75=R75,1,0))^2+(N75-IF(Q75&lt;R75,1,0))^2)</f>
        <v/>
      </c>
      <c r="AA75" s="9" t="n"/>
      <c r="AB75" s="2" t="inlineStr">
        <is>
          <t>NO</t>
        </is>
      </c>
    </row>
    <row r="76">
      <c r="A76" s="2" t="inlineStr">
        <is>
          <t>02/04/2026</t>
        </is>
      </c>
      <c r="B76" s="3" t="inlineStr">
        <is>
          <t>2026-04-02palmeirasgremio</t>
        </is>
      </c>
      <c r="C76" s="3" t="inlineStr">
        <is>
          <t>Palmeiras vs Grêmio</t>
        </is>
      </c>
      <c r="D76" s="3" t="inlineStr">
        <is>
          <t>Palmeiras</t>
        </is>
      </c>
      <c r="E76" s="3" t="inlineStr">
        <is>
          <t>Grêmio</t>
        </is>
      </c>
      <c r="F76" s="4" t="n">
        <v>6.03</v>
      </c>
      <c r="G76" s="4" t="n">
        <v>4.24</v>
      </c>
      <c r="H76" s="4" t="n">
        <v>1.54</v>
      </c>
      <c r="I76" s="4" t="n">
        <v>1.86</v>
      </c>
      <c r="J76" s="4" t="n">
        <v>2</v>
      </c>
      <c r="K76" s="2" t="inlineStr">
        <is>
          <t>Brasil</t>
        </is>
      </c>
      <c r="L76" s="5" t="n">
        <v>0.5716490365650259</v>
      </c>
      <c r="M76" s="5" t="n">
        <v>0.2316040802089988</v>
      </c>
      <c r="N76" s="5" t="n">
        <v>0.1967468832259754</v>
      </c>
      <c r="O76" s="5" t="n">
        <v>0.5550645096264784</v>
      </c>
      <c r="P76" s="5" t="n">
        <v>0.4449354903735216</v>
      </c>
      <c r="Q76" s="2" t="n">
        <v>2</v>
      </c>
      <c r="R76" s="2" t="n">
        <v>1</v>
      </c>
      <c r="S76" s="3" t="inlineStr">
        <is>
          <t>[PASAR] Techo Cuota</t>
        </is>
      </c>
      <c r="T76" s="3" t="inlineStr">
        <is>
          <t>[PASAR] Margen Predictivo O/U Insuficiente (&lt;15%)</t>
        </is>
      </c>
      <c r="U76" s="6" t="n">
        <v>0</v>
      </c>
      <c r="V76" s="6" t="n">
        <v>0</v>
      </c>
      <c r="W76" s="3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6">
        <f>Y75+X76</f>
        <v/>
      </c>
      <c r="Z76" s="7">
        <f>IF(OR(Q76="",R76=""),"",(L76-IF(Q76&gt;R76,1,0))^2+(M76-IF(Q76=R76,1,0))^2+(N76-IF(Q76&lt;R76,1,0))^2)</f>
        <v/>
      </c>
      <c r="AA76" s="8" t="n">
        <v>0.9016</v>
      </c>
      <c r="AB76" s="2" t="inlineStr">
        <is>
          <t>NO</t>
        </is>
      </c>
    </row>
    <row r="77">
      <c r="A77" s="2" t="inlineStr">
        <is>
          <t>02/04/2026</t>
        </is>
      </c>
      <c r="B77" s="3" t="inlineStr">
        <is>
          <t>2026-04-02redbullbragantinoflamengo</t>
        </is>
      </c>
      <c r="C77" s="3" t="inlineStr">
        <is>
          <t>Red Bull Bragantino vs Flamengo</t>
        </is>
      </c>
      <c r="D77" s="3" t="inlineStr">
        <is>
          <t>Red Bull Bragantino</t>
        </is>
      </c>
      <c r="E77" s="3" t="inlineStr">
        <is>
          <t>Flamengo</t>
        </is>
      </c>
      <c r="F77" s="4" t="n">
        <v>4.42</v>
      </c>
      <c r="G77" s="4" t="n">
        <v>3.41</v>
      </c>
      <c r="H77" s="4" t="n">
        <v>1.88</v>
      </c>
      <c r="I77" s="4" t="n"/>
      <c r="J77" s="4" t="n"/>
      <c r="K77" s="2" t="inlineStr">
        <is>
          <t>Brasil</t>
        </is>
      </c>
      <c r="L77" s="5" t="n">
        <v>0.3421345096991719</v>
      </c>
      <c r="M77" s="5" t="n">
        <v>0.2719523418080652</v>
      </c>
      <c r="N77" s="5" t="n">
        <v>0.3859131484927629</v>
      </c>
      <c r="O77" s="5" t="n">
        <v>0.4900706660630247</v>
      </c>
      <c r="P77" s="5" t="n">
        <v>0.5099293339369753</v>
      </c>
      <c r="Q77" s="2" t="n">
        <v>3</v>
      </c>
      <c r="R77" s="2" t="n">
        <v>0</v>
      </c>
      <c r="S77" s="3" t="inlineStr">
        <is>
          <t>[PASAR] Margen Predictivo Insuficiente (&lt;5%)</t>
        </is>
      </c>
      <c r="T77" s="3" t="inlineStr">
        <is>
          <t>[PASAR] Sin Cuotas</t>
        </is>
      </c>
      <c r="U77" s="6" t="n">
        <v>0</v>
      </c>
      <c r="V77" s="6" t="n">
        <v>0</v>
      </c>
      <c r="W77" s="3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6">
        <f>Y76+X77</f>
        <v/>
      </c>
      <c r="Z77" s="7">
        <f>IF(OR(Q77="",R77=""),"",(L77-IF(Q77&gt;R77,1,0))^2+(M77-IF(Q77=R77,1,0))^2+(N77-IF(Q77&lt;R77,1,0))^2)</f>
        <v/>
      </c>
      <c r="AA77" s="8" t="n">
        <v>0.7808</v>
      </c>
      <c r="AB77" s="2" t="inlineStr">
        <is>
          <t>NO</t>
        </is>
      </c>
    </row>
    <row r="78">
      <c r="A78" s="2" t="inlineStr">
        <is>
          <t>02/04/2026</t>
        </is>
      </c>
      <c r="B78" s="3" t="inlineStr">
        <is>
          <t>2026-04-02santosremo</t>
        </is>
      </c>
      <c r="C78" s="3" t="inlineStr">
        <is>
          <t>Santos vs Remo</t>
        </is>
      </c>
      <c r="D78" s="3" t="inlineStr">
        <is>
          <t>Santos</t>
        </is>
      </c>
      <c r="E78" s="3" t="inlineStr">
        <is>
          <t>Remo</t>
        </is>
      </c>
      <c r="F78" s="4" t="n">
        <v>6.05</v>
      </c>
      <c r="G78" s="4" t="n">
        <v>3.87</v>
      </c>
      <c r="H78" s="4" t="n">
        <v>1.63</v>
      </c>
      <c r="I78" s="4" t="n">
        <v>1.98</v>
      </c>
      <c r="J78" s="4" t="n">
        <v>1.9</v>
      </c>
      <c r="K78" s="2" t="inlineStr">
        <is>
          <t>Brasil</t>
        </is>
      </c>
      <c r="L78" s="5" t="n">
        <v>0.4449780550473174</v>
      </c>
      <c r="M78" s="5" t="n">
        <v>0.2689601578658951</v>
      </c>
      <c r="N78" s="5" t="n">
        <v>0.2860617870867873</v>
      </c>
      <c r="O78" s="5" t="n">
        <v>0.4844515690304679</v>
      </c>
      <c r="P78" s="5" t="n">
        <v>0.5155484309695321</v>
      </c>
      <c r="Q78" s="2" t="n">
        <v>2</v>
      </c>
      <c r="R78" s="2" t="n">
        <v>0</v>
      </c>
      <c r="S78" s="3" t="inlineStr">
        <is>
          <t>[PASAR] Techo Cuota</t>
        </is>
      </c>
      <c r="T78" s="3" t="inlineStr">
        <is>
          <t>[PASAR] Margen Predictivo O/U Insuficiente (&lt;15%)</t>
        </is>
      </c>
      <c r="U78" s="6" t="n">
        <v>0</v>
      </c>
      <c r="V78" s="6" t="n">
        <v>0</v>
      </c>
      <c r="W78" s="3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6">
        <f>Y77+X78</f>
        <v/>
      </c>
      <c r="Z78" s="7">
        <f>IF(OR(Q78="",R78=""),"",(L78-IF(Q78&gt;R78,1,0))^2+(M78-IF(Q78=R78,1,0))^2+(N78-IF(Q78&lt;R78,1,0))^2)</f>
        <v/>
      </c>
      <c r="AA78" s="8" t="n">
        <v>0.67</v>
      </c>
      <c r="AB78" s="2" t="inlineStr">
        <is>
          <t>NO</t>
        </is>
      </c>
    </row>
    <row r="79">
      <c r="A79" s="2" t="inlineStr">
        <is>
          <t>02/04/2026</t>
        </is>
      </c>
      <c r="B79" s="3" t="inlineStr">
        <is>
          <t>2026-04-02tallerescordobabocajuniors</t>
        </is>
      </c>
      <c r="C79" s="3" t="inlineStr">
        <is>
          <t>Talleres (córdoba) vs Boca Juniors</t>
        </is>
      </c>
      <c r="D79" s="3" t="inlineStr">
        <is>
          <t>Talleres (córdoba)</t>
        </is>
      </c>
      <c r="E79" s="3" t="inlineStr">
        <is>
          <t>Boca Juniors</t>
        </is>
      </c>
      <c r="F79" s="4" t="n"/>
      <c r="G79" s="4" t="n"/>
      <c r="H79" s="4" t="n"/>
      <c r="I79" s="4" t="n"/>
      <c r="J79" s="4" t="n"/>
      <c r="K79" s="2" t="inlineStr">
        <is>
          <t>Argentina</t>
        </is>
      </c>
      <c r="L79" s="5" t="n">
        <v>0.3725785639949842</v>
      </c>
      <c r="M79" s="5" t="n">
        <v>0.2857380232940304</v>
      </c>
      <c r="N79" s="5" t="n">
        <v>0.3416834127109853</v>
      </c>
      <c r="O79" s="5" t="n">
        <v>0.4485968193081611</v>
      </c>
      <c r="P79" s="5" t="n">
        <v>0.5514031806918389</v>
      </c>
      <c r="Q79" s="2" t="n">
        <v>0</v>
      </c>
      <c r="R79" s="2" t="n">
        <v>1</v>
      </c>
      <c r="S79" s="3" t="inlineStr">
        <is>
          <t>[PASAR] Sin Cuotas</t>
        </is>
      </c>
      <c r="T79" s="3" t="inlineStr">
        <is>
          <t>[PASAR] Sin Cuotas</t>
        </is>
      </c>
      <c r="U79" s="6" t="n">
        <v>0</v>
      </c>
      <c r="V79" s="6" t="n">
        <v>0</v>
      </c>
      <c r="W79" s="3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6">
        <f>Y78+X79</f>
        <v/>
      </c>
      <c r="Z79" s="7">
        <f>IF(OR(Q79="",R79=""),"",(L79-IF(Q79&gt;R79,1,0))^2+(M79-IF(Q79=R79,1,0))^2+(N79-IF(Q79&lt;R79,1,0))^2)</f>
        <v/>
      </c>
      <c r="AA79" s="8" t="n">
        <v>0.5552</v>
      </c>
      <c r="AB79" s="2" t="inlineStr">
        <is>
          <t>NO</t>
        </is>
      </c>
    </row>
    <row r="80">
      <c r="A80" s="2" t="inlineStr">
        <is>
          <t>02/04/2026</t>
        </is>
      </c>
      <c r="B80" s="3" t="inlineStr">
        <is>
          <t>2026-04-02tigreindependienterivadavia</t>
        </is>
      </c>
      <c r="C80" s="3" t="inlineStr">
        <is>
          <t>Tigre vs Independiente Rivadavia</t>
        </is>
      </c>
      <c r="D80" s="3" t="inlineStr">
        <is>
          <t>Tigre</t>
        </is>
      </c>
      <c r="E80" s="3" t="inlineStr">
        <is>
          <t>Independiente Rivadavia</t>
        </is>
      </c>
      <c r="F80" s="4" t="n">
        <v>2.25</v>
      </c>
      <c r="G80" s="4" t="n">
        <v>3.07</v>
      </c>
      <c r="H80" s="4" t="n">
        <v>3.8</v>
      </c>
      <c r="I80" s="4" t="n"/>
      <c r="J80" s="4" t="n"/>
      <c r="K80" s="2" t="inlineStr">
        <is>
          <t>Argentina</t>
        </is>
      </c>
      <c r="L80" s="5" t="n">
        <v>0.3939039303760287</v>
      </c>
      <c r="M80" s="5" t="n">
        <v>0.2971577630976777</v>
      </c>
      <c r="N80" s="5" t="n">
        <v>0.3089383065262937</v>
      </c>
      <c r="O80" s="5" t="n">
        <v>0.4021034890769937</v>
      </c>
      <c r="P80" s="5" t="n">
        <v>0.5978965109230062</v>
      </c>
      <c r="Q80" s="2" t="n">
        <v>0</v>
      </c>
      <c r="R80" s="2" t="n">
        <v>2</v>
      </c>
      <c r="S80" s="3" t="inlineStr">
        <is>
          <t>[GANADA] VISITA</t>
        </is>
      </c>
      <c r="T80" s="3" t="inlineStr">
        <is>
          <t>[PASAR] Sin Cuotas</t>
        </is>
      </c>
      <c r="U80" s="6" t="n">
        <v>1767.77</v>
      </c>
      <c r="V80" s="6" t="n">
        <v>0</v>
      </c>
      <c r="W80" s="3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6">
        <f>Y79+X80</f>
        <v/>
      </c>
      <c r="Z80" s="7">
        <f>IF(OR(Q80="",R80=""),"",(L80-IF(Q80&gt;R80,1,0))^2+(M80-IF(Q80=R80,1,0))^2+(N80-IF(Q80&lt;R80,1,0))^2)</f>
        <v/>
      </c>
      <c r="AA80" s="8" t="n">
        <v>0.5564</v>
      </c>
      <c r="AB80" s="2" t="inlineStr">
        <is>
          <t>NO</t>
        </is>
      </c>
    </row>
    <row r="81">
      <c r="A81" s="2" t="inlineStr">
        <is>
          <t>03/04/2026</t>
        </is>
      </c>
      <c r="B81" s="3" t="inlineStr">
        <is>
          <t>2026-04-03gimnasiamendozavelezsarsfield</t>
        </is>
      </c>
      <c r="C81" s="3" t="inlineStr">
        <is>
          <t>Gimnasia Mendoza vs Velez Sarsfield</t>
        </is>
      </c>
      <c r="D81" s="3" t="inlineStr">
        <is>
          <t>Gimnasia Mendoza</t>
        </is>
      </c>
      <c r="E81" s="3" t="inlineStr">
        <is>
          <t>Velez Sarsfield</t>
        </is>
      </c>
      <c r="F81" s="4" t="n">
        <v>4.1</v>
      </c>
      <c r="G81" s="4" t="n">
        <v>2.91</v>
      </c>
      <c r="H81" s="4" t="n">
        <v>2.24</v>
      </c>
      <c r="I81" s="4" t="n"/>
      <c r="J81" s="4" t="n"/>
      <c r="K81" s="2" t="inlineStr">
        <is>
          <t>Argentina</t>
        </is>
      </c>
      <c r="L81" s="5" t="n">
        <v>0.3420430874133247</v>
      </c>
      <c r="M81" s="5" t="n">
        <v>0.289773294583381</v>
      </c>
      <c r="N81" s="5" t="n">
        <v>0.3681836180032942</v>
      </c>
      <c r="O81" s="5" t="n">
        <v>0.4331618529754852</v>
      </c>
      <c r="P81" s="5" t="n">
        <v>0.5668381470245148</v>
      </c>
      <c r="Q81" s="9" t="n"/>
      <c r="R81" s="9" t="n"/>
      <c r="S81" s="3" t="inlineStr">
        <is>
          <t>[PASAR] Margen Predictivo Insuficiente (&lt;5%)</t>
        </is>
      </c>
      <c r="T81" s="3" t="inlineStr">
        <is>
          <t>[PASAR] Sin Cuotas</t>
        </is>
      </c>
      <c r="U81" s="6" t="n">
        <v>0</v>
      </c>
      <c r="V81" s="6" t="n">
        <v>0</v>
      </c>
      <c r="W81" s="3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6">
        <f>Y80+X81</f>
        <v/>
      </c>
      <c r="Z81" s="7">
        <f>IF(OR(Q81="",R81=""),"",(L81-IF(Q81&gt;R81,1,0))^2+(M81-IF(Q81=R81,1,0))^2+(N81-IF(Q81&lt;R81,1,0))^2)</f>
        <v/>
      </c>
      <c r="AA81" s="8" t="n">
        <v>0.5354</v>
      </c>
      <c r="AB81" s="2" t="inlineStr">
        <is>
          <t>NO</t>
        </is>
      </c>
    </row>
    <row r="82">
      <c r="A82" s="2" t="inlineStr">
        <is>
          <t>02/04/2026</t>
        </is>
      </c>
      <c r="B82" s="3" t="inlineStr">
        <is>
          <t>2026-04-03palmeirasgremio</t>
        </is>
      </c>
      <c r="C82" s="3" t="inlineStr">
        <is>
          <t>Palmeiras vs Gremio</t>
        </is>
      </c>
      <c r="D82" s="3" t="inlineStr">
        <is>
          <t>Palmeiras</t>
        </is>
      </c>
      <c r="E82" s="3" t="inlineStr">
        <is>
          <t>Gremio</t>
        </is>
      </c>
      <c r="F82" s="4" t="n">
        <v>6.52</v>
      </c>
      <c r="G82" s="4" t="n">
        <v>4.53</v>
      </c>
      <c r="H82" s="4" t="n">
        <v>1.51</v>
      </c>
      <c r="I82" s="4" t="n">
        <v>1.86</v>
      </c>
      <c r="J82" s="4" t="n">
        <v>2</v>
      </c>
      <c r="K82" s="2" t="inlineStr">
        <is>
          <t>Brasil</t>
        </is>
      </c>
      <c r="L82" s="5" t="n">
        <v>0.498029966303805</v>
      </c>
      <c r="M82" s="5" t="n">
        <v>0.2204259477322383</v>
      </c>
      <c r="N82" s="5" t="n">
        <v>0.2815440859639567</v>
      </c>
      <c r="O82" s="5" t="n">
        <v>0.690539118596024</v>
      </c>
      <c r="P82" s="5" t="n">
        <v>0.3094608814039759</v>
      </c>
      <c r="Q82" s="2" t="n">
        <v>2</v>
      </c>
      <c r="R82" s="2" t="n">
        <v>1</v>
      </c>
      <c r="S82" s="3" t="inlineStr">
        <is>
          <t>[PASAR] Techo Cuota</t>
        </is>
      </c>
      <c r="T82" s="3" t="inlineStr">
        <is>
          <t>[GANADA] OVER 2.5</t>
        </is>
      </c>
      <c r="U82" s="6" t="n">
        <v>0</v>
      </c>
      <c r="V82" s="6" t="n">
        <v>2500</v>
      </c>
      <c r="W82" s="3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6">
        <f>Y81+X82</f>
        <v/>
      </c>
      <c r="Z82" s="7">
        <f>IF(OR(Q82="",R82=""),"",(L82-IF(Q82&gt;R82,1,0))^2+(M82-IF(Q82=R82,1,0))^2+(N82-IF(Q82&lt;R82,1,0))^2)</f>
        <v/>
      </c>
      <c r="AA82" s="8" t="n">
        <v>0.8442</v>
      </c>
      <c r="AB82" s="2" t="inlineStr">
        <is>
          <t>NO</t>
        </is>
      </c>
    </row>
    <row r="83">
      <c r="A83" s="2" t="inlineStr">
        <is>
          <t>02/04/2026</t>
        </is>
      </c>
      <c r="B83" s="3" t="inlineStr">
        <is>
          <t>2026-04-03redbullbragantinoflamengo</t>
        </is>
      </c>
      <c r="C83" s="3" t="inlineStr">
        <is>
          <t>Red Bull Bragantino vs Flamengo</t>
        </is>
      </c>
      <c r="D83" s="3" t="inlineStr">
        <is>
          <t>Red Bull Bragantino</t>
        </is>
      </c>
      <c r="E83" s="3" t="inlineStr">
        <is>
          <t>Flamengo</t>
        </is>
      </c>
      <c r="F83" s="4" t="n"/>
      <c r="G83" s="4" t="n"/>
      <c r="H83" s="4" t="n"/>
      <c r="I83" s="4" t="n"/>
      <c r="J83" s="4" t="n"/>
      <c r="K83" s="2" t="inlineStr">
        <is>
          <t>Brasil</t>
        </is>
      </c>
      <c r="L83" s="5" t="n">
        <v>0.4193324642728689</v>
      </c>
      <c r="M83" s="5" t="n">
        <v>0.2344147851592908</v>
      </c>
      <c r="N83" s="5" t="n">
        <v>0.3462527505678402</v>
      </c>
      <c r="O83" s="5" t="n">
        <v>0.6558913692263365</v>
      </c>
      <c r="P83" s="5" t="n">
        <v>0.3441086307736635</v>
      </c>
      <c r="Q83" s="2" t="n">
        <v>3</v>
      </c>
      <c r="R83" s="2" t="n">
        <v>0</v>
      </c>
      <c r="S83" s="3" t="inlineStr">
        <is>
          <t>[PASAR] Sin Cuotas</t>
        </is>
      </c>
      <c r="T83" s="3" t="inlineStr">
        <is>
          <t>[PASAR] Sin Cuotas</t>
        </is>
      </c>
      <c r="U83" s="6" t="n">
        <v>0</v>
      </c>
      <c r="V83" s="6" t="n">
        <v>0</v>
      </c>
      <c r="W83" s="3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6">
        <f>Y82+X83</f>
        <v/>
      </c>
      <c r="Z83" s="7">
        <f>IF(OR(Q83="",R83=""),"",(L83-IF(Q83&gt;R83,1,0))^2+(M83-IF(Q83=R83,1,0))^2+(N83-IF(Q83&lt;R83,1,0))^2)</f>
        <v/>
      </c>
      <c r="AA83" s="8" t="n">
        <v>0.849</v>
      </c>
      <c r="AB83" s="2" t="inlineStr">
        <is>
          <t>NO</t>
        </is>
      </c>
    </row>
    <row r="84">
      <c r="A84" s="2" t="inlineStr">
        <is>
          <t>03/04/2026</t>
        </is>
      </c>
      <c r="B84" s="3" t="inlineStr">
        <is>
          <t>2026-04-03sanlorenzoestudiantesdelaplata</t>
        </is>
      </c>
      <c r="C84" s="3" t="inlineStr">
        <is>
          <t>San Lorenzo vs Estudiantes de la Plata</t>
        </is>
      </c>
      <c r="D84" s="3" t="inlineStr">
        <is>
          <t>San Lorenzo</t>
        </is>
      </c>
      <c r="E84" s="3" t="inlineStr">
        <is>
          <t>Estudiantes de la Plata</t>
        </is>
      </c>
      <c r="F84" s="4" t="n">
        <v>3.48</v>
      </c>
      <c r="G84" s="4" t="n">
        <v>2.73</v>
      </c>
      <c r="H84" s="4" t="n">
        <v>2.63</v>
      </c>
      <c r="I84" s="4" t="n"/>
      <c r="J84" s="4" t="n"/>
      <c r="K84" s="2" t="inlineStr">
        <is>
          <t>Argentina</t>
        </is>
      </c>
      <c r="L84" s="5" t="n">
        <v>0.3315769799378339</v>
      </c>
      <c r="M84" s="5" t="n">
        <v>0.3014570557115247</v>
      </c>
      <c r="N84" s="5" t="n">
        <v>0.3669659643506414</v>
      </c>
      <c r="O84" s="5" t="n">
        <v>0.3909271006079778</v>
      </c>
      <c r="P84" s="5" t="n">
        <v>0.6090728993920221</v>
      </c>
      <c r="Q84" s="9" t="n"/>
      <c r="R84" s="9" t="n"/>
      <c r="S84" s="3" t="inlineStr">
        <is>
          <t>[PASAR] Margen Predictivo Insuficiente (&lt;5%)</t>
        </is>
      </c>
      <c r="T84" s="3" t="inlineStr">
        <is>
          <t>[PASAR] Sin Cuotas</t>
        </is>
      </c>
      <c r="U84" s="6" t="n">
        <v>0</v>
      </c>
      <c r="V84" s="6" t="n">
        <v>0</v>
      </c>
      <c r="W84" s="3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6">
        <f>Y83+X84</f>
        <v/>
      </c>
      <c r="Z84" s="7">
        <f>IF(OR(Q84="",R84=""),"",(L84-IF(Q84&gt;R84,1,0))^2+(M84-IF(Q84=R84,1,0))^2+(N84-IF(Q84&lt;R84,1,0))^2)</f>
        <v/>
      </c>
      <c r="AA84" s="8" t="n">
        <v>0.6847</v>
      </c>
      <c r="AB84" s="2" t="inlineStr">
        <is>
          <t>NO</t>
        </is>
      </c>
    </row>
    <row r="85">
      <c r="A85" s="2" t="inlineStr">
        <is>
          <t>03/04/2026</t>
        </is>
      </c>
      <c r="B85" s="3" t="inlineStr">
        <is>
          <t>2026-04-03unionsantafedeportivoriestra</t>
        </is>
      </c>
      <c r="C85" s="3" t="inlineStr">
        <is>
          <t>Union (santa Fe) vs Deportivo Riestra</t>
        </is>
      </c>
      <c r="D85" s="3" t="inlineStr">
        <is>
          <t>Union (santa Fe)</t>
        </is>
      </c>
      <c r="E85" s="3" t="inlineStr">
        <is>
          <t>Deportivo Riestra</t>
        </is>
      </c>
      <c r="F85" s="4" t="n">
        <v>1.93</v>
      </c>
      <c r="G85" s="4" t="n">
        <v>3.11</v>
      </c>
      <c r="H85" s="4" t="n">
        <v>5.15</v>
      </c>
      <c r="I85" s="4" t="n"/>
      <c r="J85" s="4" t="n"/>
      <c r="K85" s="2" t="inlineStr">
        <is>
          <t>Argentina</t>
        </is>
      </c>
      <c r="L85" s="5" t="n">
        <v>0.4662754299183444</v>
      </c>
      <c r="M85" s="5" t="n">
        <v>0.291775460976421</v>
      </c>
      <c r="N85" s="5" t="n">
        <v>0.2419491091052345</v>
      </c>
      <c r="O85" s="5" t="n">
        <v>0.3901260615981589</v>
      </c>
      <c r="P85" s="5" t="n">
        <v>0.609873938401841</v>
      </c>
      <c r="Q85" s="9" t="n"/>
      <c r="R85" s="9" t="n"/>
      <c r="S85" s="3" t="inlineStr">
        <is>
          <t>[PASAR] Riesgo/Beneficio</t>
        </is>
      </c>
      <c r="T85" s="3" t="inlineStr">
        <is>
          <t>[PASAR] Sin Cuotas</t>
        </is>
      </c>
      <c r="U85" s="6" t="n">
        <v>0</v>
      </c>
      <c r="V85" s="6" t="n">
        <v>0</v>
      </c>
      <c r="W85" s="3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6">
        <f>Y84+X85</f>
        <v/>
      </c>
      <c r="Z85" s="7">
        <f>IF(OR(Q85="",R85=""),"",(L85-IF(Q85&gt;R85,1,0))^2+(M85-IF(Q85=R85,1,0))^2+(N85-IF(Q85&lt;R85,1,0))^2)</f>
        <v/>
      </c>
      <c r="AA85" s="8" t="n">
        <v>0.5639</v>
      </c>
      <c r="AB85" s="2" t="inlineStr">
        <is>
          <t>NO</t>
        </is>
      </c>
    </row>
    <row r="86">
      <c r="A86" s="2" t="inlineStr">
        <is>
          <t>04/04/2026</t>
        </is>
      </c>
      <c r="B86" s="3" t="inlineStr">
        <is>
          <t>2026-04-04aldosiviestudiantesderiocuarto</t>
        </is>
      </c>
      <c r="C86" s="3" t="inlineStr">
        <is>
          <t>Aldosivi vs Estudiantes de Rio Cuarto</t>
        </is>
      </c>
      <c r="D86" s="3" t="inlineStr">
        <is>
          <t>Aldosivi</t>
        </is>
      </c>
      <c r="E86" s="3" t="inlineStr">
        <is>
          <t>Estudiantes de Rio Cuarto</t>
        </is>
      </c>
      <c r="F86" s="4" t="n">
        <v>2.12</v>
      </c>
      <c r="G86" s="4" t="n">
        <v>3.1</v>
      </c>
      <c r="H86" s="4" t="n">
        <v>4.07</v>
      </c>
      <c r="I86" s="4" t="n"/>
      <c r="J86" s="4" t="n"/>
      <c r="K86" s="2" t="inlineStr">
        <is>
          <t>Argentina</t>
        </is>
      </c>
      <c r="L86" s="5" t="n">
        <v>0.4408053864252985</v>
      </c>
      <c r="M86" s="5" t="n">
        <v>0.2849985641209511</v>
      </c>
      <c r="N86" s="5" t="n">
        <v>0.2741960494537503</v>
      </c>
      <c r="O86" s="5" t="n">
        <v>0.4312042519825969</v>
      </c>
      <c r="P86" s="5" t="n">
        <v>0.5687957480174031</v>
      </c>
      <c r="Q86" s="9" t="n"/>
      <c r="R86" s="9" t="n"/>
      <c r="S86" s="3">
        <f>IF(OR(Q86="",R86=""),"[APOSTAR] VISITA",IF(Q86&lt;R86,"[GANADA] VISITA","[PERDIDA] VISITA"))</f>
        <v/>
      </c>
      <c r="T86" s="3" t="inlineStr">
        <is>
          <t>[PASAR] Sin Cuotas</t>
        </is>
      </c>
      <c r="U86" s="6" t="n">
        <v>1888.89</v>
      </c>
      <c r="V86" s="6" t="n">
        <v>0</v>
      </c>
      <c r="W86" s="3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6">
        <f>Y85+X86</f>
        <v/>
      </c>
      <c r="Z86" s="7">
        <f>IF(OR(Q86="",R86=""),"",(L86-IF(Q86&gt;R86,1,0))^2+(M86-IF(Q86=R86,1,0))^2+(N86-IF(Q86&lt;R86,1,0))^2)</f>
        <v/>
      </c>
      <c r="AA86" s="8" t="n">
        <v>0.6484</v>
      </c>
      <c r="AB86" s="2" t="inlineStr">
        <is>
          <t>NO</t>
        </is>
      </c>
    </row>
    <row r="87">
      <c r="A87" s="2" t="inlineStr">
        <is>
          <t>04/04/2026</t>
        </is>
      </c>
      <c r="B87" s="3" t="inlineStr">
        <is>
          <t>2026-04-04coritibafluminense</t>
        </is>
      </c>
      <c r="C87" s="3" t="inlineStr">
        <is>
          <t>Coritiba vs Fluminense</t>
        </is>
      </c>
      <c r="D87" s="3" t="inlineStr">
        <is>
          <t>Coritiba</t>
        </is>
      </c>
      <c r="E87" s="3" t="inlineStr">
        <is>
          <t>Fluminense</t>
        </is>
      </c>
      <c r="F87" s="4" t="n">
        <v>3.28</v>
      </c>
      <c r="G87" s="4" t="n">
        <v>3.18</v>
      </c>
      <c r="H87" s="4" t="n">
        <v>2.33</v>
      </c>
      <c r="I87" s="4" t="n"/>
      <c r="J87" s="4" t="n"/>
      <c r="K87" s="2" t="inlineStr">
        <is>
          <t>Brasil</t>
        </is>
      </c>
      <c r="L87" s="5" t="n">
        <v>0.3919858674130723</v>
      </c>
      <c r="M87" s="5" t="n">
        <v>0.2513526810008774</v>
      </c>
      <c r="N87" s="5" t="n">
        <v>0.3566614515860504</v>
      </c>
      <c r="O87" s="5" t="n">
        <v>0.5798240052801538</v>
      </c>
      <c r="P87" s="5" t="n">
        <v>0.4201759947198462</v>
      </c>
      <c r="Q87" s="9" t="n"/>
      <c r="R87" s="9" t="n"/>
      <c r="S87" s="3" t="inlineStr">
        <is>
          <t>[PASAR] Margen Predictivo Insuficiente (&lt;5%)</t>
        </is>
      </c>
      <c r="T87" s="3" t="inlineStr">
        <is>
          <t>[PASAR] Sin Cuotas</t>
        </is>
      </c>
      <c r="U87" s="6" t="n">
        <v>0</v>
      </c>
      <c r="V87" s="6" t="n">
        <v>0</v>
      </c>
      <c r="W87" s="3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6">
        <f>Y86+X87</f>
        <v/>
      </c>
      <c r="Z87" s="7">
        <f>IF(OR(Q87="",R87=""),"",(L87-IF(Q87&gt;R87,1,0))^2+(M87-IF(Q87=R87,1,0))^2+(N87-IF(Q87&lt;R87,1,0))^2)</f>
        <v/>
      </c>
      <c r="AA87" s="8" t="n">
        <v>0.5956</v>
      </c>
      <c r="AB87" s="2" t="inlineStr">
        <is>
          <t>NO</t>
        </is>
      </c>
    </row>
    <row r="88">
      <c r="A88" s="2" t="inlineStr">
        <is>
          <t>04/04/2026</t>
        </is>
      </c>
      <c r="B88" s="3" t="inlineStr">
        <is>
          <t>2026-04-04gaziantepfkalanyaspor</t>
        </is>
      </c>
      <c r="C88" s="3" t="inlineStr">
        <is>
          <t>Gaziantep FK vs Alanyaspor</t>
        </is>
      </c>
      <c r="D88" s="3" t="inlineStr">
        <is>
          <t>Gaziantep FK</t>
        </is>
      </c>
      <c r="E88" s="3" t="inlineStr">
        <is>
          <t>Alanyaspor</t>
        </is>
      </c>
      <c r="F88" s="4" t="n"/>
      <c r="G88" s="4" t="n"/>
      <c r="H88" s="4" t="n"/>
      <c r="I88" s="4" t="n"/>
      <c r="J88" s="4" t="n"/>
      <c r="K88" s="2" t="inlineStr">
        <is>
          <t>Turquia</t>
        </is>
      </c>
      <c r="L88" s="5" t="n">
        <v>0.3888866300077002</v>
      </c>
      <c r="M88" s="5" t="n">
        <v>0.2606801417071365</v>
      </c>
      <c r="N88" s="5" t="n">
        <v>0.3504332282851633</v>
      </c>
      <c r="O88" s="5" t="n">
        <v>0.5427289352337143</v>
      </c>
      <c r="P88" s="5" t="n">
        <v>0.4572710647662857</v>
      </c>
      <c r="Q88" s="9" t="n"/>
      <c r="R88" s="9" t="n"/>
      <c r="S88" s="3" t="inlineStr">
        <is>
          <t>[PASAR] Sin Cuotas</t>
        </is>
      </c>
      <c r="T88" s="3" t="inlineStr">
        <is>
          <t>[PASAR] Sin Cuotas</t>
        </is>
      </c>
      <c r="U88" s="6" t="n">
        <v>0</v>
      </c>
      <c r="V88" s="6" t="n">
        <v>0</v>
      </c>
      <c r="W88" s="3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6">
        <f>Y87+X88</f>
        <v/>
      </c>
      <c r="Z88" s="7">
        <f>IF(OR(Q88="",R88=""),"",(L88-IF(Q88&gt;R88,1,0))^2+(M88-IF(Q88=R88,1,0))^2+(N88-IF(Q88&lt;R88,1,0))^2)</f>
        <v/>
      </c>
      <c r="AA88" s="8" t="n">
        <v>0.6449</v>
      </c>
      <c r="AB88" s="2" t="inlineStr">
        <is>
          <t>NO</t>
        </is>
      </c>
    </row>
    <row r="89">
      <c r="A89" s="2" t="inlineStr">
        <is>
          <t>04/04/2026</t>
        </is>
      </c>
      <c r="B89" s="3" t="inlineStr">
        <is>
          <t>2026-04-04genclerbirligigoztepe</t>
        </is>
      </c>
      <c r="C89" s="3" t="inlineStr">
        <is>
          <t>Genclerbirligi vs Goztepe</t>
        </is>
      </c>
      <c r="D89" s="3" t="inlineStr">
        <is>
          <t>Genclerbirligi</t>
        </is>
      </c>
      <c r="E89" s="3" t="inlineStr">
        <is>
          <t>Goztepe</t>
        </is>
      </c>
      <c r="F89" s="4" t="n">
        <v>3.33</v>
      </c>
      <c r="G89" s="4" t="n">
        <v>3.2</v>
      </c>
      <c r="H89" s="4" t="n">
        <v>2.35</v>
      </c>
      <c r="I89" s="4" t="n"/>
      <c r="J89" s="4" t="n"/>
      <c r="K89" s="2" t="inlineStr">
        <is>
          <t>Turquia</t>
        </is>
      </c>
      <c r="L89" s="5" t="n">
        <v>0.3881265244504047</v>
      </c>
      <c r="M89" s="5" t="n">
        <v>0.2639256587340179</v>
      </c>
      <c r="N89" s="5" t="n">
        <v>0.3479478168155773</v>
      </c>
      <c r="O89" s="5" t="n">
        <v>0.5285155352917529</v>
      </c>
      <c r="P89" s="5" t="n">
        <v>0.4714844647082471</v>
      </c>
      <c r="Q89" s="9" t="n"/>
      <c r="R89" s="9" t="n"/>
      <c r="S89" s="3" t="inlineStr">
        <is>
          <t>[PASAR] Margen Predictivo Insuficiente (&lt;5%)</t>
        </is>
      </c>
      <c r="T89" s="3" t="inlineStr">
        <is>
          <t>[PASAR] Sin Cuotas</t>
        </is>
      </c>
      <c r="U89" s="6" t="n">
        <v>0</v>
      </c>
      <c r="V89" s="6" t="n">
        <v>0</v>
      </c>
      <c r="W89" s="3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6">
        <f>Y88+X89</f>
        <v/>
      </c>
      <c r="Z89" s="7">
        <f>IF(OR(Q89="",R89=""),"",(L89-IF(Q89&gt;R89,1,0))^2+(M89-IF(Q89=R89,1,0))^2+(N89-IF(Q89&lt;R89,1,0))^2)</f>
        <v/>
      </c>
      <c r="AA89" s="8" t="n">
        <v>0.7967</v>
      </c>
      <c r="AB89" s="2" t="inlineStr">
        <is>
          <t>NO</t>
        </is>
      </c>
    </row>
    <row r="90">
      <c r="A90" s="2" t="inlineStr">
        <is>
          <t>04/04/2026</t>
        </is>
      </c>
      <c r="B90" s="3" t="inlineStr">
        <is>
          <t>2026-04-04independienteracingclub</t>
        </is>
      </c>
      <c r="C90" s="3" t="inlineStr">
        <is>
          <t>Independiente vs Racing Club</t>
        </is>
      </c>
      <c r="D90" s="3" t="inlineStr">
        <is>
          <t>Independiente</t>
        </is>
      </c>
      <c r="E90" s="3" t="inlineStr">
        <is>
          <t>Racing Club</t>
        </is>
      </c>
      <c r="F90" s="4" t="n">
        <v>2.61</v>
      </c>
      <c r="G90" s="4" t="n">
        <v>3.1</v>
      </c>
      <c r="H90" s="4" t="n">
        <v>2.91</v>
      </c>
      <c r="I90" s="4" t="n"/>
      <c r="J90" s="4" t="n"/>
      <c r="K90" s="2" t="inlineStr">
        <is>
          <t>Argentina</t>
        </is>
      </c>
      <c r="L90" s="5" t="n">
        <v>0.3824203608641429</v>
      </c>
      <c r="M90" s="5" t="n">
        <v>0.2857308689901677</v>
      </c>
      <c r="N90" s="5" t="n">
        <v>0.3318487701456893</v>
      </c>
      <c r="O90" s="5" t="n">
        <v>0.4470479370050782</v>
      </c>
      <c r="P90" s="5" t="n">
        <v>0.5529520629949217</v>
      </c>
      <c r="Q90" s="9" t="n"/>
      <c r="R90" s="9" t="n"/>
      <c r="S90" s="3" t="inlineStr">
        <is>
          <t>[PASAR] Riesgo/Beneficio</t>
        </is>
      </c>
      <c r="T90" s="3" t="inlineStr">
        <is>
          <t>[PASAR] Sin Cuotas</t>
        </is>
      </c>
      <c r="U90" s="6" t="n">
        <v>0</v>
      </c>
      <c r="V90" s="6" t="n">
        <v>0</v>
      </c>
      <c r="W90" s="3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6">
        <f>Y89+X90</f>
        <v/>
      </c>
      <c r="Z90" s="7">
        <f>IF(OR(Q90="",R90=""),"",(L90-IF(Q90&gt;R90,1,0))^2+(M90-IF(Q90=R90,1,0))^2+(N90-IF(Q90&lt;R90,1,0))^2)</f>
        <v/>
      </c>
      <c r="AA90" s="8" t="n">
        <v>0.7012</v>
      </c>
      <c r="AB90" s="2" t="inlineStr">
        <is>
          <t>NO</t>
        </is>
      </c>
    </row>
    <row r="91">
      <c r="A91" s="2" t="inlineStr">
        <is>
          <t>04/04/2026</t>
        </is>
      </c>
      <c r="B91" s="3" t="inlineStr">
        <is>
          <t>2026-04-04kasimpasakayserispor</t>
        </is>
      </c>
      <c r="C91" s="3" t="inlineStr">
        <is>
          <t>Kasimpasa vs Kayserispor</t>
        </is>
      </c>
      <c r="D91" s="3" t="inlineStr">
        <is>
          <t>Kasimpasa</t>
        </is>
      </c>
      <c r="E91" s="3" t="inlineStr">
        <is>
          <t>Kayserispor</t>
        </is>
      </c>
      <c r="F91" s="4" t="n">
        <v>2.19</v>
      </c>
      <c r="G91" s="4" t="n">
        <v>3.43</v>
      </c>
      <c r="H91" s="4" t="n">
        <v>3.43</v>
      </c>
      <c r="I91" s="4" t="n">
        <v>1.93</v>
      </c>
      <c r="J91" s="4" t="n">
        <v>1.93</v>
      </c>
      <c r="K91" s="2" t="inlineStr">
        <is>
          <t>Turquia</t>
        </is>
      </c>
      <c r="L91" s="5" t="n">
        <v>0.4339762137504555</v>
      </c>
      <c r="M91" s="5" t="n">
        <v>0.2734478289586073</v>
      </c>
      <c r="N91" s="5" t="n">
        <v>0.2925759572909372</v>
      </c>
      <c r="O91" s="5" t="n">
        <v>0.4743906965749504</v>
      </c>
      <c r="P91" s="5" t="n">
        <v>0.5256093034250495</v>
      </c>
      <c r="Q91" s="9" t="n"/>
      <c r="R91" s="9" t="n"/>
      <c r="S91" s="3" t="inlineStr">
        <is>
          <t>[PASAR] Riesgo/Beneficio</t>
        </is>
      </c>
      <c r="T91" s="3" t="inlineStr">
        <is>
          <t>[PASAR] Margen Predictivo O/U Insuficiente (&lt;15%)</t>
        </is>
      </c>
      <c r="U91" s="6" t="n">
        <v>0</v>
      </c>
      <c r="V91" s="6" t="n">
        <v>0</v>
      </c>
      <c r="W91" s="3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6">
        <f>Y90+X91</f>
        <v/>
      </c>
      <c r="Z91" s="7">
        <f>IF(OR(Q91="",R91=""),"",(L91-IF(Q91&gt;R91,1,0))^2+(M91-IF(Q91=R91,1,0))^2+(N91-IF(Q91&lt;R91,1,0))^2)</f>
        <v/>
      </c>
      <c r="AA91" s="8" t="n">
        <v>0.7998</v>
      </c>
      <c r="AB91" s="2" t="inlineStr">
        <is>
          <t>NO</t>
        </is>
      </c>
    </row>
    <row r="92">
      <c r="A92" s="2" t="inlineStr">
        <is>
          <t>04/04/2026</t>
        </is>
      </c>
      <c r="B92" s="3" t="inlineStr">
        <is>
          <t>2026-04-04saopaulocruzeiro</t>
        </is>
      </c>
      <c r="C92" s="3" t="inlineStr">
        <is>
          <t>Sao Paulo vs Cruzeiro</t>
        </is>
      </c>
      <c r="D92" s="3" t="inlineStr">
        <is>
          <t>Sao Paulo</t>
        </is>
      </c>
      <c r="E92" s="3" t="inlineStr">
        <is>
          <t>Cruzeiro</t>
        </is>
      </c>
      <c r="F92" s="4" t="n">
        <v>2.18</v>
      </c>
      <c r="G92" s="4" t="n">
        <v>3.24</v>
      </c>
      <c r="H92" s="4" t="n">
        <v>3.56</v>
      </c>
      <c r="I92" s="4" t="n"/>
      <c r="J92" s="4" t="n"/>
      <c r="K92" s="2" t="inlineStr">
        <is>
          <t>Brasil</t>
        </is>
      </c>
      <c r="L92" s="5" t="n">
        <v>0.4847684486844442</v>
      </c>
      <c r="M92" s="5" t="n">
        <v>0.2673111372801671</v>
      </c>
      <c r="N92" s="5" t="n">
        <v>0.2479204140353885</v>
      </c>
      <c r="O92" s="5" t="n">
        <v>0.466657523261552</v>
      </c>
      <c r="P92" s="5" t="n">
        <v>0.533342476738448</v>
      </c>
      <c r="Q92" s="9" t="n"/>
      <c r="R92" s="9" t="n"/>
      <c r="S92" s="3">
        <f>IF(OR(Q92="",R92=""),"[APOSTAR] LOCAL",IF(Q92&gt;R92,"[GANADA] LOCAL","[PERDIDA] LOCAL"))</f>
        <v/>
      </c>
      <c r="T92" s="3" t="inlineStr">
        <is>
          <t>[PASAR] Sin Cuotas</t>
        </is>
      </c>
      <c r="U92" s="6" t="n">
        <v>2406.58</v>
      </c>
      <c r="V92" s="6" t="n">
        <v>0</v>
      </c>
      <c r="W92" s="3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6">
        <f>Y91+X92</f>
        <v/>
      </c>
      <c r="Z92" s="7">
        <f>IF(OR(Q92="",R92=""),"",(L92-IF(Q92&gt;R92,1,0))^2+(M92-IF(Q92=R92,1,0))^2+(N92-IF(Q92&lt;R92,1,0))^2)</f>
        <v/>
      </c>
      <c r="AA92" s="8" t="n">
        <v>0.7231</v>
      </c>
      <c r="AB92" s="2" t="inlineStr">
        <is>
          <t>NO</t>
        </is>
      </c>
    </row>
    <row r="93">
      <c r="A93" s="2" t="inlineStr">
        <is>
          <t>04/04/2026</t>
        </is>
      </c>
      <c r="B93" s="3" t="inlineStr">
        <is>
          <t>2026-04-04trabzonsporgalatasaray</t>
        </is>
      </c>
      <c r="C93" s="3" t="inlineStr">
        <is>
          <t>Trabzonspor vs Galatasaray</t>
        </is>
      </c>
      <c r="D93" s="3" t="inlineStr">
        <is>
          <t>Trabzonspor</t>
        </is>
      </c>
      <c r="E93" s="3" t="inlineStr">
        <is>
          <t>Galatasaray</t>
        </is>
      </c>
      <c r="F93" s="4" t="n">
        <v>3.42</v>
      </c>
      <c r="G93" s="4" t="n">
        <v>3.51</v>
      </c>
      <c r="H93" s="4" t="n">
        <v>2.16</v>
      </c>
      <c r="I93" s="4" t="n"/>
      <c r="J93" s="4" t="n"/>
      <c r="K93" s="2" t="inlineStr">
        <is>
          <t>Turquia</t>
        </is>
      </c>
      <c r="L93" s="5" t="n">
        <v>0.3820489641973929</v>
      </c>
      <c r="M93" s="5" t="n">
        <v>0.2625765741645809</v>
      </c>
      <c r="N93" s="5" t="n">
        <v>0.3553744616380262</v>
      </c>
      <c r="O93" s="5" t="n">
        <v>0.5350608595088769</v>
      </c>
      <c r="P93" s="5" t="n">
        <v>0.4649391404911231</v>
      </c>
      <c r="Q93" s="9" t="n"/>
      <c r="R93" s="9" t="n"/>
      <c r="S93" s="3" t="inlineStr">
        <is>
          <t>[PASAR] Margen Predictivo Insuficiente (&lt;5%)</t>
        </is>
      </c>
      <c r="T93" s="3" t="inlineStr">
        <is>
          <t>[PASAR] Sin Cuotas</t>
        </is>
      </c>
      <c r="U93" s="6" t="n">
        <v>0</v>
      </c>
      <c r="V93" s="6" t="n">
        <v>0</v>
      </c>
      <c r="W93" s="3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6">
        <f>Y92+X93</f>
        <v/>
      </c>
      <c r="Z93" s="7">
        <f>IF(OR(Q93="",R93=""),"",(L93-IF(Q93&gt;R93,1,0))^2+(M93-IF(Q93=R93,1,0))^2+(N93-IF(Q93&lt;R93,1,0))^2)</f>
        <v/>
      </c>
      <c r="AA93" s="8" t="n">
        <v>0.7436</v>
      </c>
      <c r="AB93" s="2" t="inlineStr">
        <is>
          <t>NO</t>
        </is>
      </c>
    </row>
    <row r="94">
      <c r="A94" s="2" t="inlineStr">
        <is>
          <t>05/04/2026</t>
        </is>
      </c>
      <c r="B94" s="3" t="inlineStr">
        <is>
          <t>2026-04-05antalyasporeyupspor</t>
        </is>
      </c>
      <c r="C94" s="3" t="inlineStr">
        <is>
          <t>Antalyaspor vs Eyupspor</t>
        </is>
      </c>
      <c r="D94" s="3" t="inlineStr">
        <is>
          <t>Antalyaspor</t>
        </is>
      </c>
      <c r="E94" s="3" t="inlineStr">
        <is>
          <t>Eyupspor</t>
        </is>
      </c>
      <c r="F94" s="4" t="n">
        <v>2.16</v>
      </c>
      <c r="G94" s="4" t="n">
        <v>2.94</v>
      </c>
      <c r="H94" s="4" t="n">
        <v>4.04</v>
      </c>
      <c r="I94" s="4" t="n"/>
      <c r="J94" s="4" t="n"/>
      <c r="K94" s="2" t="inlineStr">
        <is>
          <t>Turquia</t>
        </is>
      </c>
      <c r="L94" s="5" t="n">
        <v>0.3774842620479749</v>
      </c>
      <c r="M94" s="5" t="n">
        <v>0.2650645959520047</v>
      </c>
      <c r="N94" s="5" t="n">
        <v>0.3574511420000204</v>
      </c>
      <c r="O94" s="5" t="n">
        <v>0.5245637627586317</v>
      </c>
      <c r="P94" s="5" t="n">
        <v>0.4754362372413684</v>
      </c>
      <c r="Q94" s="9" t="n"/>
      <c r="R94" s="9" t="n"/>
      <c r="S94" s="3" t="inlineStr">
        <is>
          <t>[PASAR] Margen Predictivo Insuficiente (&lt;5%)</t>
        </is>
      </c>
      <c r="T94" s="3" t="inlineStr">
        <is>
          <t>[PASAR] Sin Cuotas</t>
        </is>
      </c>
      <c r="U94" s="6" t="n">
        <v>0</v>
      </c>
      <c r="V94" s="6" t="n">
        <v>0</v>
      </c>
      <c r="W94" s="3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6">
        <f>Y93+X94</f>
        <v/>
      </c>
      <c r="Z94" s="7">
        <f>IF(OR(Q94="",R94=""),"",(L94-IF(Q94&gt;R94,1,0))^2+(M94-IF(Q94=R94,1,0))^2+(N94-IF(Q94&lt;R94,1,0))^2)</f>
        <v/>
      </c>
      <c r="AA94" s="8" t="n">
        <v>0.797</v>
      </c>
      <c r="AB94" s="2" t="inlineStr">
        <is>
          <t>NO</t>
        </is>
      </c>
    </row>
    <row r="95">
      <c r="A95" s="2" t="inlineStr">
        <is>
          <t>05/04/2026</t>
        </is>
      </c>
      <c r="B95" s="3" t="inlineStr">
        <is>
          <t>2026-04-05atleticomgathleticoparanaense</t>
        </is>
      </c>
      <c r="C95" s="3" t="inlineStr">
        <is>
          <t>Atlético-mg vs Athletico Paranaense</t>
        </is>
      </c>
      <c r="D95" s="3" t="inlineStr">
        <is>
          <t>Atlético-mg</t>
        </is>
      </c>
      <c r="E95" s="3" t="inlineStr">
        <is>
          <t>Athletico Paranaense</t>
        </is>
      </c>
      <c r="F95" s="4" t="n">
        <v>1.93</v>
      </c>
      <c r="G95" s="4" t="n">
        <v>3.43</v>
      </c>
      <c r="H95" s="4" t="n">
        <v>4.16</v>
      </c>
      <c r="I95" s="4" t="n"/>
      <c r="J95" s="4" t="n"/>
      <c r="K95" s="2" t="inlineStr">
        <is>
          <t>Brasil</t>
        </is>
      </c>
      <c r="L95" s="5" t="n">
        <v>0.4615633541721739</v>
      </c>
      <c r="M95" s="5" t="n">
        <v>0.2364078068293232</v>
      </c>
      <c r="N95" s="5" t="n">
        <v>0.3020288389985029</v>
      </c>
      <c r="O95" s="5" t="n">
        <v>0.6302198486764456</v>
      </c>
      <c r="P95" s="5" t="n">
        <v>0.3697801513235544</v>
      </c>
      <c r="Q95" s="9" t="n"/>
      <c r="R95" s="9" t="n"/>
      <c r="S95" s="3">
        <f>IF(OR(Q95="",R95=""),"[APOSTAR] VISITA",IF(Q95&lt;R95,"[GANADA] VISITA","[PERDIDA] VISITA"))</f>
        <v/>
      </c>
      <c r="T95" s="3" t="inlineStr">
        <is>
          <t>[PASAR] Sin Cuotas</t>
        </is>
      </c>
      <c r="U95" s="6" t="n">
        <v>1118.03</v>
      </c>
      <c r="V95" s="6" t="n">
        <v>0</v>
      </c>
      <c r="W95" s="3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6">
        <f>Y94+X95</f>
        <v/>
      </c>
      <c r="Z95" s="7">
        <f>IF(OR(Q95="",R95=""),"",(L95-IF(Q95&gt;R95,1,0))^2+(M95-IF(Q95=R95,1,0))^2+(N95-IF(Q95&lt;R95,1,0))^2)</f>
        <v/>
      </c>
      <c r="AA95" s="8" t="n">
        <v>0.9826</v>
      </c>
      <c r="AB95" s="2" t="inlineStr">
        <is>
          <t>NO</t>
        </is>
      </c>
    </row>
    <row r="96">
      <c r="A96" s="2" t="inlineStr">
        <is>
          <t>05/04/2026</t>
        </is>
      </c>
      <c r="B96" s="3" t="inlineStr">
        <is>
          <t>2026-04-05bahiapalmeiras</t>
        </is>
      </c>
      <c r="C96" s="3" t="inlineStr">
        <is>
          <t>Bahia vs Palmeiras</t>
        </is>
      </c>
      <c r="D96" s="3" t="inlineStr">
        <is>
          <t>Bahia</t>
        </is>
      </c>
      <c r="E96" s="3" t="inlineStr">
        <is>
          <t>Palmeiras</t>
        </is>
      </c>
      <c r="F96" s="4" t="n">
        <v>2.86</v>
      </c>
      <c r="G96" s="4" t="n">
        <v>2.98</v>
      </c>
      <c r="H96" s="4" t="n">
        <v>2.76</v>
      </c>
      <c r="I96" s="4" t="n">
        <v>1.97</v>
      </c>
      <c r="J96" s="4" t="n">
        <v>1.87</v>
      </c>
      <c r="K96" s="2" t="inlineStr">
        <is>
          <t>Brasil</t>
        </is>
      </c>
      <c r="L96" s="5" t="n">
        <v>0.4215811769967822</v>
      </c>
      <c r="M96" s="5" t="n">
        <v>0.2397086617403795</v>
      </c>
      <c r="N96" s="5" t="n">
        <v>0.3387101612628383</v>
      </c>
      <c r="O96" s="5" t="n">
        <v>0.6295043800536333</v>
      </c>
      <c r="P96" s="5" t="n">
        <v>0.3704956199463667</v>
      </c>
      <c r="Q96" s="9" t="n"/>
      <c r="R96" s="9" t="n"/>
      <c r="S96" s="3" t="inlineStr">
        <is>
          <t>[PASAR] Overlap Riesgo (O/U Priorizado)</t>
        </is>
      </c>
      <c r="T96" s="3">
        <f>IF(OR(Q96="",R96=""),"[APOSTAR] OVER 2.5",IF((Q96+R96)&gt;2.5,"[GANADA] OVER 2.5","[PERDIDA] OVER 2.5"))</f>
        <v/>
      </c>
      <c r="U96" s="6" t="n">
        <v>0</v>
      </c>
      <c r="V96" s="6" t="n">
        <v>1118.03</v>
      </c>
      <c r="W96" s="3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6">
        <f>Y95+X96</f>
        <v/>
      </c>
      <c r="Z96" s="7">
        <f>IF(OR(Q96="",R96=""),"",(L96-IF(Q96&gt;R96,1,0))^2+(M96-IF(Q96=R96,1,0))^2+(N96-IF(Q96&lt;R96,1,0))^2)</f>
        <v/>
      </c>
      <c r="AA96" s="8" t="n">
        <v>0.7536</v>
      </c>
      <c r="AB96" s="2" t="inlineStr">
        <is>
          <t>NO</t>
        </is>
      </c>
    </row>
    <row r="97">
      <c r="A97" s="2" t="inlineStr">
        <is>
          <t>05/04/2026</t>
        </is>
      </c>
      <c r="B97" s="3" t="inlineStr">
        <is>
          <t>2026-04-05centralcordobasantiagodelesteronewellsoldboys</t>
        </is>
      </c>
      <c r="C97" s="3" t="inlineStr">
        <is>
          <t>Central Córdoba (santiago del Estero) vs Newell's Old Boys</t>
        </is>
      </c>
      <c r="D97" s="3" t="inlineStr">
        <is>
          <t>Central Córdoba (santiago del Estero)</t>
        </is>
      </c>
      <c r="E97" s="3" t="inlineStr">
        <is>
          <t>Newell's Old Boys</t>
        </is>
      </c>
      <c r="F97" s="4" t="n">
        <v>2.43</v>
      </c>
      <c r="G97" s="4" t="n">
        <v>3.05</v>
      </c>
      <c r="H97" s="4" t="n">
        <v>3.23</v>
      </c>
      <c r="I97" s="4" t="n"/>
      <c r="J97" s="4" t="n"/>
      <c r="K97" s="2" t="inlineStr">
        <is>
          <t>Argentina</t>
        </is>
      </c>
      <c r="L97" s="5" t="n">
        <v>0.5153724423169271</v>
      </c>
      <c r="M97" s="5" t="n">
        <v>0.2688407164392261</v>
      </c>
      <c r="N97" s="5" t="n">
        <v>0.2157868412438468</v>
      </c>
      <c r="O97" s="5" t="n">
        <v>0.4462706911952379</v>
      </c>
      <c r="P97" s="5" t="n">
        <v>0.553729308804762</v>
      </c>
      <c r="Q97" s="9" t="n"/>
      <c r="R97" s="9" t="n"/>
      <c r="S97" s="3">
        <f>IF(OR(Q97="",R97=""),"[APOSTAR] LOCAL",IF(Q97&gt;R97,"[GANADA] LOCAL","[PERDIDA] LOCAL"))</f>
        <v/>
      </c>
      <c r="T97" s="3" t="inlineStr">
        <is>
          <t>[PASAR] Sin Cuotas</t>
        </is>
      </c>
      <c r="U97" s="6" t="n">
        <v>2500</v>
      </c>
      <c r="V97" s="6" t="n">
        <v>0</v>
      </c>
      <c r="W97" s="3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6">
        <f>Y96+X97</f>
        <v/>
      </c>
      <c r="Z97" s="7">
        <f>IF(OR(Q97="",R97=""),"",(L97-IF(Q97&gt;R97,1,0))^2+(M97-IF(Q97=R97,1,0))^2+(N97-IF(Q97&lt;R97,1,0))^2)</f>
        <v/>
      </c>
      <c r="AA97" s="8" t="n">
        <v>0.7146</v>
      </c>
      <c r="AB97" s="2" t="inlineStr">
        <is>
          <t>NO</t>
        </is>
      </c>
    </row>
    <row r="98">
      <c r="A98" s="2" t="inlineStr">
        <is>
          <t>05/04/2026</t>
        </is>
      </c>
      <c r="B98" s="3" t="inlineStr">
        <is>
          <t>2026-04-05chapecoensevitoria</t>
        </is>
      </c>
      <c r="C98" s="3" t="inlineStr">
        <is>
          <t>Chapecoense vs Vitoria</t>
        </is>
      </c>
      <c r="D98" s="3" t="inlineStr">
        <is>
          <t>Chapecoense</t>
        </is>
      </c>
      <c r="E98" s="3" t="inlineStr">
        <is>
          <t>Vitoria</t>
        </is>
      </c>
      <c r="F98" s="4" t="n">
        <v>2.53</v>
      </c>
      <c r="G98" s="4" t="n">
        <v>3.18</v>
      </c>
      <c r="H98" s="4" t="n">
        <v>2.96</v>
      </c>
      <c r="I98" s="4" t="n"/>
      <c r="J98" s="4" t="n"/>
      <c r="K98" s="2" t="inlineStr">
        <is>
          <t>Brasil</t>
        </is>
      </c>
      <c r="L98" s="5" t="n">
        <v>0.4560703738858995</v>
      </c>
      <c r="M98" s="5" t="n">
        <v>0.223854183553285</v>
      </c>
      <c r="N98" s="5" t="n">
        <v>0.3200754425608155</v>
      </c>
      <c r="O98" s="5" t="n">
        <v>0.6963520928617232</v>
      </c>
      <c r="P98" s="5" t="n">
        <v>0.3036479071382768</v>
      </c>
      <c r="Q98" s="9" t="n"/>
      <c r="R98" s="9" t="n"/>
      <c r="S98" s="3">
        <f>IF(OR(Q98="",R98=""),"[APOSTAR] LOCAL",IF(Q98&gt;R98,"[GANADA] LOCAL","[PERDIDA] LOCAL"))</f>
        <v/>
      </c>
      <c r="T98" s="3" t="inlineStr">
        <is>
          <t>[PASAR] Sin Cuotas</t>
        </is>
      </c>
      <c r="U98" s="6" t="n">
        <v>1118.03</v>
      </c>
      <c r="V98" s="6" t="n">
        <v>0</v>
      </c>
      <c r="W98" s="3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6">
        <f>Y97+X98</f>
        <v/>
      </c>
      <c r="Z98" s="7">
        <f>IF(OR(Q98="",R98=""),"",(L98-IF(Q98&gt;R98,1,0))^2+(M98-IF(Q98=R98,1,0))^2+(N98-IF(Q98&lt;R98,1,0))^2)</f>
        <v/>
      </c>
      <c r="AA98" s="8" t="n">
        <v>0.8167</v>
      </c>
      <c r="AB98" s="2" t="inlineStr">
        <is>
          <t>NO</t>
        </is>
      </c>
    </row>
    <row r="99">
      <c r="A99" s="2" t="inlineStr">
        <is>
          <t>05/04/2026</t>
        </is>
      </c>
      <c r="B99" s="3" t="inlineStr">
        <is>
          <t>2026-04-05corinthiansinternacional</t>
        </is>
      </c>
      <c r="C99" s="3" t="inlineStr">
        <is>
          <t>Corinthians vs Internacional</t>
        </is>
      </c>
      <c r="D99" s="3" t="inlineStr">
        <is>
          <t>Corinthians</t>
        </is>
      </c>
      <c r="E99" s="3" t="inlineStr">
        <is>
          <t>Internacional</t>
        </is>
      </c>
      <c r="F99" s="4" t="n">
        <v>2.07</v>
      </c>
      <c r="G99" s="4" t="n">
        <v>3.27</v>
      </c>
      <c r="H99" s="4" t="n">
        <v>3.85</v>
      </c>
      <c r="I99" s="4" t="n"/>
      <c r="J99" s="4" t="n"/>
      <c r="K99" s="2" t="inlineStr">
        <is>
          <t>Brasil</t>
        </is>
      </c>
      <c r="L99" s="5" t="n">
        <v>0.4519348706129028</v>
      </c>
      <c r="M99" s="5" t="n">
        <v>0.2696880366546609</v>
      </c>
      <c r="N99" s="5" t="n">
        <v>0.2783770927324363</v>
      </c>
      <c r="O99" s="5" t="n">
        <v>0.4771663073686631</v>
      </c>
      <c r="P99" s="5" t="n">
        <v>0.5228336926313369</v>
      </c>
      <c r="Q99" s="9" t="n"/>
      <c r="R99" s="9" t="n"/>
      <c r="S99" s="3">
        <f>IF(OR(Q99="",R99=""),"[APOSTAR] VISITA",IF(Q99&lt;R99,"[GANADA] VISITA","[PERDIDA] VISITA"))</f>
        <v/>
      </c>
      <c r="T99" s="3" t="inlineStr">
        <is>
          <t>[PASAR] Sin Cuotas</t>
        </is>
      </c>
      <c r="U99" s="6" t="n">
        <v>562.95</v>
      </c>
      <c r="V99" s="6" t="n">
        <v>0</v>
      </c>
      <c r="W99" s="3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6">
        <f>Y98+X99</f>
        <v/>
      </c>
      <c r="Z99" s="7">
        <f>IF(OR(Q99="",R99=""),"",(L99-IF(Q99&gt;R99,1,0))^2+(M99-IF(Q99=R99,1,0))^2+(N99-IF(Q99&lt;R99,1,0))^2)</f>
        <v/>
      </c>
      <c r="AA99" s="8" t="n">
        <v>0.6796</v>
      </c>
      <c r="AB99" s="2" t="inlineStr">
        <is>
          <t>NO</t>
        </is>
      </c>
    </row>
    <row r="100">
      <c r="A100" s="2" t="inlineStr">
        <is>
          <t>05/04/2026</t>
        </is>
      </c>
      <c r="B100" s="3" t="inlineStr">
        <is>
          <t>2026-04-05fatihkaragumrukcaykurrizespor</t>
        </is>
      </c>
      <c r="C100" s="3" t="inlineStr">
        <is>
          <t>Fatih Karagümrük vs Caykur Rizespor</t>
        </is>
      </c>
      <c r="D100" s="3" t="inlineStr">
        <is>
          <t>Fatih Karagümrük</t>
        </is>
      </c>
      <c r="E100" s="3" t="inlineStr">
        <is>
          <t>Caykur Rizespor</t>
        </is>
      </c>
      <c r="F100" s="4" t="n">
        <v>2.92</v>
      </c>
      <c r="G100" s="4" t="n">
        <v>3.39</v>
      </c>
      <c r="H100" s="4" t="n">
        <v>2.43</v>
      </c>
      <c r="I100" s="4" t="n">
        <v>1.87</v>
      </c>
      <c r="J100" s="4" t="n">
        <v>1.97</v>
      </c>
      <c r="K100" s="2" t="inlineStr">
        <is>
          <t>Turquia</t>
        </is>
      </c>
      <c r="L100" s="5" t="n">
        <v>0.3514426200719207</v>
      </c>
      <c r="M100" s="5" t="n">
        <v>0.2716075812871424</v>
      </c>
      <c r="N100" s="5" t="n">
        <v>0.376949798640937</v>
      </c>
      <c r="O100" s="5" t="n">
        <v>0.4967726530136669</v>
      </c>
      <c r="P100" s="5" t="n">
        <v>0.5032273469863331</v>
      </c>
      <c r="Q100" s="9" t="n"/>
      <c r="R100" s="9" t="n"/>
      <c r="S100" s="3" t="inlineStr">
        <is>
          <t>[PASAR] Margen Predictivo Insuficiente (&lt;5%)</t>
        </is>
      </c>
      <c r="T100" s="3" t="inlineStr">
        <is>
          <t>[PASAR] Margen Predictivo O/U Insuficiente (&lt;15%)</t>
        </is>
      </c>
      <c r="U100" s="6" t="n">
        <v>0</v>
      </c>
      <c r="V100" s="6" t="n">
        <v>0</v>
      </c>
      <c r="W100" s="3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6">
        <f>Y99+X100</f>
        <v/>
      </c>
      <c r="Z100" s="7">
        <f>IF(OR(Q100="",R100=""),"",(L100-IF(Q100&gt;R100,1,0))^2+(M100-IF(Q100=R100,1,0))^2+(N100-IF(Q100&lt;R100,1,0))^2)</f>
        <v/>
      </c>
      <c r="AA100" s="8" t="n">
        <v>0.7704</v>
      </c>
      <c r="AB100" s="2" t="inlineStr">
        <is>
          <t>NO</t>
        </is>
      </c>
    </row>
    <row r="101">
      <c r="A101" s="2" t="inlineStr">
        <is>
          <t>05/04/2026</t>
        </is>
      </c>
      <c r="B101" s="3" t="inlineStr">
        <is>
          <t>2026-04-05fenerbahcebesiktas</t>
        </is>
      </c>
      <c r="C101" s="3" t="inlineStr">
        <is>
          <t>Fenerbahce vs Besiktas</t>
        </is>
      </c>
      <c r="D101" s="3" t="inlineStr">
        <is>
          <t>Fenerbahce</t>
        </is>
      </c>
      <c r="E101" s="3" t="inlineStr">
        <is>
          <t>Besiktas</t>
        </is>
      </c>
      <c r="F101" s="4" t="n">
        <v>2.03</v>
      </c>
      <c r="G101" s="4" t="n">
        <v>3.62</v>
      </c>
      <c r="H101" s="4" t="n">
        <v>3.54</v>
      </c>
      <c r="I101" s="4" t="n"/>
      <c r="J101" s="4" t="n"/>
      <c r="K101" s="2" t="inlineStr">
        <is>
          <t>Turquia</t>
        </is>
      </c>
      <c r="L101" s="5" t="n">
        <v>0.4306682642088859</v>
      </c>
      <c r="M101" s="5" t="n">
        <v>0.2475750063177246</v>
      </c>
      <c r="N101" s="5" t="n">
        <v>0.3217567294733895</v>
      </c>
      <c r="O101" s="5" t="n">
        <v>0.5933963385823751</v>
      </c>
      <c r="P101" s="5" t="n">
        <v>0.4066036614176248</v>
      </c>
      <c r="Q101" s="9" t="n"/>
      <c r="R101" s="9" t="n"/>
      <c r="S101" s="3">
        <f>IF(OR(Q101="",R101=""),"[APOSTAR] VISITA",IF(Q101&lt;R101,"[GANADA] VISITA","[PERDIDA] VISITA"))</f>
        <v/>
      </c>
      <c r="T101" s="3" t="inlineStr">
        <is>
          <t>[PASAR] Sin Cuotas</t>
        </is>
      </c>
      <c r="U101" s="6" t="n">
        <v>2500</v>
      </c>
      <c r="V101" s="6" t="n">
        <v>0</v>
      </c>
      <c r="W101" s="3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6">
        <f>Y100+X101</f>
        <v/>
      </c>
      <c r="Z101" s="7">
        <f>IF(OR(Q101="",R101=""),"",(L101-IF(Q101&gt;R101,1,0))^2+(M101-IF(Q101=R101,1,0))^2+(N101-IF(Q101&lt;R101,1,0))^2)</f>
        <v/>
      </c>
      <c r="AA101" s="8" t="n">
        <v>0.7782</v>
      </c>
      <c r="AB101" s="2" t="inlineStr">
        <is>
          <t>NO</t>
        </is>
      </c>
    </row>
    <row r="102">
      <c r="A102" s="2" t="inlineStr">
        <is>
          <t>05/04/2026</t>
        </is>
      </c>
      <c r="B102" s="3" t="inlineStr">
        <is>
          <t>2026-04-05flamengosantos</t>
        </is>
      </c>
      <c r="C102" s="3" t="inlineStr">
        <is>
          <t>Flamengo vs Santos</t>
        </is>
      </c>
      <c r="D102" s="3" t="inlineStr">
        <is>
          <t>Flamengo</t>
        </is>
      </c>
      <c r="E102" s="3" t="inlineStr">
        <is>
          <t>Santos</t>
        </is>
      </c>
      <c r="F102" s="4" t="n">
        <v>1.33</v>
      </c>
      <c r="G102" s="4" t="n">
        <v>4.93</v>
      </c>
      <c r="H102" s="4" t="n">
        <v>10.02</v>
      </c>
      <c r="I102" s="4" t="n"/>
      <c r="J102" s="4" t="n"/>
      <c r="K102" s="2" t="inlineStr">
        <is>
          <t>Brasil</t>
        </is>
      </c>
      <c r="L102" s="5" t="n">
        <v>0.5663256831633772</v>
      </c>
      <c r="M102" s="5" t="n">
        <v>0.2380579885482344</v>
      </c>
      <c r="N102" s="5" t="n">
        <v>0.1956163282883884</v>
      </c>
      <c r="O102" s="5" t="n">
        <v>0.5267138998639872</v>
      </c>
      <c r="P102" s="5" t="n">
        <v>0.4732861001360127</v>
      </c>
      <c r="Q102" s="9" t="n"/>
      <c r="R102" s="9" t="n"/>
      <c r="S102" s="3" t="inlineStr">
        <is>
          <t>[PASAR] Riesgo/Beneficio</t>
        </is>
      </c>
      <c r="T102" s="3" t="inlineStr">
        <is>
          <t>[PASAR] Sin Cuotas</t>
        </is>
      </c>
      <c r="U102" s="6" t="n">
        <v>0</v>
      </c>
      <c r="V102" s="6" t="n">
        <v>0</v>
      </c>
      <c r="W102" s="3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6">
        <f>Y101+X102</f>
        <v/>
      </c>
      <c r="Z102" s="7">
        <f>IF(OR(Q102="",R102=""),"",(L102-IF(Q102&gt;R102,1,0))^2+(M102-IF(Q102=R102,1,0))^2+(N102-IF(Q102&lt;R102,1,0))^2)</f>
        <v/>
      </c>
      <c r="AA102" s="8" t="n">
        <v>0.8604000000000001</v>
      </c>
      <c r="AB102" s="2" t="inlineStr">
        <is>
          <t>NO</t>
        </is>
      </c>
    </row>
    <row r="103">
      <c r="A103" s="2" t="inlineStr">
        <is>
          <t>05/04/2026</t>
        </is>
      </c>
      <c r="B103" s="3" t="inlineStr">
        <is>
          <t>2026-04-05gimnasialaplatahuracan</t>
        </is>
      </c>
      <c r="C103" s="3" t="inlineStr">
        <is>
          <t>Gimnasia la Plata vs Huracan</t>
        </is>
      </c>
      <c r="D103" s="3" t="inlineStr">
        <is>
          <t>Gimnasia la Plata</t>
        </is>
      </c>
      <c r="E103" s="3" t="inlineStr">
        <is>
          <t>Huracan</t>
        </is>
      </c>
      <c r="F103" s="4" t="n"/>
      <c r="G103" s="4" t="n"/>
      <c r="H103" s="4" t="n"/>
      <c r="I103" s="4" t="n"/>
      <c r="J103" s="4" t="n"/>
      <c r="K103" s="2" t="inlineStr">
        <is>
          <t>Argentina</t>
        </is>
      </c>
      <c r="L103" s="5" t="n">
        <v>0.3689260629480804</v>
      </c>
      <c r="M103" s="5" t="n">
        <v>0.2960894177881392</v>
      </c>
      <c r="N103" s="5" t="n">
        <v>0.3349845192637804</v>
      </c>
      <c r="O103" s="5" t="n">
        <v>0.4097861749290452</v>
      </c>
      <c r="P103" s="5" t="n">
        <v>0.5902138250709547</v>
      </c>
      <c r="Q103" s="9" t="n"/>
      <c r="R103" s="9" t="n"/>
      <c r="S103" s="3" t="inlineStr">
        <is>
          <t>[PASAR] Sin Cuotas</t>
        </is>
      </c>
      <c r="T103" s="3" t="inlineStr">
        <is>
          <t>[PASAR] Sin Cuotas</t>
        </is>
      </c>
      <c r="U103" s="6" t="n">
        <v>0</v>
      </c>
      <c r="V103" s="6" t="n">
        <v>0</v>
      </c>
      <c r="W103" s="3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6">
        <f>Y102+X103</f>
        <v/>
      </c>
      <c r="Z103" s="7">
        <f>IF(OR(Q103="",R103=""),"",(L103-IF(Q103&gt;R103,1,0))^2+(M103-IF(Q103=R103,1,0))^2+(N103-IF(Q103&lt;R103,1,0))^2)</f>
        <v/>
      </c>
      <c r="AA103" s="8" t="n">
        <v>0.6372</v>
      </c>
      <c r="AB103" s="2" t="inlineStr">
        <is>
          <t>NO</t>
        </is>
      </c>
    </row>
    <row r="104">
      <c r="A104" s="2" t="inlineStr">
        <is>
          <t>05/04/2026</t>
        </is>
      </c>
      <c r="B104" s="3" t="inlineStr">
        <is>
          <t>2026-04-05gremioremo</t>
        </is>
      </c>
      <c r="C104" s="3" t="inlineStr">
        <is>
          <t>Gremio vs Remo</t>
        </is>
      </c>
      <c r="D104" s="3" t="inlineStr">
        <is>
          <t>Gremio</t>
        </is>
      </c>
      <c r="E104" s="3" t="inlineStr">
        <is>
          <t>Remo</t>
        </is>
      </c>
      <c r="F104" s="4" t="n">
        <v>1.5</v>
      </c>
      <c r="G104" s="4" t="n">
        <v>4.29</v>
      </c>
      <c r="H104" s="4" t="n">
        <v>6.59</v>
      </c>
      <c r="I104" s="4" t="n"/>
      <c r="J104" s="4" t="n"/>
      <c r="K104" s="2" t="inlineStr">
        <is>
          <t>Brasil</t>
        </is>
      </c>
      <c r="L104" s="5" t="n">
        <v>0.4977772803580353</v>
      </c>
      <c r="M104" s="5" t="n">
        <v>0.2350058607126713</v>
      </c>
      <c r="N104" s="5" t="n">
        <v>0.2672168589292934</v>
      </c>
      <c r="O104" s="5" t="n">
        <v>0.6141062694228666</v>
      </c>
      <c r="P104" s="5" t="n">
        <v>0.3858937305771334</v>
      </c>
      <c r="Q104" s="9" t="n"/>
      <c r="R104" s="9" t="n"/>
      <c r="S104" s="3" t="inlineStr">
        <is>
          <t>[PASAR] Riesgo/Beneficio</t>
        </is>
      </c>
      <c r="T104" s="3" t="inlineStr">
        <is>
          <t>[PASAR] Sin Cuotas</t>
        </is>
      </c>
      <c r="U104" s="6" t="n">
        <v>0</v>
      </c>
      <c r="V104" s="6" t="n">
        <v>0</v>
      </c>
      <c r="W104" s="3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6">
        <f>Y103+X104</f>
        <v/>
      </c>
      <c r="Z104" s="7">
        <f>IF(OR(Q104="",R104=""),"",(L104-IF(Q104&gt;R104,1,0))^2+(M104-IF(Q104=R104,1,0))^2+(N104-IF(Q104&lt;R104,1,0))^2)</f>
        <v/>
      </c>
      <c r="AA104" s="8" t="n">
        <v>0.6516</v>
      </c>
      <c r="AB104" s="2" t="inlineStr">
        <is>
          <t>NO</t>
        </is>
      </c>
    </row>
    <row r="105">
      <c r="A105" s="2" t="inlineStr">
        <is>
          <t>05/04/2026</t>
        </is>
      </c>
      <c r="B105" s="3" t="inlineStr">
        <is>
          <t>2026-04-05mirassolredbullbragantino</t>
        </is>
      </c>
      <c r="C105" s="3" t="inlineStr">
        <is>
          <t>Mirassol vs Red Bull Bragantino</t>
        </is>
      </c>
      <c r="D105" s="3" t="inlineStr">
        <is>
          <t>Mirassol</t>
        </is>
      </c>
      <c r="E105" s="3" t="inlineStr">
        <is>
          <t>Red Bull Bragantino</t>
        </is>
      </c>
      <c r="F105" s="4" t="n">
        <v>2.22</v>
      </c>
      <c r="G105" s="4" t="n">
        <v>3.35</v>
      </c>
      <c r="H105" s="4" t="n">
        <v>3.35</v>
      </c>
      <c r="I105" s="4" t="n"/>
      <c r="J105" s="4" t="n"/>
      <c r="K105" s="2" t="inlineStr">
        <is>
          <t>Brasil</t>
        </is>
      </c>
      <c r="L105" s="5" t="n">
        <v>0.5492710631721149</v>
      </c>
      <c r="M105" s="5" t="n">
        <v>0.23190235588067</v>
      </c>
      <c r="N105" s="5" t="n">
        <v>0.218826580947215</v>
      </c>
      <c r="O105" s="5" t="n">
        <v>0.5810405925258193</v>
      </c>
      <c r="P105" s="5" t="n">
        <v>0.4189594074741808</v>
      </c>
      <c r="Q105" s="9" t="n"/>
      <c r="R105" s="9" t="n"/>
      <c r="S105" s="3">
        <f>IF(OR(Q105="",R105=""),"[APOSTAR] LOCAL",IF(Q105&gt;R105,"[GANADA] LOCAL","[PERDIDA] LOCAL"))</f>
        <v/>
      </c>
      <c r="T105" s="3" t="inlineStr">
        <is>
          <t>[PASAR] Sin Cuotas</t>
        </is>
      </c>
      <c r="U105" s="6" t="n">
        <v>1118.03</v>
      </c>
      <c r="V105" s="6" t="n">
        <v>0</v>
      </c>
      <c r="W105" s="3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6">
        <f>Y104+X105</f>
        <v/>
      </c>
      <c r="Z105" s="7">
        <f>IF(OR(Q105="",R105=""),"",(L105-IF(Q105&gt;R105,1,0))^2+(M105-IF(Q105=R105,1,0))^2+(N105-IF(Q105&lt;R105,1,0))^2)</f>
        <v/>
      </c>
      <c r="AA105" s="8" t="n">
        <v>0.7882</v>
      </c>
      <c r="AB105" s="2" t="inlineStr">
        <is>
          <t>NO</t>
        </is>
      </c>
    </row>
    <row r="106">
      <c r="A106" s="2" t="inlineStr">
        <is>
          <t>05/04/2026</t>
        </is>
      </c>
      <c r="B106" s="3" t="inlineStr">
        <is>
          <t>2026-04-05riverplatebelgranocordoba</t>
        </is>
      </c>
      <c r="C106" s="3" t="inlineStr">
        <is>
          <t>River Plate vs Belgrano (cordoba)</t>
        </is>
      </c>
      <c r="D106" s="3" t="inlineStr">
        <is>
          <t>River Plate</t>
        </is>
      </c>
      <c r="E106" s="3" t="inlineStr">
        <is>
          <t>Belgrano (cordoba)</t>
        </is>
      </c>
      <c r="F106" s="4" t="n">
        <v>1.58</v>
      </c>
      <c r="G106" s="4" t="n">
        <v>3.81</v>
      </c>
      <c r="H106" s="4" t="n">
        <v>6.23</v>
      </c>
      <c r="I106" s="4" t="n"/>
      <c r="J106" s="4" t="n"/>
      <c r="K106" s="2" t="inlineStr">
        <is>
          <t>Argentina</t>
        </is>
      </c>
      <c r="L106" s="5" t="n">
        <v>0.5183396286630546</v>
      </c>
      <c r="M106" s="5" t="n">
        <v>0.2599119746221581</v>
      </c>
      <c r="N106" s="5" t="n">
        <v>0.2217483967147873</v>
      </c>
      <c r="O106" s="5" t="n">
        <v>0.4844492602992937</v>
      </c>
      <c r="P106" s="5" t="n">
        <v>0.5155507397007064</v>
      </c>
      <c r="Q106" s="9" t="n"/>
      <c r="R106" s="9" t="n"/>
      <c r="S106" s="3" t="inlineStr">
        <is>
          <t>[PASAR] Riesgo/Beneficio</t>
        </is>
      </c>
      <c r="T106" s="3" t="inlineStr">
        <is>
          <t>[PASAR] Sin Cuotas</t>
        </is>
      </c>
      <c r="U106" s="6" t="n">
        <v>0</v>
      </c>
      <c r="V106" s="6" t="n">
        <v>0</v>
      </c>
      <c r="W106" s="3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6">
        <f>Y105+X106</f>
        <v/>
      </c>
      <c r="Z106" s="7">
        <f>IF(OR(Q106="",R106=""),"",(L106-IF(Q106&gt;R106,1,0))^2+(M106-IF(Q106=R106,1,0))^2+(N106-IF(Q106&lt;R106,1,0))^2)</f>
        <v/>
      </c>
      <c r="AA106" s="8" t="n">
        <v>0.7229</v>
      </c>
      <c r="AB106" s="2" t="inlineStr">
        <is>
          <t>NO</t>
        </is>
      </c>
    </row>
    <row r="107">
      <c r="A107" s="2" t="inlineStr">
        <is>
          <t>04/04/2026</t>
        </is>
      </c>
      <c r="B107" s="3" t="inlineStr">
        <is>
          <t>2026-04-05rosariocentralatleticotucuman</t>
        </is>
      </c>
      <c r="C107" s="3" t="inlineStr">
        <is>
          <t>Rosario Central vs Atletico Tucuman</t>
        </is>
      </c>
      <c r="D107" s="3" t="inlineStr">
        <is>
          <t>Rosario Central</t>
        </is>
      </c>
      <c r="E107" s="3" t="inlineStr">
        <is>
          <t>Atletico Tucuman</t>
        </is>
      </c>
      <c r="F107" s="4" t="n">
        <v>1.64</v>
      </c>
      <c r="G107" s="4" t="n">
        <v>3.65</v>
      </c>
      <c r="H107" s="4" t="n">
        <v>5.82</v>
      </c>
      <c r="I107" s="4" t="n"/>
      <c r="J107" s="4" t="n"/>
      <c r="K107" s="2" t="inlineStr">
        <is>
          <t>Argentina</t>
        </is>
      </c>
      <c r="L107" s="5" t="n">
        <v>0.5139470780983998</v>
      </c>
      <c r="M107" s="5" t="n">
        <v>0.2695208223876904</v>
      </c>
      <c r="N107" s="5" t="n">
        <v>0.2165320995139097</v>
      </c>
      <c r="O107" s="5" t="n">
        <v>0.4445899234793541</v>
      </c>
      <c r="P107" s="5" t="n">
        <v>0.555410076520646</v>
      </c>
      <c r="Q107" s="9" t="n"/>
      <c r="R107" s="9" t="n"/>
      <c r="S107" s="3" t="inlineStr">
        <is>
          <t>[PASAR] Riesgo/Beneficio</t>
        </is>
      </c>
      <c r="T107" s="3" t="inlineStr">
        <is>
          <t>[PASAR] Sin Cuotas</t>
        </is>
      </c>
      <c r="U107" s="6" t="n">
        <v>0</v>
      </c>
      <c r="V107" s="6" t="n">
        <v>0</v>
      </c>
      <c r="W107" s="3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6">
        <f>Y106+X107</f>
        <v/>
      </c>
      <c r="Z107" s="7">
        <f>IF(OR(Q107="",R107=""),"",(L107-IF(Q107&gt;R107,1,0))^2+(M107-IF(Q107=R107,1,0))^2+(N107-IF(Q107&lt;R107,1,0))^2)</f>
        <v/>
      </c>
      <c r="AA107" s="8" t="n">
        <v>0.5802</v>
      </c>
      <c r="AB107" s="2" t="inlineStr">
        <is>
          <t>NO</t>
        </is>
      </c>
    </row>
    <row r="108">
      <c r="A108" s="2" t="inlineStr">
        <is>
          <t>05/04/2026</t>
        </is>
      </c>
      <c r="B108" s="3" t="inlineStr">
        <is>
          <t>2026-04-05samsunsporkonyaspor</t>
        </is>
      </c>
      <c r="C108" s="3" t="inlineStr">
        <is>
          <t>Samsunspor vs Konyaspor</t>
        </is>
      </c>
      <c r="D108" s="3" t="inlineStr">
        <is>
          <t>Samsunspor</t>
        </is>
      </c>
      <c r="E108" s="3" t="inlineStr">
        <is>
          <t>Konyaspor</t>
        </is>
      </c>
      <c r="F108" s="4" t="n"/>
      <c r="G108" s="4" t="n"/>
      <c r="H108" s="4" t="n"/>
      <c r="I108" s="4" t="n"/>
      <c r="J108" s="4" t="n"/>
      <c r="K108" s="2" t="inlineStr">
        <is>
          <t>Turquia</t>
        </is>
      </c>
      <c r="L108" s="5" t="n">
        <v>0.4326940218702164</v>
      </c>
      <c r="M108" s="5" t="n">
        <v>0.2741415535192428</v>
      </c>
      <c r="N108" s="5" t="n">
        <v>0.2931644246105408</v>
      </c>
      <c r="O108" s="5" t="n">
        <v>0.4719878585254011</v>
      </c>
      <c r="P108" s="5" t="n">
        <v>0.5280121414745987</v>
      </c>
      <c r="Q108" s="9" t="n"/>
      <c r="R108" s="9" t="n"/>
      <c r="S108" s="3" t="inlineStr">
        <is>
          <t>[PASAR] Sin Cuotas</t>
        </is>
      </c>
      <c r="T108" s="3" t="inlineStr">
        <is>
          <t>[PASAR] Sin Cuotas</t>
        </is>
      </c>
      <c r="U108" s="6" t="n">
        <v>0</v>
      </c>
      <c r="V108" s="6" t="n">
        <v>0</v>
      </c>
      <c r="W108" s="3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6">
        <f>Y107+X108</f>
        <v/>
      </c>
      <c r="Z108" s="7">
        <f>IF(OR(Q108="",R108=""),"",(L108-IF(Q108&gt;R108,1,0))^2+(M108-IF(Q108=R108,1,0))^2+(N108-IF(Q108&lt;R108,1,0))^2)</f>
        <v/>
      </c>
      <c r="AA108" s="8" t="n">
        <v>0.8228</v>
      </c>
      <c r="AB108" s="2" t="inlineStr">
        <is>
          <t>NO</t>
        </is>
      </c>
    </row>
    <row r="109">
      <c r="A109" s="2" t="inlineStr">
        <is>
          <t>04/04/2026</t>
        </is>
      </c>
      <c r="B109" s="3" t="inlineStr">
        <is>
          <t>2026-04-05vascodagamabotafogo</t>
        </is>
      </c>
      <c r="C109" s="3" t="inlineStr">
        <is>
          <t>Vasco da Gama vs Botafogo</t>
        </is>
      </c>
      <c r="D109" s="3" t="inlineStr">
        <is>
          <t>Vasco da Gama</t>
        </is>
      </c>
      <c r="E109" s="3" t="inlineStr">
        <is>
          <t>Botafogo</t>
        </is>
      </c>
      <c r="F109" s="4" t="n">
        <v>2.09</v>
      </c>
      <c r="G109" s="4" t="n">
        <v>3.39</v>
      </c>
      <c r="H109" s="4" t="n">
        <v>3.64</v>
      </c>
      <c r="I109" s="4" t="n">
        <v>2</v>
      </c>
      <c r="J109" s="4" t="n">
        <v>1.84</v>
      </c>
      <c r="K109" s="2" t="inlineStr">
        <is>
          <t>Brasil</t>
        </is>
      </c>
      <c r="L109" s="5" t="n">
        <v>0.4845178218986921</v>
      </c>
      <c r="M109" s="5" t="n">
        <v>0.2501442768951637</v>
      </c>
      <c r="N109" s="5" t="n">
        <v>0.2653379012061441</v>
      </c>
      <c r="O109" s="5" t="n">
        <v>0.5474084443313971</v>
      </c>
      <c r="P109" s="5" t="n">
        <v>0.4525915556686028</v>
      </c>
      <c r="Q109" s="9" t="n"/>
      <c r="R109" s="9" t="n"/>
      <c r="S109" s="3" t="inlineStr">
        <is>
          <t>[PASAR] Riesgo/Beneficio</t>
        </is>
      </c>
      <c r="T109" s="3" t="inlineStr">
        <is>
          <t>[PASAR] Margen Predictivo O/U Insuficiente (&lt;15%)</t>
        </is>
      </c>
      <c r="U109" s="6" t="n">
        <v>0</v>
      </c>
      <c r="V109" s="6" t="n">
        <v>0</v>
      </c>
      <c r="W109" s="3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6">
        <f>Y108+X109</f>
        <v/>
      </c>
      <c r="Z109" s="7">
        <f>IF(OR(Q109="",R109=""),"",(L109-IF(Q109&gt;R109,1,0))^2+(M109-IF(Q109=R109,1,0))^2+(N109-IF(Q109&lt;R109,1,0))^2)</f>
        <v/>
      </c>
      <c r="AA109" s="8" t="n">
        <v>0.786</v>
      </c>
      <c r="AB109" s="2" t="inlineStr">
        <is>
          <t>NO</t>
        </is>
      </c>
    </row>
    <row r="110">
      <c r="A110" s="2" t="inlineStr">
        <is>
          <t>06/04/2026</t>
        </is>
      </c>
      <c r="B110" s="3" t="inlineStr">
        <is>
          <t>2026-04-06argentinosjuniorsbanfield</t>
        </is>
      </c>
      <c r="C110" s="3" t="inlineStr">
        <is>
          <t>Argentinos Juniors vs Banfield</t>
        </is>
      </c>
      <c r="D110" s="3" t="inlineStr">
        <is>
          <t>Argentinos Juniors</t>
        </is>
      </c>
      <c r="E110" s="3" t="inlineStr">
        <is>
          <t>Banfield</t>
        </is>
      </c>
      <c r="F110" s="4" t="n">
        <v>1.51</v>
      </c>
      <c r="G110" s="4" t="n">
        <v>3.92</v>
      </c>
      <c r="H110" s="4" t="n">
        <v>7.17</v>
      </c>
      <c r="I110" s="4" t="n"/>
      <c r="J110" s="4" t="n"/>
      <c r="K110" s="2" t="inlineStr">
        <is>
          <t>Argentina</t>
        </is>
      </c>
      <c r="L110" s="5" t="n">
        <v>0.5563711974356382</v>
      </c>
      <c r="M110" s="5" t="n">
        <v>0.2583536067740375</v>
      </c>
      <c r="N110" s="5" t="n">
        <v>0.1852751957903242</v>
      </c>
      <c r="O110" s="5" t="n">
        <v>0.4497533845612681</v>
      </c>
      <c r="P110" s="5" t="n">
        <v>0.5502466154387319</v>
      </c>
      <c r="Q110" s="9" t="n"/>
      <c r="R110" s="9" t="n"/>
      <c r="S110" s="3" t="inlineStr">
        <is>
          <t>[PASAR] Riesgo/Beneficio</t>
        </is>
      </c>
      <c r="T110" s="3" t="inlineStr">
        <is>
          <t>[PASAR] Sin Cuotas</t>
        </is>
      </c>
      <c r="U110" s="6" t="n">
        <v>0</v>
      </c>
      <c r="V110" s="6" t="n">
        <v>0</v>
      </c>
      <c r="W110" s="3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6">
        <f>Y109+X110</f>
        <v/>
      </c>
      <c r="Z110" s="7">
        <f>IF(OR(Q110="",R110=""),"",(L110-IF(Q110&gt;R110,1,0))^2+(M110-IF(Q110=R110,1,0))^2+(N110-IF(Q110&lt;R110,1,0))^2)</f>
        <v/>
      </c>
      <c r="AA110" s="8" t="n">
        <v>0.6284</v>
      </c>
      <c r="AB110" s="2" t="inlineStr">
        <is>
          <t>NO</t>
        </is>
      </c>
    </row>
    <row r="111">
      <c r="A111" s="2" t="inlineStr">
        <is>
          <t>06/04/2026</t>
        </is>
      </c>
      <c r="B111" s="3" t="inlineStr">
        <is>
          <t>2026-04-06hamkamskbrann</t>
        </is>
      </c>
      <c r="C111" s="3" t="inlineStr">
        <is>
          <t>Hamkam vs Sk Brann</t>
        </is>
      </c>
      <c r="D111" s="3" t="inlineStr">
        <is>
          <t>Hamkam</t>
        </is>
      </c>
      <c r="E111" s="3" t="inlineStr">
        <is>
          <t>Sk Brann</t>
        </is>
      </c>
      <c r="F111" s="4" t="n">
        <v>3.42</v>
      </c>
      <c r="G111" s="4" t="n">
        <v>3.63</v>
      </c>
      <c r="H111" s="4" t="n">
        <v>2.08</v>
      </c>
      <c r="I111" s="4" t="n"/>
      <c r="J111" s="4" t="n"/>
      <c r="K111" s="2" t="inlineStr">
        <is>
          <t>Noruega</t>
        </is>
      </c>
      <c r="L111" s="5" t="n">
        <v>0.4486757801788941</v>
      </c>
      <c r="M111" s="5" t="n">
        <v>0.2371454964032732</v>
      </c>
      <c r="N111" s="5" t="n">
        <v>0.3141787234178327</v>
      </c>
      <c r="O111" s="5" t="n">
        <v>0.6200891137750755</v>
      </c>
      <c r="P111" s="5" t="n">
        <v>0.3799108862249245</v>
      </c>
      <c r="Q111" s="9" t="n"/>
      <c r="R111" s="9" t="n"/>
      <c r="S111" s="3">
        <f>IF(OR(Q111="",R111=""),"[APOSTAR] LOCAL",IF(Q111&gt;R111,"[GANADA] LOCAL","[PERDIDA] LOCAL"))</f>
        <v/>
      </c>
      <c r="T111" s="3" t="inlineStr">
        <is>
          <t>[PASAR] Sin Cuotas</t>
        </is>
      </c>
      <c r="U111" s="6" t="n">
        <v>1767.77</v>
      </c>
      <c r="V111" s="6" t="n">
        <v>0</v>
      </c>
      <c r="W111" s="3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6">
        <f>Y110+X111</f>
        <v/>
      </c>
      <c r="Z111" s="7">
        <f>IF(OR(Q111="",R111=""),"",(L111-IF(Q111&gt;R111,1,0))^2+(M111-IF(Q111=R111,1,0))^2+(N111-IF(Q111&lt;R111,1,0))^2)</f>
        <v/>
      </c>
      <c r="AA111" s="8" t="n">
        <v>0.9265</v>
      </c>
      <c r="AB111" s="2" t="inlineStr">
        <is>
          <t>NO</t>
        </is>
      </c>
    </row>
    <row r="112">
      <c r="A112" s="2" t="inlineStr">
        <is>
          <t>06/04/2026</t>
        </is>
      </c>
      <c r="B112" s="3" t="inlineStr">
        <is>
          <t>2026-04-06kocaelisporistanbulbasaksehir</t>
        </is>
      </c>
      <c r="C112" s="3" t="inlineStr">
        <is>
          <t>Kocaelispor vs Istanbul Basaksehir</t>
        </is>
      </c>
      <c r="D112" s="3" t="inlineStr">
        <is>
          <t>Kocaelispor</t>
        </is>
      </c>
      <c r="E112" s="3" t="inlineStr">
        <is>
          <t>Istanbul Basaksehir</t>
        </is>
      </c>
      <c r="F112" s="4" t="n"/>
      <c r="G112" s="4" t="n"/>
      <c r="H112" s="4" t="n"/>
      <c r="I112" s="4" t="n"/>
      <c r="J112" s="4" t="n"/>
      <c r="K112" s="2" t="inlineStr">
        <is>
          <t>Turquia</t>
        </is>
      </c>
      <c r="L112" s="5" t="n">
        <v>0.3333326837740704</v>
      </c>
      <c r="M112" s="5" t="n">
        <v>0.2768377365086844</v>
      </c>
      <c r="N112" s="5" t="n">
        <v>0.3898295797172452</v>
      </c>
      <c r="O112" s="5" t="n">
        <v>0.4735064796585714</v>
      </c>
      <c r="P112" s="5" t="n">
        <v>0.5264935203414286</v>
      </c>
      <c r="Q112" s="9" t="n"/>
      <c r="R112" s="9" t="n"/>
      <c r="S112" s="3" t="inlineStr">
        <is>
          <t>[PASAR] Sin Cuotas</t>
        </is>
      </c>
      <c r="T112" s="3" t="inlineStr">
        <is>
          <t>[PASAR] Sin Cuotas</t>
        </is>
      </c>
      <c r="U112" s="6" t="n">
        <v>0</v>
      </c>
      <c r="V112" s="6" t="n">
        <v>0</v>
      </c>
      <c r="W112" s="3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6">
        <f>Y111+X112</f>
        <v/>
      </c>
      <c r="Z112" s="7">
        <f>IF(OR(Q112="",R112=""),"",(L112-IF(Q112&gt;R112,1,0))^2+(M112-IF(Q112=R112,1,0))^2+(N112-IF(Q112&lt;R112,1,0))^2)</f>
        <v/>
      </c>
      <c r="AA112" s="8" t="n">
        <v>0.781</v>
      </c>
      <c r="AB112" s="2" t="inlineStr">
        <is>
          <t>NO</t>
        </is>
      </c>
    </row>
    <row r="113">
      <c r="A113" s="2" t="inlineStr">
        <is>
          <t>06/04/2026</t>
        </is>
      </c>
      <c r="B113" s="3" t="inlineStr">
        <is>
          <t>2026-04-06kristiansundbkbodoglimt</t>
        </is>
      </c>
      <c r="C113" s="3" t="inlineStr">
        <is>
          <t>Kristiansund bk vs Bodo/glimt</t>
        </is>
      </c>
      <c r="D113" s="3" t="inlineStr">
        <is>
          <t>Kristiansund bk</t>
        </is>
      </c>
      <c r="E113" s="3" t="inlineStr">
        <is>
          <t>Bodo/glimt</t>
        </is>
      </c>
      <c r="F113" s="4" t="n">
        <v>7.83</v>
      </c>
      <c r="G113" s="4" t="n">
        <v>6.43</v>
      </c>
      <c r="H113" s="4" t="n">
        <v>1.29</v>
      </c>
      <c r="I113" s="4" t="n"/>
      <c r="J113" s="4" t="n"/>
      <c r="K113" s="2" t="inlineStr">
        <is>
          <t>Noruega</t>
        </is>
      </c>
      <c r="L113" s="5" t="n">
        <v>0.2685554359060944</v>
      </c>
      <c r="M113" s="5" t="n">
        <v>0.2382308588689295</v>
      </c>
      <c r="N113" s="5" t="n">
        <v>0.4932137052249761</v>
      </c>
      <c r="O113" s="5" t="n">
        <v>0.5879103320327207</v>
      </c>
      <c r="P113" s="5" t="n">
        <v>0.4120896679672794</v>
      </c>
      <c r="Q113" s="9" t="n"/>
      <c r="R113" s="9" t="n"/>
      <c r="S113" s="3" t="inlineStr">
        <is>
          <t>[PASAR] Riesgo/Beneficio</t>
        </is>
      </c>
      <c r="T113" s="3" t="inlineStr">
        <is>
          <t>[PASAR] Sin Cuotas</t>
        </is>
      </c>
      <c r="U113" s="6" t="n">
        <v>0</v>
      </c>
      <c r="V113" s="6" t="n">
        <v>0</v>
      </c>
      <c r="W113" s="3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6">
        <f>Y112+X113</f>
        <v/>
      </c>
      <c r="Z113" s="7">
        <f>IF(OR(Q113="",R113=""),"",(L113-IF(Q113&gt;R113,1,0))^2+(M113-IF(Q113=R113,1,0))^2+(N113-IF(Q113&lt;R113,1,0))^2)</f>
        <v/>
      </c>
      <c r="AA113" s="8" t="n">
        <v>0.7848000000000001</v>
      </c>
      <c r="AB113" s="2" t="inlineStr">
        <is>
          <t>NO</t>
        </is>
      </c>
    </row>
    <row r="114">
      <c r="A114" s="2" t="inlineStr">
        <is>
          <t>06/04/2026</t>
        </is>
      </c>
      <c r="B114" s="3" t="inlineStr">
        <is>
          <t>2026-04-06moldelillestrom</t>
        </is>
      </c>
      <c r="C114" s="3" t="inlineStr">
        <is>
          <t>Molde vs Lillestrom</t>
        </is>
      </c>
      <c r="D114" s="3" t="inlineStr">
        <is>
          <t>Molde</t>
        </is>
      </c>
      <c r="E114" s="3" t="inlineStr">
        <is>
          <t>Lillestrom</t>
        </is>
      </c>
      <c r="F114" s="4" t="n">
        <v>2.11</v>
      </c>
      <c r="G114" s="4" t="n">
        <v>3.83</v>
      </c>
      <c r="H114" s="4" t="n">
        <v>3.19</v>
      </c>
      <c r="I114" s="4" t="n"/>
      <c r="J114" s="4" t="n"/>
      <c r="K114" s="2" t="inlineStr">
        <is>
          <t>Noruega</t>
        </is>
      </c>
      <c r="L114" s="5" t="n">
        <v>0.4566563276940353</v>
      </c>
      <c r="M114" s="5" t="n">
        <v>0.2465314821330628</v>
      </c>
      <c r="N114" s="5" t="n">
        <v>0.2968121901729019</v>
      </c>
      <c r="O114" s="5" t="n">
        <v>0.5692579408856451</v>
      </c>
      <c r="P114" s="5" t="n">
        <v>0.4307420591143548</v>
      </c>
      <c r="Q114" s="9" t="n"/>
      <c r="R114" s="9" t="n"/>
      <c r="S114" s="3" t="inlineStr">
        <is>
          <t>[PASAR] Riesgo/Beneficio</t>
        </is>
      </c>
      <c r="T114" s="3" t="inlineStr">
        <is>
          <t>[PASAR] Sin Cuotas</t>
        </is>
      </c>
      <c r="U114" s="6" t="n">
        <v>0</v>
      </c>
      <c r="V114" s="6" t="n">
        <v>0</v>
      </c>
      <c r="W114" s="3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6">
        <f>Y113+X114</f>
        <v/>
      </c>
      <c r="Z114" s="7">
        <f>IF(OR(Q114="",R114=""),"",(L114-IF(Q114&gt;R114,1,0))^2+(M114-IF(Q114=R114,1,0))^2+(N114-IF(Q114&lt;R114,1,0))^2)</f>
        <v/>
      </c>
      <c r="AA114" s="8" t="n">
        <v>0.6857</v>
      </c>
      <c r="AB114" s="2" t="inlineStr">
        <is>
          <t>NO</t>
        </is>
      </c>
    </row>
    <row r="115">
      <c r="A115" s="2" t="inlineStr">
        <is>
          <t>06/04/2026</t>
        </is>
      </c>
      <c r="B115" s="3" t="inlineStr">
        <is>
          <t>2026-04-06sarpsborgfkikstart</t>
        </is>
      </c>
      <c r="C115" s="3" t="inlineStr">
        <is>
          <t>Sarpsborg fk vs Ik Start</t>
        </is>
      </c>
      <c r="D115" s="3" t="inlineStr">
        <is>
          <t>Sarpsborg fk</t>
        </is>
      </c>
      <c r="E115" s="3" t="inlineStr">
        <is>
          <t>Ik Start</t>
        </is>
      </c>
      <c r="F115" s="4" t="n">
        <v>1.68</v>
      </c>
      <c r="G115" s="4" t="n">
        <v>4.17</v>
      </c>
      <c r="H115" s="4" t="n">
        <v>4.58</v>
      </c>
      <c r="I115" s="4" t="n"/>
      <c r="J115" s="4" t="n"/>
      <c r="K115" s="2" t="inlineStr">
        <is>
          <t>Noruega</t>
        </is>
      </c>
      <c r="L115" s="5" t="n">
        <v>0.3429638610175831</v>
      </c>
      <c r="M115" s="5" t="n">
        <v>0.2489684277026439</v>
      </c>
      <c r="N115" s="5" t="n">
        <v>0.408067711279773</v>
      </c>
      <c r="O115" s="5" t="n">
        <v>0.5752361140664245</v>
      </c>
      <c r="P115" s="5" t="n">
        <v>0.4247638859335756</v>
      </c>
      <c r="Q115" s="9" t="n"/>
      <c r="R115" s="9" t="n"/>
      <c r="S115" s="3">
        <f>IF(OR(Q115="",R115=""),"[APOSTAR] VISITA",IF(Q115&lt;R115,"[GANADA] VISITA","[PERDIDA] VISITA"))</f>
        <v/>
      </c>
      <c r="T115" s="3" t="inlineStr">
        <is>
          <t>[PASAR] Sin Cuotas</t>
        </is>
      </c>
      <c r="U115" s="6" t="n">
        <v>1767.77</v>
      </c>
      <c r="V115" s="6" t="n">
        <v>0</v>
      </c>
      <c r="W115" s="3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6">
        <f>Y114+X115</f>
        <v/>
      </c>
      <c r="Z115" s="7">
        <f>IF(OR(Q115="",R115=""),"",(L115-IF(Q115&gt;R115,1,0))^2+(M115-IF(Q115=R115,1,0))^2+(N115-IF(Q115&lt;R115,1,0))^2)</f>
        <v/>
      </c>
      <c r="AA115" s="8" t="n">
        <v>0.6021</v>
      </c>
      <c r="AB115" s="2" t="inlineStr">
        <is>
          <t>NO</t>
        </is>
      </c>
    </row>
    <row r="116">
      <c r="A116" s="2" t="inlineStr">
        <is>
          <t>06/04/2026</t>
        </is>
      </c>
      <c r="B116" s="3" t="inlineStr">
        <is>
          <t>2026-04-06tromsorosenborg</t>
        </is>
      </c>
      <c r="C116" s="3" t="inlineStr">
        <is>
          <t>Tromso vs Rosenborg</t>
        </is>
      </c>
      <c r="D116" s="3" t="inlineStr">
        <is>
          <t>Tromso</t>
        </is>
      </c>
      <c r="E116" s="3" t="inlineStr">
        <is>
          <t>Rosenborg</t>
        </is>
      </c>
      <c r="F116" s="4" t="n">
        <v>1.56</v>
      </c>
      <c r="G116" s="4" t="n">
        <v>4.21</v>
      </c>
      <c r="H116" s="4" t="n">
        <v>5.73</v>
      </c>
      <c r="I116" s="4" t="n"/>
      <c r="J116" s="4" t="n"/>
      <c r="K116" s="2" t="inlineStr">
        <is>
          <t>Noruega</t>
        </is>
      </c>
      <c r="L116" s="5" t="n">
        <v>0.5867408979515054</v>
      </c>
      <c r="M116" s="5" t="n">
        <v>0.2264337983858185</v>
      </c>
      <c r="N116" s="5" t="n">
        <v>0.186825303662676</v>
      </c>
      <c r="O116" s="5" t="n">
        <v>0.5490319188063115</v>
      </c>
      <c r="P116" s="5" t="n">
        <v>0.4509680811936885</v>
      </c>
      <c r="Q116" s="9" t="n"/>
      <c r="R116" s="9" t="n"/>
      <c r="S116" s="3" t="inlineStr">
        <is>
          <t>[PASAR] Riesgo/Beneficio</t>
        </is>
      </c>
      <c r="T116" s="3" t="inlineStr">
        <is>
          <t>[PASAR] Sin Cuotas</t>
        </is>
      </c>
      <c r="U116" s="6" t="n">
        <v>0</v>
      </c>
      <c r="V116" s="6" t="n">
        <v>0</v>
      </c>
      <c r="W116" s="3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6">
        <f>Y115+X116</f>
        <v/>
      </c>
      <c r="Z116" s="7">
        <f>IF(OR(Q116="",R116=""),"",(L116-IF(Q116&gt;R116,1,0))^2+(M116-IF(Q116=R116,1,0))^2+(N116-IF(Q116&lt;R116,1,0))^2)</f>
        <v/>
      </c>
      <c r="AA116" s="8" t="n">
        <v>0.9676</v>
      </c>
      <c r="AB116" s="2" t="inlineStr">
        <is>
          <t>NO</t>
        </is>
      </c>
    </row>
    <row r="117">
      <c r="A117" s="2" t="inlineStr">
        <is>
          <t>06/04/2026</t>
        </is>
      </c>
      <c r="B117" s="3" t="inlineStr">
        <is>
          <t>2026-04-06valerengavikingfk</t>
        </is>
      </c>
      <c r="C117" s="3" t="inlineStr">
        <is>
          <t>Valerenga vs Viking fk</t>
        </is>
      </c>
      <c r="D117" s="3" t="inlineStr">
        <is>
          <t>Valerenga</t>
        </is>
      </c>
      <c r="E117" s="3" t="inlineStr">
        <is>
          <t>Viking fk</t>
        </is>
      </c>
      <c r="F117" s="4" t="n">
        <v>3.03</v>
      </c>
      <c r="G117" s="4" t="n">
        <v>3.92</v>
      </c>
      <c r="H117" s="4" t="n">
        <v>2.16</v>
      </c>
      <c r="I117" s="4" t="n"/>
      <c r="J117" s="4" t="n"/>
      <c r="K117" s="2" t="inlineStr">
        <is>
          <t>Noruega</t>
        </is>
      </c>
      <c r="L117" s="5" t="n">
        <v>0.3658204311866388</v>
      </c>
      <c r="M117" s="5" t="n">
        <v>0.2461491157187746</v>
      </c>
      <c r="N117" s="5" t="n">
        <v>0.3880304530945866</v>
      </c>
      <c r="O117" s="5" t="n">
        <v>0.5914288125286316</v>
      </c>
      <c r="P117" s="5" t="n">
        <v>0.4085711874713684</v>
      </c>
      <c r="Q117" s="9" t="n"/>
      <c r="R117" s="9" t="n"/>
      <c r="S117" s="3" t="inlineStr">
        <is>
          <t>[PASAR] Margen Predictivo Insuficiente (&lt;5%)</t>
        </is>
      </c>
      <c r="T117" s="3" t="inlineStr">
        <is>
          <t>[PASAR] Sin Cuotas</t>
        </is>
      </c>
      <c r="U117" s="6" t="n">
        <v>0</v>
      </c>
      <c r="V117" s="6" t="n">
        <v>0</v>
      </c>
      <c r="W117" s="3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6">
        <f>Y116+X117</f>
        <v/>
      </c>
      <c r="Z117" s="7">
        <f>IF(OR(Q117="",R117=""),"",(L117-IF(Q117&gt;R117,1,0))^2+(M117-IF(Q117=R117,1,0))^2+(N117-IF(Q117&lt;R117,1,0))^2)</f>
        <v/>
      </c>
      <c r="AA117" s="8" t="n">
        <v>0.6494</v>
      </c>
      <c r="AB117" s="2" t="inlineStr">
        <is>
          <t>NO</t>
        </is>
      </c>
    </row>
    <row r="118">
      <c r="A118" s="2" t="inlineStr">
        <is>
          <t>07/04/2026</t>
        </is>
      </c>
      <c r="B118" s="3" t="inlineStr">
        <is>
          <t>2026-04-07aalesundfredrikstad</t>
        </is>
      </c>
      <c r="C118" s="3" t="inlineStr">
        <is>
          <t>Aalesund vs Fredrikstad</t>
        </is>
      </c>
      <c r="D118" s="3" t="inlineStr">
        <is>
          <t>Aalesund</t>
        </is>
      </c>
      <c r="E118" s="3" t="inlineStr">
        <is>
          <t>Fredrikstad</t>
        </is>
      </c>
      <c r="F118" s="4" t="n">
        <v>2.86</v>
      </c>
      <c r="G118" s="4" t="n">
        <v>3.74</v>
      </c>
      <c r="H118" s="4" t="n">
        <v>2.32</v>
      </c>
      <c r="I118" s="4" t="n">
        <v>1.82</v>
      </c>
      <c r="J118" s="4" t="n">
        <v>2.03</v>
      </c>
      <c r="K118" s="2" t="inlineStr">
        <is>
          <t>Noruega</t>
        </is>
      </c>
      <c r="L118" s="5" t="n">
        <v>0.4192423319145392</v>
      </c>
      <c r="M118" s="5" t="n">
        <v>0.2544728671319984</v>
      </c>
      <c r="N118" s="5" t="n">
        <v>0.3262848009534624</v>
      </c>
      <c r="O118" s="5" t="n">
        <v>0.5464765093450419</v>
      </c>
      <c r="P118" s="5" t="n">
        <v>0.4535234906549582</v>
      </c>
      <c r="Q118" s="9" t="n"/>
      <c r="R118" s="9" t="n"/>
      <c r="S118" s="3">
        <f>IF(OR(Q118="",R118=""),"[APOSTAR] LOCAL",IF(Q118&gt;R118,"[GANADA] LOCAL","[PERDIDA] LOCAL"))</f>
        <v/>
      </c>
      <c r="T118" s="3" t="inlineStr">
        <is>
          <t>[PASAR] Margen Predictivo O/U Insuficiente (&lt;15%)</t>
        </is>
      </c>
      <c r="U118" s="6" t="n">
        <v>2500</v>
      </c>
      <c r="V118" s="6" t="n">
        <v>0</v>
      </c>
      <c r="W118" s="3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6">
        <f>Y117+X118</f>
        <v/>
      </c>
      <c r="Z118" s="7">
        <f>IF(OR(Q118="",R118=""),"",(L118-IF(Q118&gt;R118,1,0))^2+(M118-IF(Q118=R118,1,0))^2+(N118-IF(Q118&lt;R118,1,0))^2)</f>
        <v/>
      </c>
      <c r="AA118" s="8" t="n">
        <v>0.7564</v>
      </c>
      <c r="AB118" s="2" t="inlineStr">
        <is>
          <t>NO</t>
        </is>
      </c>
    </row>
    <row r="119">
      <c r="A119" s="2" t="inlineStr">
        <is>
          <t>06/04/2026</t>
        </is>
      </c>
      <c r="B119" s="3" t="inlineStr">
        <is>
          <t>2026-04-07institutocordobadefensayjusticia</t>
        </is>
      </c>
      <c r="C119" s="3" t="inlineStr">
        <is>
          <t>Instituto (córdoba) vs Defensa y Justicia</t>
        </is>
      </c>
      <c r="D119" s="3" t="inlineStr">
        <is>
          <t>Instituto (córdoba)</t>
        </is>
      </c>
      <c r="E119" s="3" t="inlineStr">
        <is>
          <t>Defensa y Justicia</t>
        </is>
      </c>
      <c r="F119" s="4" t="n">
        <v>2</v>
      </c>
      <c r="G119" s="4" t="n">
        <v>3.2</v>
      </c>
      <c r="H119" s="4" t="n">
        <v>4.17</v>
      </c>
      <c r="I119" s="4" t="n"/>
      <c r="J119" s="4" t="n"/>
      <c r="K119" s="2" t="inlineStr">
        <is>
          <t>Argentina</t>
        </is>
      </c>
      <c r="L119" s="5" t="n">
        <v>0.3887953824534637</v>
      </c>
      <c r="M119" s="5" t="n">
        <v>0.2862846580127962</v>
      </c>
      <c r="N119" s="5" t="n">
        <v>0.32491995953374</v>
      </c>
      <c r="O119" s="5" t="n">
        <v>0.4438155267438119</v>
      </c>
      <c r="P119" s="5" t="n">
        <v>0.5561844732561881</v>
      </c>
      <c r="Q119" s="9" t="n"/>
      <c r="R119" s="9" t="n"/>
      <c r="S119" s="3">
        <f>IF(OR(Q119="",R119=""),"[APOSTAR] VISITA",IF(Q119&lt;R119,"[GANADA] VISITA","[PERDIDA] VISITA"))</f>
        <v/>
      </c>
      <c r="T119" s="3" t="inlineStr">
        <is>
          <t>[PASAR] Sin Cuotas</t>
        </is>
      </c>
      <c r="U119" s="6" t="n">
        <v>2500</v>
      </c>
      <c r="V119" s="6" t="n">
        <v>0</v>
      </c>
      <c r="W119" s="3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6">
        <f>Y118+X119</f>
        <v/>
      </c>
      <c r="Z119" s="7">
        <f>IF(OR(Q119="",R119=""),"",(L119-IF(Q119&gt;R119,1,0))^2+(M119-IF(Q119=R119,1,0))^2+(N119-IF(Q119&lt;R119,1,0))^2)</f>
        <v/>
      </c>
      <c r="AA119" s="8" t="n">
        <v>0.6891</v>
      </c>
      <c r="AB119" s="2" t="inlineStr">
        <is>
          <t>NO</t>
        </is>
      </c>
    </row>
    <row r="120">
      <c r="A120" s="2" t="inlineStr">
        <is>
          <t>07/04/2026</t>
        </is>
      </c>
      <c r="B120" s="3" t="inlineStr">
        <is>
          <t>2026-04-07kfumoslosandefjord</t>
        </is>
      </c>
      <c r="C120" s="3" t="inlineStr">
        <is>
          <t>Kfum Oslo vs Sandefjord</t>
        </is>
      </c>
      <c r="D120" s="3" t="inlineStr">
        <is>
          <t>Kfum Oslo</t>
        </is>
      </c>
      <c r="E120" s="3" t="inlineStr">
        <is>
          <t>Sandefjord</t>
        </is>
      </c>
      <c r="F120" s="4" t="n"/>
      <c r="G120" s="4" t="n"/>
      <c r="H120" s="4" t="n"/>
      <c r="I120" s="4" t="n"/>
      <c r="J120" s="4" t="n"/>
      <c r="K120" s="2" t="inlineStr">
        <is>
          <t>Noruega</t>
        </is>
      </c>
      <c r="L120" s="5" t="n">
        <v>0.374715855945916</v>
      </c>
      <c r="M120" s="5" t="n">
        <v>0.247074795734283</v>
      </c>
      <c r="N120" s="5" t="n">
        <v>0.378209348319801</v>
      </c>
      <c r="O120" s="5" t="n">
        <v>0.5874735724854936</v>
      </c>
      <c r="P120" s="5" t="n">
        <v>0.4125264275145064</v>
      </c>
      <c r="Q120" s="9" t="n"/>
      <c r="R120" s="9" t="n"/>
      <c r="S120" s="3" t="inlineStr">
        <is>
          <t>[PASAR] Sin Cuotas</t>
        </is>
      </c>
      <c r="T120" s="3" t="inlineStr">
        <is>
          <t>[PASAR] Sin Cuotas</t>
        </is>
      </c>
      <c r="U120" s="6" t="n">
        <v>0</v>
      </c>
      <c r="V120" s="6" t="n">
        <v>0</v>
      </c>
      <c r="W120" s="3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6">
        <f>Y119+X120</f>
        <v/>
      </c>
      <c r="Z120" s="7">
        <f>IF(OR(Q120="",R120=""),"",(L120-IF(Q120&gt;R120,1,0))^2+(M120-IF(Q120=R120,1,0))^2+(N120-IF(Q120&lt;R120,1,0))^2)</f>
        <v/>
      </c>
      <c r="AA120" s="8" t="n">
        <v>0.9097</v>
      </c>
      <c r="AB120" s="2" t="inlineStr">
        <is>
          <t>NO</t>
        </is>
      </c>
    </row>
    <row r="121">
      <c r="A121" s="2" t="inlineStr">
        <is>
          <t>08/04/2026</t>
        </is>
      </c>
      <c r="B121" s="3" t="inlineStr">
        <is>
          <t>2026-04-08goztepegalatasaray</t>
        </is>
      </c>
      <c r="C121" s="3" t="inlineStr">
        <is>
          <t>Goztepe vs Galatasaray</t>
        </is>
      </c>
      <c r="D121" s="3" t="inlineStr">
        <is>
          <t>Goztepe</t>
        </is>
      </c>
      <c r="E121" s="3" t="inlineStr">
        <is>
          <t>Galatasaray</t>
        </is>
      </c>
      <c r="F121" s="4" t="n"/>
      <c r="G121" s="4" t="n"/>
      <c r="H121" s="4" t="n"/>
      <c r="I121" s="4" t="n"/>
      <c r="J121" s="4" t="n"/>
      <c r="K121" s="2" t="inlineStr">
        <is>
          <t>Turquia</t>
        </is>
      </c>
      <c r="L121" s="5" t="n">
        <v>0.3503567059368736</v>
      </c>
      <c r="M121" s="5" t="n">
        <v>0.283028484029018</v>
      </c>
      <c r="N121" s="5" t="n">
        <v>0.3666148100341084</v>
      </c>
      <c r="O121" s="5" t="n">
        <v>0.4513030547014477</v>
      </c>
      <c r="P121" s="5" t="n">
        <v>0.5486969452985523</v>
      </c>
      <c r="Q121" s="9" t="n"/>
      <c r="R121" s="9" t="n"/>
      <c r="S121" s="3" t="inlineStr">
        <is>
          <t>[PASAR] Sin Cuotas</t>
        </is>
      </c>
      <c r="T121" s="3" t="inlineStr">
        <is>
          <t>[PASAR] Sin Cuotas</t>
        </is>
      </c>
      <c r="U121" s="6" t="n">
        <v>0</v>
      </c>
      <c r="V121" s="6" t="n">
        <v>0</v>
      </c>
      <c r="W121" s="3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6">
        <f>Y120+X121</f>
        <v/>
      </c>
      <c r="Z121" s="7">
        <f>IF(OR(Q121="",R121=""),"",(L121-IF(Q121&gt;R121,1,0))^2+(M121-IF(Q121=R121,1,0))^2+(N121-IF(Q121&lt;R121,1,0))^2)</f>
        <v/>
      </c>
      <c r="AA121" s="8" t="n">
        <v>0.6991000000000001</v>
      </c>
      <c r="AB121" s="2" t="inlineStr">
        <is>
          <t>NO</t>
        </is>
      </c>
    </row>
  </sheetData>
  <autoFilter ref="A1:AB1"/>
  <conditionalFormatting sqref="S2:T121">
    <cfRule type="expression" priority="1" dxfId="0">
      <formula>ISNUMBER(SEARCH("[GANADA]",S2))</formula>
    </cfRule>
    <cfRule type="expression" priority="2" dxfId="1">
      <formula>ISNUMBER(SEARCH("[PERDIDA]",S2))</formula>
    </cfRule>
    <cfRule type="expression" priority="3" dxfId="2">
      <formula>ISNUMBER(SEARCH("[APOSTAR]",S2))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10" t="inlineStr">
        <is>
          <t>Liga</t>
        </is>
      </c>
      <c r="B1" s="10" t="inlineStr">
        <is>
          <t>Apuestas</t>
        </is>
      </c>
      <c r="C1" s="10" t="inlineStr">
        <is>
          <t>Ganadas</t>
        </is>
      </c>
      <c r="D1" s="10" t="inlineStr">
        <is>
          <t>Perdidas</t>
        </is>
      </c>
      <c r="E1" s="10" t="inlineStr">
        <is>
          <t>% Acierto</t>
        </is>
      </c>
      <c r="F1" s="10" t="inlineStr">
        <is>
          <t>P/L Neto</t>
        </is>
      </c>
      <c r="G1" s="10" t="inlineStr">
        <is>
          <t>Yield</t>
        </is>
      </c>
      <c r="H1" s="10" t="inlineStr">
        <is>
          <t>Volumen</t>
        </is>
      </c>
    </row>
    <row r="2">
      <c r="A2" s="11" t="inlineStr">
        <is>
          <t>Argentina</t>
        </is>
      </c>
      <c r="B2" s="11" t="n">
        <v>4</v>
      </c>
      <c r="C2" s="11" t="n">
        <v>1</v>
      </c>
      <c r="D2" s="11" t="n">
        <v>3</v>
      </c>
      <c r="E2" s="12" t="n">
        <v>0.25</v>
      </c>
      <c r="F2" s="13" t="n">
        <v>-1818.01</v>
      </c>
      <c r="G2" s="12" t="n">
        <v>-0.2129934368534388</v>
      </c>
      <c r="H2" s="13" t="n">
        <v>8535.540000000001</v>
      </c>
    </row>
    <row r="3">
      <c r="A3" s="11" t="inlineStr">
        <is>
          <t>Brasil</t>
        </is>
      </c>
      <c r="B3" s="11" t="n">
        <v>7</v>
      </c>
      <c r="C3" s="11" t="n">
        <v>3</v>
      </c>
      <c r="D3" s="11" t="n">
        <v>4</v>
      </c>
      <c r="E3" s="12" t="n">
        <v>0.4285714285714285</v>
      </c>
      <c r="F3" s="13" t="n">
        <v>987.5</v>
      </c>
      <c r="G3" s="12" t="n">
        <v>0.07899999999999996</v>
      </c>
      <c r="H3" s="13" t="n">
        <v>12500</v>
      </c>
    </row>
    <row r="4">
      <c r="A4" s="11" t="inlineStr">
        <is>
          <t>Inglaterra</t>
        </is>
      </c>
      <c r="B4" s="11" t="n">
        <v>0</v>
      </c>
      <c r="C4" s="11" t="n">
        <v>0</v>
      </c>
      <c r="D4" s="11" t="n">
        <v>0</v>
      </c>
      <c r="E4" s="12" t="n">
        <v>0</v>
      </c>
      <c r="F4" s="13" t="n">
        <v>0</v>
      </c>
      <c r="G4" s="12" t="n">
        <v>0</v>
      </c>
      <c r="H4" s="13" t="n">
        <v>0</v>
      </c>
    </row>
    <row r="5">
      <c r="A5" s="11" t="inlineStr">
        <is>
          <t>Noruega</t>
        </is>
      </c>
      <c r="B5" s="11" t="n">
        <v>0</v>
      </c>
      <c r="C5" s="11" t="n">
        <v>0</v>
      </c>
      <c r="D5" s="11" t="n">
        <v>0</v>
      </c>
      <c r="E5" s="12" t="n">
        <v>0</v>
      </c>
      <c r="F5" s="13" t="n">
        <v>0</v>
      </c>
      <c r="G5" s="12" t="n">
        <v>0</v>
      </c>
      <c r="H5" s="13" t="n">
        <v>0</v>
      </c>
    </row>
    <row r="6">
      <c r="A6" s="11" t="inlineStr">
        <is>
          <t>Turquia</t>
        </is>
      </c>
      <c r="B6" s="11" t="n">
        <v>0</v>
      </c>
      <c r="C6" s="11" t="n">
        <v>0</v>
      </c>
      <c r="D6" s="11" t="n">
        <v>0</v>
      </c>
      <c r="E6" s="12" t="n">
        <v>0</v>
      </c>
      <c r="F6" s="13" t="n">
        <v>0</v>
      </c>
      <c r="G6" s="12" t="n">
        <v>0</v>
      </c>
      <c r="H6" s="13" t="n">
        <v>0</v>
      </c>
    </row>
    <row r="7">
      <c r="A7" s="14" t="inlineStr">
        <is>
          <t>TOTAL</t>
        </is>
      </c>
      <c r="B7" s="14" t="n">
        <v>11</v>
      </c>
      <c r="C7" s="14" t="n">
        <v>4</v>
      </c>
      <c r="D7" s="14" t="n">
        <v>7</v>
      </c>
      <c r="E7" s="15" t="n">
        <v>0.3636363636363636</v>
      </c>
      <c r="F7" s="16" t="n">
        <v>-830.51</v>
      </c>
      <c r="G7" s="15" t="n">
        <v>-0.03948146802982008</v>
      </c>
      <c r="H7" s="16" t="n">
        <v>21035.54</v>
      </c>
    </row>
    <row r="9">
      <c r="A9" s="17" t="inlineStr">
        <is>
          <t>Generado: 03/04/2026 14:10</t>
        </is>
      </c>
    </row>
    <row r="10">
      <c r="A10" s="17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2026-04-03T17:10:23Z</dcterms:created>
  <dcterms:modified xmlns:dcterms="http://purl.org/dc/terms/" xmlns:xsi="http://www.w3.org/2001/XMLSchema-instance" xsi:type="dcterms:W3CDTF">2026-04-03T17:10:24Z</dcterms:modified>
</cp:coreProperties>
</file>