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acktest" sheetId="2" state="visible" r:id="rId2"/>
    <sheet xmlns:r="http://schemas.openxmlformats.org/officeDocument/2006/relationships" name="Sombra" sheetId="3" state="visible" r:id="rId3"/>
    <sheet xmlns:r="http://schemas.openxmlformats.org/officeDocument/2006/relationships" name="Resumen" sheetId="4" state="visible" r:id="rId4"/>
  </sheets>
  <definedNames>
    <definedName name="_xlnm._FilterDatabase" localSheetId="1" hidden="1">'Backtest'!$A$1:$AC$1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%"/>
    <numFmt numFmtId="167" formatCode="0.000"/>
    <numFmt numFmtId="168" formatCode="0.00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sz val="10"/>
    </font>
    <font>
      <name val="Arial"/>
      <i val="1"/>
      <color rgb="00595959"/>
      <sz val="8"/>
    </font>
    <font>
      <name val="Arial"/>
      <b val="1"/>
      <sz val="9"/>
    </font>
    <font>
      <name val="Arial"/>
      <sz val="9"/>
    </font>
    <font>
      <name val="Arial"/>
      <b val="1"/>
      <color rgb="00FFFFFF"/>
      <sz val="11"/>
    </font>
    <font>
      <name val="Arial"/>
      <i val="1"/>
      <color rgb="00888888"/>
      <sz val="9"/>
    </font>
  </fonts>
  <fills count="1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2E75B6"/>
        <bgColor rgb="002E75B6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EBF3FB"/>
        <bgColor rgb="00EBF3FB"/>
      </patternFill>
    </fill>
    <fill>
      <patternFill patternType="solid">
        <fgColor rgb="00F2F2F2"/>
        <bgColor rgb="00F2F2F2"/>
      </patternFill>
    </fill>
    <fill>
      <patternFill patternType="solid">
        <fgColor rgb="00FFEB9C"/>
        <bgColor rgb="00FFEB9C"/>
      </patternFill>
    </fill>
    <fill>
      <patternFill patternType="solid">
        <fgColor rgb="00375623"/>
        <bgColor rgb="00375623"/>
      </patternFill>
    </fill>
    <fill>
      <patternFill patternType="solid">
        <fgColor rgb="00EBF3EB"/>
        <bgColor rgb="00EBF3EB"/>
      </patternFill>
    </fill>
    <fill>
      <patternFill patternType="solid">
        <fgColor rgb="00548235"/>
        <bgColor rgb="00548235"/>
      </patternFill>
    </fill>
    <fill>
      <patternFill patternType="solid">
        <fgColor rgb="007030A0"/>
        <bgColor rgb="007030A0"/>
      </patternFill>
    </fill>
    <fill>
      <patternFill patternType="solid">
        <fgColor rgb="00F5F5F5"/>
        <bgColor rgb="00F5F5F5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9DC3E6"/>
      </left>
      <right style="thin">
        <color rgb="009DC3E6"/>
      </right>
      <top style="thin">
        <color rgb="009DC3E6"/>
      </top>
      <bottom style="thin">
        <color rgb="009DC3E6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left" vertical="center" indent="1"/>
    </xf>
    <xf numFmtId="4" fontId="2" fillId="7" borderId="2" applyAlignment="1" pivotButton="0" quotePrefix="0" xfId="0">
      <alignment horizontal="center" vertical="center"/>
    </xf>
    <xf numFmtId="4" fontId="2" fillId="8" borderId="2" applyAlignment="1" pivotButton="0" quotePrefix="0" xfId="0">
      <alignment horizontal="center" vertical="center"/>
    </xf>
    <xf numFmtId="0" fontId="6" fillId="9" borderId="2" applyAlignment="1" pivotButton="0" quotePrefix="0" xfId="0">
      <alignment horizontal="left" vertical="center" indent="1"/>
    </xf>
    <xf numFmtId="10" fontId="2" fillId="7" borderId="2" applyAlignment="1" pivotButton="0" quotePrefix="0" xfId="0">
      <alignment horizontal="center" vertical="center"/>
    </xf>
    <xf numFmtId="10" fontId="2" fillId="8" borderId="2" applyAlignment="1" pivotButton="0" quotePrefix="0" xfId="0">
      <alignment horizontal="center" vertical="center"/>
    </xf>
    <xf numFmtId="4" fontId="2" fillId="10" borderId="2" applyAlignment="1" pivotButton="0" quotePrefix="0" xfId="0">
      <alignment horizontal="center" vertical="center"/>
    </xf>
    <xf numFmtId="1" fontId="2" fillId="10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10" fontId="2" fillId="11" borderId="2" applyAlignment="1" pivotButton="0" quotePrefix="0" xfId="0">
      <alignment horizontal="center" vertical="center"/>
    </xf>
    <xf numFmtId="2" fontId="2" fillId="7" borderId="2" applyAlignment="1" pivotButton="0" quotePrefix="0" xfId="0">
      <alignment horizontal="center" vertical="center"/>
    </xf>
    <xf numFmtId="2" fontId="2" fillId="8" borderId="2" applyAlignment="1" pivotButton="0" quotePrefix="0" xfId="0">
      <alignment horizontal="center" vertical="center"/>
    </xf>
    <xf numFmtId="168" fontId="2" fillId="7" borderId="2" applyAlignment="1" pivotButton="0" quotePrefix="0" xfId="0">
      <alignment horizontal="center" vertical="center"/>
    </xf>
    <xf numFmtId="168" fontId="2" fillId="8" borderId="2" applyAlignment="1" pivotButton="0" quotePrefix="0" xfId="0">
      <alignment horizontal="center" vertical="center"/>
    </xf>
    <xf numFmtId="10" fontId="2" fillId="10" borderId="2" applyAlignment="1" pivotButton="0" quotePrefix="0" xfId="0">
      <alignment horizontal="center" vertical="center"/>
    </xf>
    <xf numFmtId="168" fontId="2" fillId="11" borderId="2" applyAlignment="1" pivotButton="0" quotePrefix="0" xfId="0">
      <alignment horizontal="center" vertical="center"/>
    </xf>
    <xf numFmtId="168" fontId="2" fillId="1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indent="1"/>
    </xf>
    <xf numFmtId="0" fontId="5" fillId="12" borderId="2" applyAlignment="1" pivotButton="0" quotePrefix="0" xfId="0">
      <alignment horizontal="left" vertical="center" indent="1"/>
    </xf>
    <xf numFmtId="0" fontId="8" fillId="6" borderId="2" applyAlignment="1" pivotButton="0" quotePrefix="0" xfId="0">
      <alignment horizontal="left" vertical="center" indent="2"/>
    </xf>
    <xf numFmtId="0" fontId="9" fillId="6" borderId="2" applyAlignment="1" pivotButton="0" quotePrefix="0" xfId="0">
      <alignment horizontal="left" vertical="center" indent="1"/>
    </xf>
    <xf numFmtId="0" fontId="8" fillId="13" borderId="2" applyAlignment="1" pivotButton="0" quotePrefix="0" xfId="0">
      <alignment horizontal="left" vertical="center" indent="2"/>
    </xf>
    <xf numFmtId="0" fontId="9" fillId="13" borderId="2" applyAlignment="1" pivotButton="0" quotePrefix="0" xfId="0">
      <alignment horizontal="left" vertical="center" indent="1"/>
    </xf>
    <xf numFmtId="0" fontId="9" fillId="7" borderId="2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168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14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4" fontId="2" fillId="1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4" fontId="2" fillId="6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4" fontId="2" fillId="8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4" fontId="2" fillId="7" borderId="1" applyAlignment="1" pivotButton="0" quotePrefix="0" xfId="0">
      <alignment horizontal="center" vertical="center"/>
    </xf>
    <xf numFmtId="4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indent="1"/>
    </xf>
    <xf numFmtId="1" fontId="2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1" fontId="2" fillId="8" borderId="1" applyAlignment="1" pivotButton="0" quotePrefix="0" xfId="0">
      <alignment horizontal="center" vertical="center"/>
    </xf>
    <xf numFmtId="1" fontId="2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0" fontId="2" fillId="10" borderId="1" applyAlignment="1" pivotButton="0" quotePrefix="0" xfId="0">
      <alignment horizontal="center" vertical="center"/>
    </xf>
    <xf numFmtId="10" fontId="2" fillId="7" borderId="1" applyAlignment="1" pivotButton="0" quotePrefix="0" xfId="0">
      <alignment horizontal="center" vertical="center"/>
    </xf>
    <xf numFmtId="10" fontId="2" fillId="8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  <xf numFmtId="0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4" fontId="6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0">
    <dxf>
      <fill>
        <patternFill patternType="solid">
          <fgColor rgb="00DEEAF1"/>
          <bgColor rgb="00DEEAF1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EAE0F0"/>
          <bgColor rgb="00EAE0F0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9DC3E6"/>
          <bgColor rgb="009DC3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</cols>
  <sheetData>
    <row r="1" ht="30" customHeight="1">
      <c r="A1" s="1" t="inlineStr">
        <is>
          <t>DASHBOARD DE RENDIMIENTO</t>
        </is>
      </c>
    </row>
    <row r="2" ht="15" customHeight="1">
      <c r="A2" s="2" t="inlineStr">
        <is>
          <t>Generado: 10/04/2026 12:31   |   Bankroll: $100,000.00</t>
        </is>
      </c>
    </row>
    <row r="3" ht="20" customHeight="1">
      <c r="A3" s="3" t="inlineStr">
        <is>
          <t>Metrica</t>
        </is>
      </c>
      <c r="B3" s="3" t="inlineStr">
        <is>
          <t>Total</t>
        </is>
      </c>
      <c r="C3" s="3" t="inlineStr">
        <is>
          <t>1X2</t>
        </is>
      </c>
      <c r="D3" s="3" t="inlineStr">
        <is>
          <t>O/U</t>
        </is>
      </c>
    </row>
    <row r="4" ht="14" customHeight="1">
      <c r="A4" s="4" t="inlineStr">
        <is>
          <t xml:space="preserve">  RESULTADOS FINANCIEROS</t>
        </is>
      </c>
    </row>
    <row r="5" ht="18" customHeight="1">
      <c r="A5" s="5" t="inlineStr">
        <is>
          <t>Ganancia neta</t>
        </is>
      </c>
      <c r="B5" s="6" t="n">
        <v>72022.7663</v>
      </c>
      <c r="C5" s="6" t="n">
        <v>81812.7885</v>
      </c>
      <c r="D5" s="7" t="n">
        <v>-9790.022199999999</v>
      </c>
    </row>
    <row r="6" ht="18" customHeight="1">
      <c r="A6" s="8" t="inlineStr">
        <is>
          <t>Yield</t>
        </is>
      </c>
      <c r="B6" s="9" t="n">
        <v>0.6443325098623282</v>
      </c>
      <c r="C6" s="9" t="n">
        <v>1.694284681483887</v>
      </c>
      <c r="D6" s="10" t="n">
        <v>-0.1541945338397958</v>
      </c>
    </row>
    <row r="7" ht="18" customHeight="1">
      <c r="A7" s="5" t="inlineStr">
        <is>
          <t>Volumen apostado</t>
        </is>
      </c>
      <c r="B7" s="11" t="n">
        <v>111778.88</v>
      </c>
      <c r="C7" s="11" t="n">
        <v>48287.51</v>
      </c>
      <c r="D7" s="11" t="n">
        <v>63491.37</v>
      </c>
    </row>
    <row r="8" ht="18" customHeight="1">
      <c r="A8" s="8" t="inlineStr">
        <is>
          <t>N apuestas liquidadas</t>
        </is>
      </c>
      <c r="B8" s="12" t="n">
        <v>74</v>
      </c>
      <c r="C8" s="12" t="n">
        <v>29</v>
      </c>
      <c r="D8" s="12" t="n">
        <v>45</v>
      </c>
    </row>
    <row r="9" ht="14" customHeight="1">
      <c r="A9" s="4" t="inlineStr">
        <is>
          <t xml:space="preserve">  TASA DE ACIERTO</t>
        </is>
      </c>
    </row>
    <row r="10" ht="18" customHeight="1">
      <c r="A10" s="8" t="inlineStr">
        <is>
          <t>% Acierto P  (col. Acierto, 65/84 partidos)</t>
        </is>
      </c>
      <c r="B10" s="9" t="n">
        <v>0.7738095238095238</v>
      </c>
      <c r="C10" s="9" t="n">
        <v>0.7738095238095238</v>
      </c>
      <c r="D10" s="13" t="inlineStr">
        <is>
          <t>—</t>
        </is>
      </c>
    </row>
    <row r="11" ht="18" customHeight="1">
      <c r="A11" s="5" t="inlineStr">
        <is>
          <t>% Acierto $  (apuestas ganadoras / total apostado)</t>
        </is>
      </c>
      <c r="B11" s="14" t="n">
        <v>0.5</v>
      </c>
      <c r="C11" s="9" t="n">
        <v>0.6896551724137931</v>
      </c>
      <c r="D11" s="10" t="n">
        <v>0.3777777777777778</v>
      </c>
    </row>
    <row r="12" ht="18" customHeight="1">
      <c r="A12" s="8" t="inlineStr">
        <is>
          <t>% Acierto all  (promedio sistema + apuestas)</t>
        </is>
      </c>
      <c r="B12" s="9" t="n">
        <v>0.6369047619047619</v>
      </c>
      <c r="C12" s="9" t="n">
        <v>0.7317323481116584</v>
      </c>
      <c r="D12" s="10" t="n">
        <v>0.3777777777777778</v>
      </c>
    </row>
    <row r="13" ht="14" customHeight="1">
      <c r="A13" s="4" t="inlineStr">
        <is>
          <t xml:space="preserve">  ESTADISTICA INFERENCIAL</t>
        </is>
      </c>
    </row>
    <row r="14" ht="18" customHeight="1">
      <c r="A14" s="8" t="inlineStr">
        <is>
          <t>T-score</t>
        </is>
      </c>
      <c r="B14" s="15" t="n">
        <v>2.8718</v>
      </c>
      <c r="C14" s="15" t="n">
        <v>4.5307</v>
      </c>
      <c r="D14" s="16" t="n">
        <v>-0.9881</v>
      </c>
    </row>
    <row r="15" ht="18" customHeight="1">
      <c r="A15" s="5" t="inlineStr">
        <is>
          <t>P-Value  (two-tailed, &lt;0.05 = significativo)</t>
        </is>
      </c>
      <c r="B15" s="17" t="n">
        <v>0.0041</v>
      </c>
      <c r="C15" s="17" t="n">
        <v>0</v>
      </c>
      <c r="D15" s="18" t="n">
        <v>0.3231</v>
      </c>
    </row>
    <row r="16" ht="18" customHeight="1">
      <c r="A16" s="8" t="inlineStr">
        <is>
          <t>Fraccion Kelly</t>
        </is>
      </c>
      <c r="B16" s="19" t="n">
        <v>0.5</v>
      </c>
      <c r="C16" s="19" t="n">
        <v>0.5</v>
      </c>
      <c r="D16" s="13" t="inlineStr">
        <is>
          <t>—</t>
        </is>
      </c>
    </row>
    <row r="17" ht="14" customHeight="1">
      <c r="A17" s="4" t="inlineStr">
        <is>
          <t xml:space="preserve">  CALIBRACION DEL MODELO  (Brier Score — rango 0 a 2, aleatorio ≈ 0.667, menor es mejor)</t>
        </is>
      </c>
    </row>
    <row r="18" ht="18" customHeight="1">
      <c r="A18" s="8" t="inlineStr">
        <is>
          <t>BS Sistema  (promedio por partido, Dixon-Coles)</t>
        </is>
      </c>
      <c r="B18" s="20" t="n">
        <v>0.584993502113702</v>
      </c>
      <c r="C18" s="21" t="n">
        <v>0.584993502113702</v>
      </c>
      <c r="D18" s="13" t="inlineStr">
        <is>
          <t>—</t>
        </is>
      </c>
    </row>
    <row r="19" ht="18" customHeight="1">
      <c r="A19" s="5" t="inlineStr">
        <is>
          <t>BS Casa  (promedio por partido, cuotas mercado)</t>
        </is>
      </c>
      <c r="B19" s="20" t="n">
        <v>0.6229703177513963</v>
      </c>
      <c r="C19" s="21" t="n">
        <v>0.6229703177513963</v>
      </c>
      <c r="D19" s="13" t="inlineStr">
        <is>
          <t>—</t>
        </is>
      </c>
    </row>
    <row r="20" ht="18" customHeight="1">
      <c r="A20" s="8" t="inlineStr">
        <is>
          <t>BS Global  (Sistema - Casa, negativo = modelo supera mercado)</t>
        </is>
      </c>
      <c r="B20" s="17" t="n">
        <v>-0.03797681563769428</v>
      </c>
      <c r="C20" s="21" t="n">
        <v>-0.03797681563769428</v>
      </c>
      <c r="D20" s="13" t="inlineStr">
        <is>
          <t>—</t>
        </is>
      </c>
    </row>
    <row r="22">
      <c r="A22" s="22" t="inlineStr">
        <is>
          <t>Yield &gt;5%=verde | 0-5%=amarillo | &lt;0%=rojo    BS &lt;0.50=verde | 0.50-0.65=amarillo | &gt;0.65=rojo    P-Value &lt;0.05=verde | 0.05-0.10=amarillo | &gt;0.10=rojo    BS Global negativo = modelo supera al mercado</t>
        </is>
      </c>
    </row>
    <row r="24" ht="14" customHeight="1">
      <c r="A24" s="23" t="inlineStr">
        <is>
          <t xml:space="preserve">  ESTRATEGIA ACTIVA  (Motor Calculadora V4.3)</t>
        </is>
      </c>
    </row>
    <row r="25" ht="15" customHeight="1">
      <c r="A25" s="24" t="inlineStr">
        <is>
          <t>Floor prob mínima</t>
        </is>
      </c>
      <c r="C25" s="25" t="inlineStr">
        <is>
          <t>33%  — ningún outcome por debajo de este piso</t>
        </is>
      </c>
    </row>
    <row r="26" ht="15" customHeight="1">
      <c r="A26" s="26" t="inlineStr">
        <is>
          <t>EV mínimo escalado</t>
        </is>
      </c>
      <c r="C26" s="27" t="inlineStr">
        <is>
          <t>prob≥50%→3%  |  prob 40-50%→8%  |  prob 33-40%→12%</t>
        </is>
      </c>
    </row>
    <row r="27" ht="15" customHeight="1">
      <c r="A27" s="24" t="inlineStr">
        <is>
          <t>Bloqueo empates</t>
        </is>
      </c>
      <c r="C27" s="28" t="inlineStr">
        <is>
          <t>ACTIVO — sobreestimación sistémica +7.9% vs real</t>
        </is>
      </c>
    </row>
    <row r="28" ht="15" customHeight="1">
      <c r="A28" s="26" t="inlineStr">
        <is>
          <t>Camino 2B — Desacuerdo</t>
        </is>
      </c>
      <c r="C28" s="27" t="inlineStr">
        <is>
          <t>modelo≠mercado + prob≥40% + div 15-30% + EV escalado</t>
        </is>
      </c>
    </row>
    <row r="29" ht="15" customHeight="1">
      <c r="A29" s="24" t="inlineStr">
        <is>
          <t>Camino 3 — Alta Convicción</t>
        </is>
      </c>
      <c r="C29" s="25" t="inlineStr">
        <is>
          <t>prob≥33% + EV≥100% + cuota≤8.0</t>
        </is>
      </c>
    </row>
    <row r="30" ht="15" customHeight="1">
      <c r="A30" s="26" t="inlineStr">
        <is>
          <t>xG Margen O/U</t>
        </is>
      </c>
      <c r="C30" s="27" t="inlineStr">
        <is>
          <t>apostar O/U solo si |xG_total − 2.5| ≥ 0.4 goles</t>
        </is>
      </c>
    </row>
    <row r="31" ht="15" customHeight="1">
      <c r="A31" s="24" t="inlineStr">
        <is>
          <t>Margen predictivo 1X2</t>
        </is>
      </c>
      <c r="C31" s="25" t="inlineStr">
        <is>
          <t>diferencia entre 1º y 2º prob del modelo ≥ 3%</t>
        </is>
      </c>
    </row>
    <row r="32" ht="15" customHeight="1">
      <c r="A32" s="26" t="inlineStr">
        <is>
          <t>Divergencia normal</t>
        </is>
      </c>
      <c r="C32" s="27" t="inlineStr">
        <is>
          <t>prob_modelo − prob_implícita_mercado ≤ 15%</t>
        </is>
      </c>
    </row>
    <row r="33" ht="15" customHeight="1">
      <c r="A33" s="24" t="inlineStr">
        <is>
          <t>Techo cuota normal</t>
        </is>
      </c>
      <c r="C33" s="25" t="inlineStr">
        <is>
          <t>≤ 5.0  (relajado a 8.0 en Caminos 2B y 3)</t>
        </is>
      </c>
    </row>
    <row r="34" ht="15" customHeight="1">
      <c r="A34" s="26" t="inlineStr">
        <is>
          <t>Kelly fraccionado</t>
        </is>
      </c>
      <c r="C34" s="27" t="inlineStr">
        <is>
          <t>50% del Kelly óptimo (Thorp 2006)</t>
        </is>
      </c>
    </row>
  </sheetData>
  <mergeCells count="28">
    <mergeCell ref="C34:D34"/>
    <mergeCell ref="A17:D17"/>
    <mergeCell ref="A30:B30"/>
    <mergeCell ref="C30:D30"/>
    <mergeCell ref="A22:D22"/>
    <mergeCell ref="C33:D33"/>
    <mergeCell ref="A4:D4"/>
    <mergeCell ref="C26:D26"/>
    <mergeCell ref="A13:D13"/>
    <mergeCell ref="A9:D9"/>
    <mergeCell ref="C29:D29"/>
    <mergeCell ref="A25:B25"/>
    <mergeCell ref="C25:D25"/>
    <mergeCell ref="A24:D24"/>
    <mergeCell ref="A27:B27"/>
    <mergeCell ref="C31:D31"/>
    <mergeCell ref="A1:D1"/>
    <mergeCell ref="A26:B26"/>
    <mergeCell ref="A33:B33"/>
    <mergeCell ref="C27:D27"/>
    <mergeCell ref="A32:B32"/>
    <mergeCell ref="C32:D32"/>
    <mergeCell ref="A29:B29"/>
    <mergeCell ref="A28:B28"/>
    <mergeCell ref="C28:D28"/>
    <mergeCell ref="A2:D2"/>
    <mergeCell ref="A31:B31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30" customWidth="1" min="3" max="3"/>
    <col width="20" customWidth="1" min="4" max="4"/>
    <col width="2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8" customWidth="1" min="17" max="17"/>
    <col width="8" customWidth="1" min="18" max="18"/>
    <col width="28" customWidth="1" min="19" max="19"/>
    <col width="28" customWidth="1" min="20" max="20"/>
    <col width="13" customWidth="1" min="21" max="21"/>
    <col width="13" customWidth="1" min="22" max="22"/>
    <col width="22" customWidth="1" min="23" max="23"/>
    <col width="13" customWidth="1" min="24" max="24"/>
    <col width="15" customWidth="1" min="25" max="25"/>
    <col width="12" customWidth="1" min="26" max="26"/>
    <col width="12" customWidth="1" min="27" max="27"/>
    <col width="13" customWidth="1" min="28" max="28"/>
    <col width="11" customWidth="1" min="29" max="29"/>
  </cols>
  <sheetData>
    <row r="1">
      <c r="A1" s="29" t="inlineStr">
        <is>
          <t>Fecha</t>
        </is>
      </c>
      <c r="B1" s="29" t="inlineStr">
        <is>
          <t>ID Partido</t>
        </is>
      </c>
      <c r="C1" s="29" t="inlineStr">
        <is>
          <t>Partido</t>
        </is>
      </c>
      <c r="D1" s="29" t="inlineStr">
        <is>
          <t>Local</t>
        </is>
      </c>
      <c r="E1" s="29" t="inlineStr">
        <is>
          <t>Visita</t>
        </is>
      </c>
      <c r="F1" s="29" t="inlineStr">
        <is>
          <t>Cuota 1</t>
        </is>
      </c>
      <c r="G1" s="29" t="inlineStr">
        <is>
          <t>Cuota X</t>
        </is>
      </c>
      <c r="H1" s="29" t="inlineStr">
        <is>
          <t>Cuota 2</t>
        </is>
      </c>
      <c r="I1" s="29" t="inlineStr">
        <is>
          <t>Cuota +2.5</t>
        </is>
      </c>
      <c r="J1" s="29" t="inlineStr">
        <is>
          <t>Cuota -2.5</t>
        </is>
      </c>
      <c r="K1" s="29" t="inlineStr">
        <is>
          <t>Liga</t>
        </is>
      </c>
      <c r="L1" s="29" t="inlineStr">
        <is>
          <t>Prob 1</t>
        </is>
      </c>
      <c r="M1" s="29" t="inlineStr">
        <is>
          <t>Prob X</t>
        </is>
      </c>
      <c r="N1" s="29" t="inlineStr">
        <is>
          <t>Prob 2</t>
        </is>
      </c>
      <c r="O1" s="29" t="inlineStr">
        <is>
          <t>Prob +2.5</t>
        </is>
      </c>
      <c r="P1" s="29" t="inlineStr">
        <is>
          <t>Prob -2.5</t>
        </is>
      </c>
      <c r="Q1" s="29" t="inlineStr">
        <is>
          <t>Goles L</t>
        </is>
      </c>
      <c r="R1" s="29" t="inlineStr">
        <is>
          <t>Goles V</t>
        </is>
      </c>
      <c r="S1" s="29" t="inlineStr">
        <is>
          <t>Apuesta 1X2</t>
        </is>
      </c>
      <c r="T1" s="29" t="inlineStr">
        <is>
          <t>Apuesta O/U 2.5</t>
        </is>
      </c>
      <c r="U1" s="29" t="inlineStr">
        <is>
          <t>Stake 1X2</t>
        </is>
      </c>
      <c r="V1" s="29" t="inlineStr">
        <is>
          <t>Stake O/U 2.5</t>
        </is>
      </c>
      <c r="W1" s="29" t="inlineStr">
        <is>
          <t>Acierto</t>
        </is>
      </c>
      <c r="X1" s="29" t="inlineStr">
        <is>
          <t>P/L Neto</t>
        </is>
      </c>
      <c r="Y1" s="29" t="inlineStr">
        <is>
          <t>Equity Curve</t>
        </is>
      </c>
      <c r="Z1" s="29" t="inlineStr">
        <is>
          <t>BS Sistema</t>
        </is>
      </c>
      <c r="AA1" s="29" t="inlineStr">
        <is>
          <t>BS Casa</t>
        </is>
      </c>
      <c r="AB1" s="29" t="inlineStr">
        <is>
          <t>Incertidumbre</t>
        </is>
      </c>
      <c r="AC1" s="29" t="inlineStr">
        <is>
          <t>Auditoria</t>
        </is>
      </c>
    </row>
    <row r="2">
      <c r="A2" s="30" t="n">
        <v>46097</v>
      </c>
      <c r="B2" s="31" t="inlineStr">
        <is>
          <t>2026-03-16aldosivihuracan</t>
        </is>
      </c>
      <c r="C2" s="31" t="inlineStr">
        <is>
          <t>Aldosivi vs Huracan</t>
        </is>
      </c>
      <c r="D2" s="31" t="inlineStr">
        <is>
          <t>Aldosivi</t>
        </is>
      </c>
      <c r="E2" s="31" t="inlineStr">
        <is>
          <t>Huracan</t>
        </is>
      </c>
      <c r="F2" s="32" t="n">
        <v>4.25</v>
      </c>
      <c r="G2" s="32" t="n">
        <v>1.81</v>
      </c>
      <c r="H2" s="32" t="n">
        <v>3.45</v>
      </c>
      <c r="I2" s="32" t="n"/>
      <c r="J2" s="32" t="n"/>
      <c r="K2" s="33" t="inlineStr">
        <is>
          <t>Argentina</t>
        </is>
      </c>
      <c r="L2" s="34" t="n">
        <v>0.3710962282068335</v>
      </c>
      <c r="M2" s="34" t="n">
        <v>0.2359029952664173</v>
      </c>
      <c r="N2" s="34" t="n">
        <v>0.3930007765267491</v>
      </c>
      <c r="O2" s="34" t="n">
        <v>0.6814484819251414</v>
      </c>
      <c r="P2" s="34" t="n">
        <v>0.3185515180748585</v>
      </c>
      <c r="Q2" s="33" t="n">
        <v>0</v>
      </c>
      <c r="R2" s="33" t="n">
        <v>0</v>
      </c>
      <c r="S2" s="31" t="inlineStr">
        <is>
          <t>[PASAR] Margen Predictivo Insuficiente (&lt;5%)</t>
        </is>
      </c>
      <c r="T2" s="31" t="inlineStr">
        <is>
          <t>[PASAR] Sin Cuotas</t>
        </is>
      </c>
      <c r="U2" s="35" t="n">
        <v>0</v>
      </c>
      <c r="V2" s="35" t="n">
        <v>0</v>
      </c>
      <c r="W2" s="31">
        <f>IF(L2="","",IF((MAX(L2,M2,N2)-MEDIAN(L2,M2,N2))&gt;0.05,IF(OR(Q2="",R2=""),"[PREDICCION] "&amp;IF(L2=MAX(L2,M2,N2),"LOCAL",IF(M2=MAX(L2,M2,N2),"EMPATE","VISITA")),IF(L2=MAX(L2,M2,N2),IF(Q2&gt;R2,"[ACIERTO]","[FALLO]"),IF(M2=MAX(L2,M2,N2),IF(Q2=R2,"[ACIERTO]","[FALLO]"),IF(Q2&lt;R2,"[ACIERTO]","[FALLO]")))),"[PASAR] Margen Insuf"))</f>
        <v/>
      </c>
      <c r="X2" s="35">
        <f>IFERROR(IF(U2=0,0,IF(ISNUMBER(SEARCH("[GANADA]",S2)),U2*(IF(ISNUMBER(SEARCH("LOCAL",S2)),F2,IF(ISNUMBER(SEARCH("EMPATE",S2)),G2,H2))-1),IF(ISNUMBER(SEARCH("[PERDIDA]",S2)),-U2,0))),0)+IFERROR(IF(V2=0,0,IF(ISNUMBER(SEARCH("[GANADA]",T2)),V2*(IF(ISNUMBER(SEARCH("OVER",T2)),I2,J2)-1),IF(ISNUMBER(SEARCH("[PERDIDA]",T2)),-V2,0))),0)</f>
        <v/>
      </c>
      <c r="Y2" s="35">
        <f>100000.0+X2</f>
        <v/>
      </c>
      <c r="Z2" s="36">
        <f>IF(OR(Q2="",R2=""),"",(L2-IF(Q2&gt;R2,1,0))^2+(M2-IF(Q2=R2,1,0))^2+(N2-IF(Q2&lt;R2,1,0))^2)</f>
        <v/>
      </c>
      <c r="AA2" s="36">
        <f>IF(OR(Q2="",R2="",F2="",F2=0,G2="",G2=0,H2="",H2=0),"",((1/F2/(1/F2+1/G2+1/H2))-IF(Q2&gt;R2,1,0))^2+((1/G2/(1/F2+1/G2+1/H2))-IF(Q2=R2,1,0))^2+((1/H2/(1/F2+1/G2+1/H2))-IF(Q2&lt;R2,1,0))^2)</f>
        <v/>
      </c>
      <c r="AB2" s="37" t="n">
        <v>0.8946</v>
      </c>
      <c r="AC2" s="33" t="inlineStr">
        <is>
          <t>NO</t>
        </is>
      </c>
    </row>
    <row r="3">
      <c r="A3" s="30" t="n">
        <v>46097</v>
      </c>
      <c r="B3" s="31" t="inlineStr">
        <is>
          <t>2026-03-16barracascentralatleticotucuman</t>
        </is>
      </c>
      <c r="C3" s="31" t="inlineStr">
        <is>
          <t>Barracas Central vs Atletico Tucuman</t>
        </is>
      </c>
      <c r="D3" s="31" t="inlineStr">
        <is>
          <t>Barracas Central</t>
        </is>
      </c>
      <c r="E3" s="31" t="inlineStr">
        <is>
          <t>Atletico Tucuman</t>
        </is>
      </c>
      <c r="F3" s="32" t="n">
        <v>1.36</v>
      </c>
      <c r="G3" s="32" t="n">
        <v>3.75</v>
      </c>
      <c r="H3" s="32" t="n">
        <v>13</v>
      </c>
      <c r="I3" s="32" t="n"/>
      <c r="J3" s="32" t="n"/>
      <c r="K3" s="33" t="inlineStr">
        <is>
          <t>Argentina</t>
        </is>
      </c>
      <c r="L3" s="34" t="n">
        <v>0.429488</v>
      </c>
      <c r="M3" s="34" t="n">
        <v>0.223358</v>
      </c>
      <c r="N3" s="34" t="n">
        <v>0.347154</v>
      </c>
      <c r="O3" s="34" t="n">
        <v>0.6945766824354072</v>
      </c>
      <c r="P3" s="34" t="n">
        <v>0.3054233175645928</v>
      </c>
      <c r="Q3" s="33" t="n">
        <v>2</v>
      </c>
      <c r="R3" s="33" t="n">
        <v>1</v>
      </c>
      <c r="S3" s="31" t="inlineStr">
        <is>
          <t>[PASAR] Riesgo/Beneficio</t>
        </is>
      </c>
      <c r="T3" s="31" t="inlineStr">
        <is>
          <t>[PASAR] Sin Cuotas</t>
        </is>
      </c>
      <c r="U3" s="35" t="n">
        <v>0</v>
      </c>
      <c r="V3" s="35" t="n">
        <v>0</v>
      </c>
      <c r="W3" s="31">
        <f>IF(L3="","",IF((MAX(L3,M3,N3)-MEDIAN(L3,M3,N3))&gt;0.05,IF(OR(Q3="",R3=""),"[PREDICCION] "&amp;IF(L3=MAX(L3,M3,N3),"LOCAL",IF(M3=MAX(L3,M3,N3),"EMPATE","VISITA")),IF(L3=MAX(L3,M3,N3),IF(Q3&gt;R3,"[ACIERTO]","[FALLO]"),IF(M3=MAX(L3,M3,N3),IF(Q3=R3,"[ACIERTO]","[FALLO]"),IF(Q3&lt;R3,"[ACIERTO]","[FALLO]")))),"[PASAR] Margen Insuf"))</f>
        <v/>
      </c>
      <c r="X3" s="35">
        <f>IFERROR(IF(U3=0,0,IF(ISNUMBER(SEARCH("[GANADA]",S3)),U3*(IF(ISNUMBER(SEARCH("LOCAL",S3)),F3,IF(ISNUMBER(SEARCH("EMPATE",S3)),G3,H3))-1),IF(ISNUMBER(SEARCH("[PERDIDA]",S3)),-U3,0))),0)+IFERROR(IF(V3=0,0,IF(ISNUMBER(SEARCH("[GANADA]",T3)),V3*(IF(ISNUMBER(SEARCH("OVER",T3)),I3,J3)-1),IF(ISNUMBER(SEARCH("[PERDIDA]",T3)),-V3,0))),0)</f>
        <v/>
      </c>
      <c r="Y3" s="35">
        <f>Y2+X3</f>
        <v/>
      </c>
      <c r="Z3" s="36">
        <f>IF(OR(Q3="",R3=""),"",(L3-IF(Q3&gt;R3,1,0))^2+(M3-IF(Q3=R3,1,0))^2+(N3-IF(Q3&lt;R3,1,0))^2)</f>
        <v/>
      </c>
      <c r="AA3" s="36">
        <f>IF(OR(Q3="",R3="",F3="",F3=0,G3="",G3=0,H3="",H3=0),"",((1/F3/(1/F3+1/G3+1/H3))-IF(Q3&gt;R3,1,0))^2+((1/G3/(1/F3+1/G3+1/H3))-IF(Q3=R3,1,0))^2+((1/H3/(1/F3+1/G3+1/H3))-IF(Q3&lt;R3,1,0))^2)</f>
        <v/>
      </c>
      <c r="AB3" s="37" t="n">
        <v>0.6975</v>
      </c>
      <c r="AC3" s="33" t="inlineStr">
        <is>
          <t>NO</t>
        </is>
      </c>
    </row>
    <row r="4">
      <c r="A4" s="30" t="n">
        <v>46097</v>
      </c>
      <c r="B4" s="31" t="inlineStr">
        <is>
          <t>2026-03-16brentfordwolverhamptonwanderers</t>
        </is>
      </c>
      <c r="C4" s="31" t="inlineStr">
        <is>
          <t>Brentford vs Wolverhampton Wanderers</t>
        </is>
      </c>
      <c r="D4" s="31" t="inlineStr">
        <is>
          <t>Brentford</t>
        </is>
      </c>
      <c r="E4" s="31" t="inlineStr">
        <is>
          <t>Wolverhampton Wanderers</t>
        </is>
      </c>
      <c r="F4" s="32" t="n">
        <v>1.55</v>
      </c>
      <c r="G4" s="32" t="n">
        <v>4.55</v>
      </c>
      <c r="H4" s="32" t="n">
        <v>5.9</v>
      </c>
      <c r="I4" s="32" t="n">
        <v>1.65</v>
      </c>
      <c r="J4" s="32" t="n">
        <v>2.25</v>
      </c>
      <c r="K4" s="33" t="inlineStr">
        <is>
          <t>Inglaterra</t>
        </is>
      </c>
      <c r="L4" s="34" t="n">
        <v>0.40809</v>
      </c>
      <c r="M4" s="34" t="n">
        <v>0.173644</v>
      </c>
      <c r="N4" s="34" t="n">
        <v>0.418266</v>
      </c>
      <c r="O4" s="34" t="n">
        <v>0.8668288425830163</v>
      </c>
      <c r="P4" s="34" t="n">
        <v>0.1331711574169837</v>
      </c>
      <c r="Q4" s="33" t="n">
        <v>2</v>
      </c>
      <c r="R4" s="33" t="n">
        <v>2</v>
      </c>
      <c r="S4" s="31" t="inlineStr">
        <is>
          <t>[PASAR] Margen Predictivo Insuficiente (&lt;5%)</t>
        </is>
      </c>
      <c r="T4" s="31">
        <f>IF(OR(Q4="",R4=""),"[APOSTAR] OVER 2.5",IF((Q4+R4)&gt;2.5,"[GANADA] OVER 2.5","[PERDIDA] OVER 2.5"))</f>
        <v/>
      </c>
      <c r="U4" s="35" t="n">
        <v>0</v>
      </c>
      <c r="V4" s="35" t="n">
        <v>2500</v>
      </c>
      <c r="W4" s="31">
        <f>IF(L4="","",IF((MAX(L4,M4,N4)-MEDIAN(L4,M4,N4))&gt;0.05,IF(OR(Q4="",R4=""),"[PREDICCION] "&amp;IF(L4=MAX(L4,M4,N4),"LOCAL",IF(M4=MAX(L4,M4,N4),"EMPATE","VISITA")),IF(L4=MAX(L4,M4,N4),IF(Q4&gt;R4,"[ACIERTO]","[FALLO]"),IF(M4=MAX(L4,M4,N4),IF(Q4=R4,"[ACIERTO]","[FALLO]"),IF(Q4&lt;R4,"[ACIERTO]","[FALLO]")))),"[PASAR] Margen Insuf"))</f>
        <v/>
      </c>
      <c r="X4" s="35">
        <f>IFERROR(IF(U4=0,0,IF(ISNUMBER(SEARCH("[GANADA]",S4)),U4*(IF(ISNUMBER(SEARCH("LOCAL",S4)),F4,IF(ISNUMBER(SEARCH("EMPATE",S4)),G4,H4))-1),IF(ISNUMBER(SEARCH("[PERDIDA]",S4)),-U4,0))),0)+IFERROR(IF(V4=0,0,IF(ISNUMBER(SEARCH("[GANADA]",T4)),V4*(IF(ISNUMBER(SEARCH("OVER",T4)),I4,J4)-1),IF(ISNUMBER(SEARCH("[PERDIDA]",T4)),-V4,0))),0)</f>
        <v/>
      </c>
      <c r="Y4" s="35">
        <f>Y3+X4</f>
        <v/>
      </c>
      <c r="Z4" s="36">
        <f>IF(OR(Q4="",R4=""),"",(L4-IF(Q4&gt;R4,1,0))^2+(M4-IF(Q4=R4,1,0))^2+(N4-IF(Q4&lt;R4,1,0))^2)</f>
        <v/>
      </c>
      <c r="AA4" s="36">
        <f>IF(OR(Q4="",R4="",F4="",F4=0,G4="",G4=0,H4="",H4=0),"",((1/F4/(1/F4+1/G4+1/H4))-IF(Q4&gt;R4,1,0))^2+((1/G4/(1/F4+1/G4+1/H4))-IF(Q4=R4,1,0))^2+((1/H4/(1/F4+1/G4+1/H4))-IF(Q4&lt;R4,1,0))^2)</f>
        <v/>
      </c>
      <c r="AB4" s="37" t="n">
        <v>1.3424</v>
      </c>
      <c r="AC4" s="33" t="inlineStr">
        <is>
          <t>NO</t>
        </is>
      </c>
    </row>
    <row r="5">
      <c r="A5" s="30" t="n">
        <v>46097</v>
      </c>
      <c r="B5" s="31" t="inlineStr">
        <is>
          <t>2026-03-16chapecoensegremio</t>
        </is>
      </c>
      <c r="C5" s="31" t="inlineStr">
        <is>
          <t>Chapecoense vs Gremio</t>
        </is>
      </c>
      <c r="D5" s="31" t="inlineStr">
        <is>
          <t>Chapecoense</t>
        </is>
      </c>
      <c r="E5" s="31" t="inlineStr">
        <is>
          <t>Gremio</t>
        </is>
      </c>
      <c r="F5" s="32" t="n">
        <v>2.75</v>
      </c>
      <c r="G5" s="32" t="n">
        <v>3.3</v>
      </c>
      <c r="H5" s="32" t="n">
        <v>2.3</v>
      </c>
      <c r="I5" s="32" t="n">
        <v>1.92</v>
      </c>
      <c r="J5" s="32" t="n">
        <v>1.93</v>
      </c>
      <c r="K5" s="33" t="inlineStr">
        <is>
          <t>Brasil</t>
        </is>
      </c>
      <c r="L5" s="34" t="n">
        <v>0.383754</v>
      </c>
      <c r="M5" s="34" t="n">
        <v>0.183336</v>
      </c>
      <c r="N5" s="34" t="n">
        <v>0.432909</v>
      </c>
      <c r="O5" s="34" t="n">
        <v>0.8551132575065481</v>
      </c>
      <c r="P5" s="34" t="n">
        <v>0.1448867424934519</v>
      </c>
      <c r="Q5" s="33" t="n">
        <v>1</v>
      </c>
      <c r="R5" s="33" t="n">
        <v>1</v>
      </c>
      <c r="S5" s="31" t="inlineStr">
        <is>
          <t>[PASAR] EV Insuf (0.055&lt;0.120)</t>
        </is>
      </c>
      <c r="T5" s="31">
        <f>IF(OR(Q5="",R5=""),"[APOSTAR] OVER 2.5",IF((Q5+R5)&gt;2.5,"[GANADA] OVER 2.5","[PERDIDA] OVER 2.5"))</f>
        <v/>
      </c>
      <c r="U5" s="35" t="n">
        <v>0</v>
      </c>
      <c r="V5" s="35" t="n">
        <v>2500</v>
      </c>
      <c r="W5" s="31">
        <f>IF(L5="","",IF((MAX(L5,M5,N5)-MEDIAN(L5,M5,N5))&gt;0.05,IF(OR(Q5="",R5=""),"[PREDICCION] "&amp;IF(L5=MAX(L5,M5,N5),"LOCAL",IF(M5=MAX(L5,M5,N5),"EMPATE","VISITA")),IF(L5=MAX(L5,M5,N5),IF(Q5&gt;R5,"[ACIERTO]","[FALLO]"),IF(M5=MAX(L5,M5,N5),IF(Q5=R5,"[ACIERTO]","[FALLO]"),IF(Q5&lt;R5,"[ACIERTO]","[FALLO]")))),"[PASAR] Margen Insuf"))</f>
        <v/>
      </c>
      <c r="X5" s="35">
        <f>IFERROR(IF(U5=0,0,IF(ISNUMBER(SEARCH("[GANADA]",S5)),U5*(IF(ISNUMBER(SEARCH("LOCAL",S5)),F5,IF(ISNUMBER(SEARCH("EMPATE",S5)),G5,H5))-1),IF(ISNUMBER(SEARCH("[PERDIDA]",S5)),-U5,0))),0)+IFERROR(IF(V5=0,0,IF(ISNUMBER(SEARCH("[GANADA]",T5)),V5*(IF(ISNUMBER(SEARCH("OVER",T5)),I5,J5)-1),IF(ISNUMBER(SEARCH("[PERDIDA]",T5)),-V5,0))),0)</f>
        <v/>
      </c>
      <c r="Y5" s="35">
        <f>Y4+X5</f>
        <v/>
      </c>
      <c r="Z5" s="36">
        <f>IF(OR(Q5="",R5=""),"",(L5-IF(Q5&gt;R5,1,0))^2+(M5-IF(Q5=R5,1,0))^2+(N5-IF(Q5&lt;R5,1,0))^2)</f>
        <v/>
      </c>
      <c r="AA5" s="36">
        <f>IF(OR(Q5="",R5="",F5="",F5=0,G5="",G5=0,H5="",H5=0),"",((1/F5/(1/F5+1/G5+1/H5))-IF(Q5&gt;R5,1,0))^2+((1/G5/(1/F5+1/G5+1/H5))-IF(Q5=R5,1,0))^2+((1/H5/(1/F5+1/G5+1/H5))-IF(Q5&lt;R5,1,0))^2)</f>
        <v/>
      </c>
      <c r="AB5" s="37" t="n">
        <v>1.1362</v>
      </c>
      <c r="AC5" s="33" t="inlineStr">
        <is>
          <t>NO</t>
        </is>
      </c>
    </row>
    <row r="6">
      <c r="A6" s="30" t="n">
        <v>46097</v>
      </c>
      <c r="B6" s="31" t="inlineStr">
        <is>
          <t>2026-03-16institutodecordobaindependiente</t>
        </is>
      </c>
      <c r="C6" s="31" t="inlineStr">
        <is>
          <t>Instituto (córdoba) vs Independiente</t>
        </is>
      </c>
      <c r="D6" s="31" t="inlineStr">
        <is>
          <t>Instituto (córdoba)</t>
        </is>
      </c>
      <c r="E6" s="31" t="inlineStr">
        <is>
          <t>Independiente</t>
        </is>
      </c>
      <c r="F6" s="32" t="n">
        <v>2.63</v>
      </c>
      <c r="G6" s="32" t="n">
        <v>3</v>
      </c>
      <c r="H6" s="32" t="n">
        <v>2.85</v>
      </c>
      <c r="I6" s="32" t="n">
        <v>2.68</v>
      </c>
      <c r="J6" s="32" t="n">
        <v>1.46</v>
      </c>
      <c r="K6" s="33" t="inlineStr">
        <is>
          <t>Argentina</t>
        </is>
      </c>
      <c r="L6" s="34" t="n">
        <v>0.39811106039984</v>
      </c>
      <c r="M6" s="34" t="n">
        <v>0.2345625932018685</v>
      </c>
      <c r="N6" s="34" t="n">
        <v>0.3673263463982916</v>
      </c>
      <c r="O6" s="34" t="n">
        <v>0.6871128073697615</v>
      </c>
      <c r="P6" s="34" t="n">
        <v>0.3128871926302385</v>
      </c>
      <c r="Q6" s="33" t="n">
        <v>2</v>
      </c>
      <c r="R6" s="33" t="n">
        <v>1</v>
      </c>
      <c r="S6" s="31" t="inlineStr">
        <is>
          <t>[PASAR] EV Insuf (0.047&lt;0.120)</t>
        </is>
      </c>
      <c r="T6" s="31">
        <f>IF(OR(Q6="",R6=""),"[APOSTAR] OVER 2.5",IF((Q6+R6)&gt;2.5,"[GANADA] OVER 2.5","[PERDIDA] OVER 2.5"))</f>
        <v/>
      </c>
      <c r="U6" s="35" t="n">
        <v>0</v>
      </c>
      <c r="V6" s="35" t="n">
        <v>1443.38</v>
      </c>
      <c r="W6" s="31">
        <f>IF(L6="","",IF((MAX(L6,M6,N6)-MEDIAN(L6,M6,N6))&gt;0.05,IF(OR(Q6="",R6=""),"[PREDICCION] "&amp;IF(L6=MAX(L6,M6,N6),"LOCAL",IF(M6=MAX(L6,M6,N6),"EMPATE","VISITA")),IF(L6=MAX(L6,M6,N6),IF(Q6&gt;R6,"[ACIERTO]","[FALLO]"),IF(M6=MAX(L6,M6,N6),IF(Q6=R6,"[ACIERTO]","[FALLO]"),IF(Q6&lt;R6,"[ACIERTO]","[FALLO]")))),"[PASAR] Margen Insuf"))</f>
        <v/>
      </c>
      <c r="X6" s="35">
        <f>IFERROR(IF(U6=0,0,IF(ISNUMBER(SEARCH("[GANADA]",S6)),U6*(IF(ISNUMBER(SEARCH("LOCAL",S6)),F6,IF(ISNUMBER(SEARCH("EMPATE",S6)),G6,H6))-1),IF(ISNUMBER(SEARCH("[PERDIDA]",S6)),-U6,0))),0)+IFERROR(IF(V6=0,0,IF(ISNUMBER(SEARCH("[GANADA]",T6)),V6*(IF(ISNUMBER(SEARCH("OVER",T6)),I6,J6)-1),IF(ISNUMBER(SEARCH("[PERDIDA]",T6)),-V6,0))),0)</f>
        <v/>
      </c>
      <c r="Y6" s="35">
        <f>Y5+X6</f>
        <v/>
      </c>
      <c r="Z6" s="36">
        <f>IF(OR(Q6="",R6=""),"",(L6-IF(Q6&gt;R6,1,0))^2+(M6-IF(Q6=R6,1,0))^2+(N6-IF(Q6&lt;R6,1,0))^2)</f>
        <v/>
      </c>
      <c r="AA6" s="36">
        <f>IF(OR(Q6="",R6="",F6="",F6=0,G6="",G6=0,H6="",H6=0),"",((1/F6/(1/F6+1/G6+1/H6))-IF(Q6&gt;R6,1,0))^2+((1/G6/(1/F6+1/G6+1/H6))-IF(Q6=R6,1,0))^2+((1/H6/(1/F6+1/G6+1/H6))-IF(Q6&lt;R6,1,0))^2)</f>
        <v/>
      </c>
      <c r="AB6" s="37" t="n">
        <v>0.7674</v>
      </c>
      <c r="AC6" s="33" t="inlineStr">
        <is>
          <t>NO</t>
        </is>
      </c>
    </row>
    <row r="7">
      <c r="A7" s="30" t="n">
        <v>46097</v>
      </c>
      <c r="B7" s="31" t="inlineStr">
        <is>
          <t>2026-03-16racingclubestudiantesderiocuarto</t>
        </is>
      </c>
      <c r="C7" s="31" t="inlineStr">
        <is>
          <t>Racing Club vs Estudiantes de Rio Cuarto</t>
        </is>
      </c>
      <c r="D7" s="31" t="inlineStr">
        <is>
          <t>Racing Club</t>
        </is>
      </c>
      <c r="E7" s="31" t="inlineStr">
        <is>
          <t>Estudiantes de Rio Cuarto</t>
        </is>
      </c>
      <c r="F7" s="32" t="n">
        <v>1.42</v>
      </c>
      <c r="G7" s="32" t="n">
        <v>4.2</v>
      </c>
      <c r="H7" s="32" t="n">
        <v>8.5</v>
      </c>
      <c r="I7" s="32" t="n">
        <v>2.2</v>
      </c>
      <c r="J7" s="32" t="n">
        <v>1.63</v>
      </c>
      <c r="K7" s="33" t="inlineStr">
        <is>
          <t>Argentina</t>
        </is>
      </c>
      <c r="L7" s="34" t="n">
        <v>0.430743</v>
      </c>
      <c r="M7" s="34" t="n">
        <v>0.228515</v>
      </c>
      <c r="N7" s="34" t="n">
        <v>0.340742</v>
      </c>
      <c r="O7" s="34" t="n">
        <v>0.6698908319120198</v>
      </c>
      <c r="P7" s="34" t="n">
        <v>0.3301091680879802</v>
      </c>
      <c r="Q7" s="33" t="n">
        <v>2</v>
      </c>
      <c r="R7" s="33" t="n">
        <v>0</v>
      </c>
      <c r="S7" s="31" t="inlineStr">
        <is>
          <t>[PASAR] Riesgo/Beneficio</t>
        </is>
      </c>
      <c r="T7" s="31">
        <f>IF(OR(Q7="",R7=""),"[APOSTAR] OVER 2.5",IF((Q7+R7)&gt;2.5,"[GANADA] OVER 2.5","[PERDIDA] OVER 2.5"))</f>
        <v/>
      </c>
      <c r="U7" s="35" t="n">
        <v>0</v>
      </c>
      <c r="V7" s="35" t="n">
        <v>1443.38</v>
      </c>
      <c r="W7" s="31">
        <f>IF(L7="","",IF((MAX(L7,M7,N7)-MEDIAN(L7,M7,N7))&gt;0.05,IF(OR(Q7="",R7=""),"[PREDICCION] "&amp;IF(L7=MAX(L7,M7,N7),"LOCAL",IF(M7=MAX(L7,M7,N7),"EMPATE","VISITA")),IF(L7=MAX(L7,M7,N7),IF(Q7&gt;R7,"[ACIERTO]","[FALLO]"),IF(M7=MAX(L7,M7,N7),IF(Q7=R7,"[ACIERTO]","[FALLO]"),IF(Q7&lt;R7,"[ACIERTO]","[FALLO]")))),"[PASAR] Margen Insuf"))</f>
        <v/>
      </c>
      <c r="X7" s="35">
        <f>IFERROR(IF(U7=0,0,IF(ISNUMBER(SEARCH("[GANADA]",S7)),U7*(IF(ISNUMBER(SEARCH("LOCAL",S7)),F7,IF(ISNUMBER(SEARCH("EMPATE",S7)),G7,H7))-1),IF(ISNUMBER(SEARCH("[PERDIDA]",S7)),-U7,0))),0)+IFERROR(IF(V7=0,0,IF(ISNUMBER(SEARCH("[GANADA]",T7)),V7*(IF(ISNUMBER(SEARCH("OVER",T7)),I7,J7)-1),IF(ISNUMBER(SEARCH("[PERDIDA]",T7)),-V7,0))),0)</f>
        <v/>
      </c>
      <c r="Y7" s="35">
        <f>Y6+X7</f>
        <v/>
      </c>
      <c r="Z7" s="36">
        <f>IF(OR(Q7="",R7=""),"",(L7-IF(Q7&gt;R7,1,0))^2+(M7-IF(Q7=R7,1,0))^2+(N7-IF(Q7&lt;R7,1,0))^2)</f>
        <v/>
      </c>
      <c r="AA7" s="36">
        <f>IF(OR(Q7="",R7="",F7="",F7=0,G7="",G7=0,H7="",H7=0),"",((1/F7/(1/F7+1/G7+1/H7))-IF(Q7&gt;R7,1,0))^2+((1/G7/(1/F7+1/G7+1/H7))-IF(Q7=R7,1,0))^2+((1/H7/(1/F7+1/G7+1/H7))-IF(Q7&lt;R7,1,0))^2)</f>
        <v/>
      </c>
      <c r="AB7" s="37" t="n">
        <v>0.8897</v>
      </c>
      <c r="AC7" s="33" t="inlineStr">
        <is>
          <t>NO</t>
        </is>
      </c>
    </row>
    <row r="8">
      <c r="A8" s="30" t="n">
        <v>46097</v>
      </c>
      <c r="B8" s="31" t="inlineStr">
        <is>
          <t>2026-03-16sanlorenzodefensayjusticia</t>
        </is>
      </c>
      <c r="C8" s="31" t="inlineStr">
        <is>
          <t>San Lorenzo vs Defensa y Justicia</t>
        </is>
      </c>
      <c r="D8" s="31" t="inlineStr">
        <is>
          <t>San Lorenzo</t>
        </is>
      </c>
      <c r="E8" s="31" t="inlineStr">
        <is>
          <t>Defensa y Justicia</t>
        </is>
      </c>
      <c r="F8" s="32" t="n">
        <v>2.2</v>
      </c>
      <c r="G8" s="32" t="n">
        <v>2.95</v>
      </c>
      <c r="H8" s="32" t="n">
        <v>3.7</v>
      </c>
      <c r="I8" s="32" t="n">
        <v>2.95</v>
      </c>
      <c r="J8" s="32" t="n">
        <v>1.39</v>
      </c>
      <c r="K8" s="33" t="inlineStr">
        <is>
          <t>Argentina</t>
        </is>
      </c>
      <c r="L8" s="34" t="n">
        <v>0.3819991100619375</v>
      </c>
      <c r="M8" s="34" t="n">
        <v>0.2297804991954804</v>
      </c>
      <c r="N8" s="34" t="n">
        <v>0.3882203907425821</v>
      </c>
      <c r="O8" s="34" t="n">
        <v>0.7091842177634944</v>
      </c>
      <c r="P8" s="34" t="n">
        <v>0.2908157822365056</v>
      </c>
      <c r="Q8" s="33" t="n">
        <v>2</v>
      </c>
      <c r="R8" s="33" t="n">
        <v>5</v>
      </c>
      <c r="S8" s="31" t="inlineStr">
        <is>
          <t>[PASAR] Margen Predictivo Insuficiente (&lt;5%)</t>
        </is>
      </c>
      <c r="T8" s="31">
        <f>IF(OR(Q8="",R8=""),"[APOSTAR] OVER 2.5",IF((Q8+R8)&gt;2.5,"[GANADA] OVER 2.5","[PERDIDA] OVER 2.5"))</f>
        <v/>
      </c>
      <c r="U8" s="35" t="n">
        <v>0</v>
      </c>
      <c r="V8" s="35" t="n">
        <v>1443.38</v>
      </c>
      <c r="W8" s="31">
        <f>IF(L8="","",IF((MAX(L8,M8,N8)-MEDIAN(L8,M8,N8))&gt;0.05,IF(OR(Q8="",R8=""),"[PREDICCION] "&amp;IF(L8=MAX(L8,M8,N8),"LOCAL",IF(M8=MAX(L8,M8,N8),"EMPATE","VISITA")),IF(L8=MAX(L8,M8,N8),IF(Q8&gt;R8,"[ACIERTO]","[FALLO]"),IF(M8=MAX(L8,M8,N8),IF(Q8=R8,"[ACIERTO]","[FALLO]"),IF(Q8&lt;R8,"[ACIERTO]","[FALLO]")))),"[PASAR] Margen Insuf"))</f>
        <v/>
      </c>
      <c r="X8" s="35">
        <f>IFERROR(IF(U8=0,0,IF(ISNUMBER(SEARCH("[GANADA]",S8)),U8*(IF(ISNUMBER(SEARCH("LOCAL",S8)),F8,IF(ISNUMBER(SEARCH("EMPATE",S8)),G8,H8))-1),IF(ISNUMBER(SEARCH("[PERDIDA]",S8)),-U8,0))),0)+IFERROR(IF(V8=0,0,IF(ISNUMBER(SEARCH("[GANADA]",T8)),V8*(IF(ISNUMBER(SEARCH("OVER",T8)),I8,J8)-1),IF(ISNUMBER(SEARCH("[PERDIDA]",T8)),-V8,0))),0)</f>
        <v/>
      </c>
      <c r="Y8" s="35">
        <f>Y7+X8</f>
        <v/>
      </c>
      <c r="Z8" s="36">
        <f>IF(OR(Q8="",R8=""),"",(L8-IF(Q8&gt;R8,1,0))^2+(M8-IF(Q8=R8,1,0))^2+(N8-IF(Q8&lt;R8,1,0))^2)</f>
        <v/>
      </c>
      <c r="AA8" s="36">
        <f>IF(OR(Q8="",R8="",F8="",F8=0,G8="",G8=0,H8="",H8=0),"",((1/F8/(1/F8+1/G8+1/H8))-IF(Q8&gt;R8,1,0))^2+((1/G8/(1/F8+1/G8+1/H8))-IF(Q8=R8,1,0))^2+((1/H8/(1/F8+1/G8+1/H8))-IF(Q8&lt;R8,1,0))^2)</f>
        <v/>
      </c>
      <c r="AB8" s="37" t="n">
        <v>0.8854</v>
      </c>
      <c r="AC8" s="33" t="inlineStr">
        <is>
          <t>NO</t>
        </is>
      </c>
    </row>
    <row r="9">
      <c r="A9" s="30" t="n">
        <v>46098</v>
      </c>
      <c r="B9" s="31" t="inlineStr">
        <is>
          <t>2026-03-17centralcordobadeportivoriestra</t>
        </is>
      </c>
      <c r="C9" s="31" t="inlineStr">
        <is>
          <t>Central Córdoba (santiago del Estero) vs Deportivo Riestra</t>
        </is>
      </c>
      <c r="D9" s="31" t="inlineStr">
        <is>
          <t>Central Córdoba (santiago del Estero)</t>
        </is>
      </c>
      <c r="E9" s="31" t="inlineStr">
        <is>
          <t>Deportivo Riestra</t>
        </is>
      </c>
      <c r="F9" s="32" t="n">
        <v>2.9</v>
      </c>
      <c r="G9" s="32" t="n">
        <v>2.6</v>
      </c>
      <c r="H9" s="32" t="n">
        <v>3.05</v>
      </c>
      <c r="I9" s="32" t="n">
        <v>3.7</v>
      </c>
      <c r="J9" s="32" t="n">
        <v>1.27</v>
      </c>
      <c r="K9" s="33" t="inlineStr">
        <is>
          <t>Argentina</t>
        </is>
      </c>
      <c r="L9" s="34" t="n">
        <v>0.3879232373097725</v>
      </c>
      <c r="M9" s="34" t="n">
        <v>0.2339165280766299</v>
      </c>
      <c r="N9" s="34" t="n">
        <v>0.3781602346135977</v>
      </c>
      <c r="O9" s="34" t="n">
        <v>0.69063707873453</v>
      </c>
      <c r="P9" s="34" t="n">
        <v>0.30936292126547</v>
      </c>
      <c r="Q9" s="33" t="n">
        <v>1</v>
      </c>
      <c r="R9" s="33" t="n">
        <v>0</v>
      </c>
      <c r="S9" s="31" t="inlineStr">
        <is>
          <t>[PASAR] Margen Predictivo Insuficiente (&lt;5%)</t>
        </is>
      </c>
      <c r="T9" s="31">
        <f>IF(OR(Q9="",R9=""),"[APOSTAR] OVER 2.5",IF((Q9+R9)&gt;2.5,"[GANADA] OVER 2.5","[PERDIDA] OVER 2.5"))</f>
        <v/>
      </c>
      <c r="U9" s="35" t="n">
        <v>0</v>
      </c>
      <c r="V9" s="35" t="n">
        <v>1443.38</v>
      </c>
      <c r="W9" s="31">
        <f>IF(L9="","",IF((MAX(L9,M9,N9)-MEDIAN(L9,M9,N9))&gt;0.05,IF(OR(Q9="",R9=""),"[PREDICCION] "&amp;IF(L9=MAX(L9,M9,N9),"LOCAL",IF(M9=MAX(L9,M9,N9),"EMPATE","VISITA")),IF(L9=MAX(L9,M9,N9),IF(Q9&gt;R9,"[ACIERTO]","[FALLO]"),IF(M9=MAX(L9,M9,N9),IF(Q9=R9,"[ACIERTO]","[FALLO]"),IF(Q9&lt;R9,"[ACIERTO]","[FALLO]")))),"[PASAR] Margen Insuf"))</f>
        <v/>
      </c>
      <c r="X9" s="35">
        <f>IFERROR(IF(U9=0,0,IF(ISNUMBER(SEARCH("[GANADA]",S9)),U9*(IF(ISNUMBER(SEARCH("LOCAL",S9)),F9,IF(ISNUMBER(SEARCH("EMPATE",S9)),G9,H9))-1),IF(ISNUMBER(SEARCH("[PERDIDA]",S9)),-U9,0))),0)+IFERROR(IF(V9=0,0,IF(ISNUMBER(SEARCH("[GANADA]",T9)),V9*(IF(ISNUMBER(SEARCH("OVER",T9)),I9,J9)-1),IF(ISNUMBER(SEARCH("[PERDIDA]",T9)),-V9,0))),0)</f>
        <v/>
      </c>
      <c r="Y9" s="35">
        <f>Y8+X9</f>
        <v/>
      </c>
      <c r="Z9" s="36">
        <f>IF(OR(Q9="",R9=""),"",(L9-IF(Q9&gt;R9,1,0))^2+(M9-IF(Q9=R9,1,0))^2+(N9-IF(Q9&lt;R9,1,0))^2)</f>
        <v/>
      </c>
      <c r="AA9" s="36">
        <f>IF(OR(Q9="",R9="",F9="",F9=0,G9="",G9=0,H9="",H9=0),"",((1/F9/(1/F9+1/G9+1/H9))-IF(Q9&gt;R9,1,0))^2+((1/G9/(1/F9+1/G9+1/H9))-IF(Q9=R9,1,0))^2+((1/H9/(1/F9+1/G9+1/H9))-IF(Q9&lt;R9,1,0))^2)</f>
        <v/>
      </c>
      <c r="AB9" s="37" t="n">
        <v>0.8932</v>
      </c>
      <c r="AC9" s="33" t="inlineStr">
        <is>
          <t>NO</t>
        </is>
      </c>
    </row>
    <row r="10">
      <c r="A10" s="30" t="n">
        <v>46098</v>
      </c>
      <c r="B10" s="31" t="inlineStr">
        <is>
          <t>2026-03-17gimnasiamendozaestudiantes</t>
        </is>
      </c>
      <c r="C10" s="31" t="inlineStr">
        <is>
          <t>Gimnasia Mendoza vs Estudiantes de la Plata</t>
        </is>
      </c>
      <c r="D10" s="31" t="inlineStr">
        <is>
          <t>Gimnasia Mendoza</t>
        </is>
      </c>
      <c r="E10" s="31" t="inlineStr">
        <is>
          <t>Estudiantes de la Plata</t>
        </is>
      </c>
      <c r="F10" s="32" t="n">
        <v>3.6</v>
      </c>
      <c r="G10" s="32" t="n">
        <v>2.85</v>
      </c>
      <c r="H10" s="32" t="n">
        <v>2.32</v>
      </c>
      <c r="I10" s="32" t="n">
        <v>3.15</v>
      </c>
      <c r="J10" s="32" t="n">
        <v>1.35</v>
      </c>
      <c r="K10" s="33" t="inlineStr">
        <is>
          <t>Argentina</t>
        </is>
      </c>
      <c r="L10" s="34" t="n">
        <v>0.3847012921924286</v>
      </c>
      <c r="M10" s="34" t="n">
        <v>0.229594604994793</v>
      </c>
      <c r="N10" s="34" t="n">
        <v>0.3857041028127783</v>
      </c>
      <c r="O10" s="34" t="n">
        <v>0.7100415726316365</v>
      </c>
      <c r="P10" s="34" t="n">
        <v>0.2899584273683635</v>
      </c>
      <c r="Q10" s="33" t="n">
        <v>1</v>
      </c>
      <c r="R10" s="33" t="n">
        <v>2</v>
      </c>
      <c r="S10" s="31" t="inlineStr">
        <is>
          <t>[PASAR] Margen Predictivo Insuficiente (&lt;5%)</t>
        </is>
      </c>
      <c r="T10" s="31">
        <f>IF(OR(Q10="",R10=""),"[APOSTAR] OVER 2.5",IF((Q10+R10)&gt;2.5,"[GANADA] OVER 2.5","[PERDIDA] OVER 2.5"))</f>
        <v/>
      </c>
      <c r="U10" s="35" t="n">
        <v>0</v>
      </c>
      <c r="V10" s="35" t="n">
        <v>1443.38</v>
      </c>
      <c r="W10" s="31">
        <f>IF(L10="","",IF((MAX(L10,M10,N10)-MEDIAN(L10,M10,N10))&gt;0.05,IF(OR(Q10="",R10=""),"[PREDICCION] "&amp;IF(L10=MAX(L10,M10,N10),"LOCAL",IF(M10=MAX(L10,M10,N10),"EMPATE","VISITA")),IF(L10=MAX(L10,M10,N10),IF(Q10&gt;R10,"[ACIERTO]","[FALLO]"),IF(M10=MAX(L10,M10,N10),IF(Q10=R10,"[ACIERTO]","[FALLO]"),IF(Q10&lt;R10,"[ACIERTO]","[FALLO]")))),"[PASAR] Margen Insuf"))</f>
        <v/>
      </c>
      <c r="X10" s="35">
        <f>IFERROR(IF(U10=0,0,IF(ISNUMBER(SEARCH("[GANADA]",S10)),U10*(IF(ISNUMBER(SEARCH("LOCAL",S10)),F10,IF(ISNUMBER(SEARCH("EMPATE",S10)),G10,H10))-1),IF(ISNUMBER(SEARCH("[PERDIDA]",S10)),-U10,0))),0)+IFERROR(IF(V10=0,0,IF(ISNUMBER(SEARCH("[GANADA]",T10)),V10*(IF(ISNUMBER(SEARCH("OVER",T10)),I10,J10)-1),IF(ISNUMBER(SEARCH("[PERDIDA]",T10)),-V10,0))),0)</f>
        <v/>
      </c>
      <c r="Y10" s="35">
        <f>Y9+X10</f>
        <v/>
      </c>
      <c r="Z10" s="36">
        <f>IF(OR(Q10="",R10=""),"",(L10-IF(Q10&gt;R10,1,0))^2+(M10-IF(Q10=R10,1,0))^2+(N10-IF(Q10&lt;R10,1,0))^2)</f>
        <v/>
      </c>
      <c r="AA10" s="36">
        <f>IF(OR(Q10="",R10="",F10="",F10=0,G10="",G10=0,H10="",H10=0),"",((1/F10/(1/F10+1/G10+1/H10))-IF(Q10&gt;R10,1,0))^2+((1/G10/(1/F10+1/G10+1/H10))-IF(Q10=R10,1,0))^2+((1/H10/(1/F10+1/G10+1/H10))-IF(Q10&lt;R10,1,0))^2)</f>
        <v/>
      </c>
      <c r="AB10" s="37" t="n">
        <v>0.8042</v>
      </c>
      <c r="AC10" s="33" t="inlineStr">
        <is>
          <t>NO</t>
        </is>
      </c>
    </row>
    <row r="11">
      <c r="A11" s="30" t="n">
        <v>46098</v>
      </c>
      <c r="B11" s="31" t="inlineStr">
        <is>
          <t>2026-03-17lanusnewells</t>
        </is>
      </c>
      <c r="C11" s="31" t="inlineStr">
        <is>
          <t>Lanus vs Newell's Old Boys</t>
        </is>
      </c>
      <c r="D11" s="31" t="inlineStr">
        <is>
          <t>Lanus</t>
        </is>
      </c>
      <c r="E11" s="31" t="inlineStr">
        <is>
          <t>Newell's Old Boys</t>
        </is>
      </c>
      <c r="F11" s="32" t="n">
        <v>1.75</v>
      </c>
      <c r="G11" s="32" t="n">
        <v>3.45</v>
      </c>
      <c r="H11" s="32" t="n">
        <v>5.1</v>
      </c>
      <c r="I11" s="32" t="n">
        <v>2.3</v>
      </c>
      <c r="J11" s="32" t="n">
        <v>1.6</v>
      </c>
      <c r="K11" s="33" t="inlineStr">
        <is>
          <t>Argentina</t>
        </is>
      </c>
      <c r="L11" s="34" t="n">
        <v>0.431035</v>
      </c>
      <c r="M11" s="34" t="n">
        <v>0.223387</v>
      </c>
      <c r="N11" s="34" t="n">
        <v>0.345578</v>
      </c>
      <c r="O11" s="34" t="n">
        <v>0.6942200394125083</v>
      </c>
      <c r="P11" s="34" t="n">
        <v>0.3057799605874917</v>
      </c>
      <c r="Q11" s="33" t="n">
        <v>5</v>
      </c>
      <c r="R11" s="33" t="n">
        <v>0</v>
      </c>
      <c r="S11" s="31" t="inlineStr">
        <is>
          <t>[PASAR] Riesgo/Beneficio</t>
        </is>
      </c>
      <c r="T11" s="31">
        <f>IF(OR(Q11="",R11=""),"[APOSTAR] OVER 2.5",IF((Q11+R11)&gt;2.5,"[GANADA] OVER 2.5","[PERDIDA] OVER 2.5"))</f>
        <v/>
      </c>
      <c r="U11" s="35" t="n">
        <v>0</v>
      </c>
      <c r="V11" s="35" t="n">
        <v>1443.38</v>
      </c>
      <c r="W11" s="31">
        <f>IF(L11="","",IF((MAX(L11,M11,N11)-MEDIAN(L11,M11,N11))&gt;0.05,IF(OR(Q11="",R11=""),"[PREDICCION] "&amp;IF(L11=MAX(L11,M11,N11),"LOCAL",IF(M11=MAX(L11,M11,N11),"EMPATE","VISITA")),IF(L11=MAX(L11,M11,N11),IF(Q11&gt;R11,"[ACIERTO]","[FALLO]"),IF(M11=MAX(L11,M11,N11),IF(Q11=R11,"[ACIERTO]","[FALLO]"),IF(Q11&lt;R11,"[ACIERTO]","[FALLO]")))),"[PASAR] Margen Insuf"))</f>
        <v/>
      </c>
      <c r="X11" s="35">
        <f>IFERROR(IF(U11=0,0,IF(ISNUMBER(SEARCH("[GANADA]",S11)),U11*(IF(ISNUMBER(SEARCH("LOCAL",S11)),F11,IF(ISNUMBER(SEARCH("EMPATE",S11)),G11,H11))-1),IF(ISNUMBER(SEARCH("[PERDIDA]",S11)),-U11,0))),0)+IFERROR(IF(V11=0,0,IF(ISNUMBER(SEARCH("[GANADA]",T11)),V11*(IF(ISNUMBER(SEARCH("OVER",T11)),I11,J11)-1),IF(ISNUMBER(SEARCH("[PERDIDA]",T11)),-V11,0))),0)</f>
        <v/>
      </c>
      <c r="Y11" s="35">
        <f>Y10+X11</f>
        <v/>
      </c>
      <c r="Z11" s="36">
        <f>IF(OR(Q11="",R11=""),"",(L11-IF(Q11&gt;R11,1,0))^2+(M11-IF(Q11=R11,1,0))^2+(N11-IF(Q11&lt;R11,1,0))^2)</f>
        <v/>
      </c>
      <c r="AA11" s="36">
        <f>IF(OR(Q11="",R11="",F11="",F11=0,G11="",G11=0,H11="",H11=0),"",((1/F11/(1/F11+1/G11+1/H11))-IF(Q11&gt;R11,1,0))^2+((1/G11/(1/F11+1/G11+1/H11))-IF(Q11=R11,1,0))^2+((1/H11/(1/F11+1/G11+1/H11))-IF(Q11&lt;R11,1,0))^2)</f>
        <v/>
      </c>
      <c r="AB11" s="37" t="n">
        <v>1.0721</v>
      </c>
      <c r="AC11" s="33" t="inlineStr">
        <is>
          <t>NO</t>
        </is>
      </c>
    </row>
    <row r="12">
      <c r="A12" s="30" t="n">
        <v>46099</v>
      </c>
      <c r="B12" s="31" t="inlineStr">
        <is>
          <t>2026-03-18alanyasporkocaelispor</t>
        </is>
      </c>
      <c r="C12" s="31" t="inlineStr">
        <is>
          <t>Alanyaspor vs Kocaelispor</t>
        </is>
      </c>
      <c r="D12" s="31" t="inlineStr">
        <is>
          <t>Alanyaspor</t>
        </is>
      </c>
      <c r="E12" s="31" t="inlineStr">
        <is>
          <t>Kocaelispor</t>
        </is>
      </c>
      <c r="F12" s="32" t="n"/>
      <c r="G12" s="32" t="n"/>
      <c r="H12" s="32" t="n"/>
      <c r="I12" s="32" t="n"/>
      <c r="J12" s="32" t="n"/>
      <c r="K12" s="33" t="inlineStr">
        <is>
          <t>Turquia</t>
        </is>
      </c>
      <c r="L12" s="34" t="n">
        <v>0.506358</v>
      </c>
      <c r="M12" s="34" t="n">
        <v>0.187012</v>
      </c>
      <c r="N12" s="34" t="n">
        <v>0.306631</v>
      </c>
      <c r="O12" s="34" t="n">
        <v>0.831747426350389</v>
      </c>
      <c r="P12" s="34" t="n">
        <v>0.168252573649611</v>
      </c>
      <c r="Q12" s="33" t="n">
        <v>5</v>
      </c>
      <c r="R12" s="33" t="n">
        <v>0</v>
      </c>
      <c r="S12" s="31" t="inlineStr">
        <is>
          <t>[PASAR] Sin Cuotas</t>
        </is>
      </c>
      <c r="T12" s="31" t="inlineStr">
        <is>
          <t>[PASAR] Sin Cuotas</t>
        </is>
      </c>
      <c r="U12" s="35" t="n">
        <v>0</v>
      </c>
      <c r="V12" s="35" t="n">
        <v>0</v>
      </c>
      <c r="W12" s="31">
        <f>IF(L12="","",IF((MAX(L12,M12,N12)-MEDIAN(L12,M12,N12))&gt;0.05,IF(OR(Q12="",R12=""),"[PREDICCION] "&amp;IF(L12=MAX(L12,M12,N12),"LOCAL",IF(M12=MAX(L12,M12,N12),"EMPATE","VISITA")),IF(L12=MAX(L12,M12,N12),IF(Q12&gt;R12,"[ACIERTO]","[FALLO]"),IF(M12=MAX(L12,M12,N12),IF(Q12=R12,"[ACIERTO]","[FALLO]"),IF(Q12&lt;R12,"[ACIERTO]","[FALLO]")))),"[PASAR] Margen Insuf"))</f>
        <v/>
      </c>
      <c r="X12" s="35">
        <f>IFERROR(IF(U12=0,0,IF(ISNUMBER(SEARCH("[GANADA]",S12)),U12*(IF(ISNUMBER(SEARCH("LOCAL",S12)),F12,IF(ISNUMBER(SEARCH("EMPATE",S12)),G12,H12))-1),IF(ISNUMBER(SEARCH("[PERDIDA]",S12)),-U12,0))),0)+IFERROR(IF(V12=0,0,IF(ISNUMBER(SEARCH("[GANADA]",T12)),V12*(IF(ISNUMBER(SEARCH("OVER",T12)),I12,J12)-1),IF(ISNUMBER(SEARCH("[PERDIDA]",T12)),-V12,0))),0)</f>
        <v/>
      </c>
      <c r="Y12" s="35">
        <f>Y11+X12</f>
        <v/>
      </c>
      <c r="Z12" s="36">
        <f>IF(OR(Q12="",R12=""),"",(L12-IF(Q12&gt;R12,1,0))^2+(M12-IF(Q12=R12,1,0))^2+(N12-IF(Q12&lt;R12,1,0))^2)</f>
        <v/>
      </c>
      <c r="AA12" s="36">
        <f>IF(OR(Q12="",R12="",F12="",F12=0,G12="",G12=0,H12="",H12=0),"",((1/F12/(1/F12+1/G12+1/H12))-IF(Q12&gt;R12,1,0))^2+((1/G12/(1/F12+1/G12+1/H12))-IF(Q12=R12,1,0))^2+((1/H12/(1/F12+1/G12+1/H12))-IF(Q12&lt;R12,1,0))^2)</f>
        <v/>
      </c>
      <c r="AB12" s="37" t="n">
        <v>1.4193</v>
      </c>
      <c r="AC12" s="33" t="inlineStr">
        <is>
          <t>NO</t>
        </is>
      </c>
    </row>
    <row r="13">
      <c r="A13" s="30" t="n">
        <v>46099</v>
      </c>
      <c r="B13" s="31" t="inlineStr">
        <is>
          <t>2026-03-18atleticomineirosaopaulo</t>
        </is>
      </c>
      <c r="C13" s="31" t="inlineStr">
        <is>
          <t>Atlético-mg vs Sao Paulo</t>
        </is>
      </c>
      <c r="D13" s="31" t="inlineStr">
        <is>
          <t>Atlético-mg</t>
        </is>
      </c>
      <c r="E13" s="31" t="inlineStr">
        <is>
          <t>Sao Paulo</t>
        </is>
      </c>
      <c r="F13" s="32" t="n"/>
      <c r="G13" s="32" t="n">
        <v>3.05</v>
      </c>
      <c r="H13" s="32" t="n"/>
      <c r="I13" s="32" t="n"/>
      <c r="J13" s="32" t="n"/>
      <c r="K13" s="33" t="inlineStr">
        <is>
          <t>Brasil</t>
        </is>
      </c>
      <c r="L13" s="34" t="n">
        <v>0.445781</v>
      </c>
      <c r="M13" s="34" t="n">
        <v>0.192788</v>
      </c>
      <c r="N13" s="34" t="n">
        <v>0.361431</v>
      </c>
      <c r="O13" s="34" t="n">
        <v>0.8101367936934145</v>
      </c>
      <c r="P13" s="34" t="n">
        <v>0.1898632063065855</v>
      </c>
      <c r="Q13" s="33" t="n">
        <v>1</v>
      </c>
      <c r="R13" s="33" t="n">
        <v>0</v>
      </c>
      <c r="S13" s="31" t="inlineStr">
        <is>
          <t>[PASAR] Sin Cuotas</t>
        </is>
      </c>
      <c r="T13" s="31" t="inlineStr">
        <is>
          <t>[PASAR] Sin Cuotas</t>
        </is>
      </c>
      <c r="U13" s="35" t="n">
        <v>0</v>
      </c>
      <c r="V13" s="35" t="n">
        <v>0</v>
      </c>
      <c r="W13" s="31">
        <f>IF(L13="","",IF((MAX(L13,M13,N13)-MEDIAN(L13,M13,N13))&gt;0.05,IF(OR(Q13="",R13=""),"[PREDICCION] "&amp;IF(L13=MAX(L13,M13,N13),"LOCAL",IF(M13=MAX(L13,M13,N13),"EMPATE","VISITA")),IF(L13=MAX(L13,M13,N13),IF(Q13&gt;R13,"[ACIERTO]","[FALLO]"),IF(M13=MAX(L13,M13,N13),IF(Q13=R13,"[ACIERTO]","[FALLO]"),IF(Q13&lt;R13,"[ACIERTO]","[FALLO]")))),"[PASAR] Margen Insuf"))</f>
        <v/>
      </c>
      <c r="X13" s="35">
        <f>IFERROR(IF(U13=0,0,IF(ISNUMBER(SEARCH("[GANADA]",S13)),U13*(IF(ISNUMBER(SEARCH("LOCAL",S13)),F13,IF(ISNUMBER(SEARCH("EMPATE",S13)),G13,H13))-1),IF(ISNUMBER(SEARCH("[PERDIDA]",S13)),-U13,0))),0)+IFERROR(IF(V13=0,0,IF(ISNUMBER(SEARCH("[GANADA]",T13)),V13*(IF(ISNUMBER(SEARCH("OVER",T13)),I13,J13)-1),IF(ISNUMBER(SEARCH("[PERDIDA]",T13)),-V13,0))),0)</f>
        <v/>
      </c>
      <c r="Y13" s="35">
        <f>Y12+X13</f>
        <v/>
      </c>
      <c r="Z13" s="36">
        <f>IF(OR(Q13="",R13=""),"",(L13-IF(Q13&gt;R13,1,0))^2+(M13-IF(Q13=R13,1,0))^2+(N13-IF(Q13&lt;R13,1,0))^2)</f>
        <v/>
      </c>
      <c r="AA13" s="36">
        <f>IF(OR(Q13="",R13="",F13="",F13=0,G13="",G13=0,H13="",H13=0),"",((1/F13/(1/F13+1/G13+1/H13))-IF(Q13&gt;R13,1,0))^2+((1/G13/(1/F13+1/G13+1/H13))-IF(Q13=R13,1,0))^2+((1/H13/(1/F13+1/G13+1/H13))-IF(Q13&lt;R13,1,0))^2)</f>
        <v/>
      </c>
      <c r="AB13" s="37" t="n">
        <v>1.3881</v>
      </c>
      <c r="AC13" s="33" t="inlineStr">
        <is>
          <t>NO</t>
        </is>
      </c>
    </row>
    <row r="14">
      <c r="A14" s="30" t="n">
        <v>46099</v>
      </c>
      <c r="B14" s="31" t="inlineStr">
        <is>
          <t>2026-03-18atleticoparanaensecruzeiro</t>
        </is>
      </c>
      <c r="C14" s="31" t="inlineStr">
        <is>
          <t>Atletico Paranaense vs Cruzeiro</t>
        </is>
      </c>
      <c r="D14" s="31" t="inlineStr">
        <is>
          <t>Atletico Paranaense</t>
        </is>
      </c>
      <c r="E14" s="31" t="inlineStr">
        <is>
          <t>Cruzeiro</t>
        </is>
      </c>
      <c r="F14" s="32" t="n"/>
      <c r="G14" s="32" t="n">
        <v>3.2</v>
      </c>
      <c r="H14" s="32" t="n"/>
      <c r="I14" s="32" t="n"/>
      <c r="J14" s="32" t="n"/>
      <c r="K14" s="33" t="inlineStr">
        <is>
          <t>Brasil</t>
        </is>
      </c>
      <c r="L14" s="34" t="n">
        <v>0.47844</v>
      </c>
      <c r="M14" s="34" t="n">
        <v>0.17962</v>
      </c>
      <c r="N14" s="34" t="n">
        <v>0.34194</v>
      </c>
      <c r="O14" s="34" t="n">
        <v>0.8655692982587216</v>
      </c>
      <c r="P14" s="34" t="n">
        <v>0.1344307017412783</v>
      </c>
      <c r="Q14" s="33" t="n">
        <v>2</v>
      </c>
      <c r="R14" s="33" t="n">
        <v>1</v>
      </c>
      <c r="S14" s="31" t="inlineStr">
        <is>
          <t>[PASAR] Sin Cuotas</t>
        </is>
      </c>
      <c r="T14" s="31" t="inlineStr">
        <is>
          <t>[PASAR] Sin Cuotas</t>
        </is>
      </c>
      <c r="U14" s="35" t="n">
        <v>0</v>
      </c>
      <c r="V14" s="35" t="n">
        <v>0</v>
      </c>
      <c r="W14" s="31">
        <f>IF(L14="","",IF((MAX(L14,M14,N14)-MEDIAN(L14,M14,N14))&gt;0.05,IF(OR(Q14="",R14=""),"[PREDICCION] "&amp;IF(L14=MAX(L14,M14,N14),"LOCAL",IF(M14=MAX(L14,M14,N14),"EMPATE","VISITA")),IF(L14=MAX(L14,M14,N14),IF(Q14&gt;R14,"[ACIERTO]","[FALLO]"),IF(M14=MAX(L14,M14,N14),IF(Q14=R14,"[ACIERTO]","[FALLO]"),IF(Q14&lt;R14,"[ACIERTO]","[FALLO]")))),"[PASAR] Margen Insuf"))</f>
        <v/>
      </c>
      <c r="X14" s="35">
        <f>IFERROR(IF(U14=0,0,IF(ISNUMBER(SEARCH("[GANADA]",S14)),U14*(IF(ISNUMBER(SEARCH("LOCAL",S14)),F14,IF(ISNUMBER(SEARCH("EMPATE",S14)),G14,H14))-1),IF(ISNUMBER(SEARCH("[PERDIDA]",S14)),-U14,0))),0)+IFERROR(IF(V14=0,0,IF(ISNUMBER(SEARCH("[GANADA]",T14)),V14*(IF(ISNUMBER(SEARCH("OVER",T14)),I14,J14)-1),IF(ISNUMBER(SEARCH("[PERDIDA]",T14)),-V14,0))),0)</f>
        <v/>
      </c>
      <c r="Y14" s="35">
        <f>Y13+X14</f>
        <v/>
      </c>
      <c r="Z14" s="36">
        <f>IF(OR(Q14="",R14=""),"",(L14-IF(Q14&gt;R14,1,0))^2+(M14-IF(Q14=R14,1,0))^2+(N14-IF(Q14&lt;R14,1,0))^2)</f>
        <v/>
      </c>
      <c r="AA14" s="36">
        <f>IF(OR(Q14="",R14="",F14="",F14=0,G14="",G14=0,H14="",H14=0),"",((1/F14/(1/F14+1/G14+1/H14))-IF(Q14&gt;R14,1,0))^2+((1/G14/(1/F14+1/G14+1/H14))-IF(Q14=R14,1,0))^2+((1/H14/(1/F14+1/G14+1/H14))-IF(Q14&lt;R14,1,0))^2)</f>
        <v/>
      </c>
      <c r="AB14" s="37" t="n">
        <v>1.122</v>
      </c>
      <c r="AC14" s="33" t="inlineStr">
        <is>
          <t>NO</t>
        </is>
      </c>
    </row>
    <row r="15">
      <c r="A15" s="30" t="n">
        <v>46099</v>
      </c>
      <c r="B15" s="31" t="inlineStr">
        <is>
          <t>2026-03-18bahiabragantinosp</t>
        </is>
      </c>
      <c r="C15" s="31" t="inlineStr">
        <is>
          <t>Bahia vs Red Bull Bragantino</t>
        </is>
      </c>
      <c r="D15" s="31" t="inlineStr">
        <is>
          <t>Bahia</t>
        </is>
      </c>
      <c r="E15" s="31" t="inlineStr">
        <is>
          <t>Red Bull Bragantino</t>
        </is>
      </c>
      <c r="F15" s="32" t="n"/>
      <c r="G15" s="32" t="n">
        <v>3.75</v>
      </c>
      <c r="H15" s="32" t="n"/>
      <c r="I15" s="32" t="n"/>
      <c r="J15" s="32" t="n"/>
      <c r="K15" s="33" t="inlineStr">
        <is>
          <t>Brasil</t>
        </is>
      </c>
      <c r="L15" s="34" t="n">
        <v>0.446718</v>
      </c>
      <c r="M15" s="34" t="n">
        <v>0.188106</v>
      </c>
      <c r="N15" s="34" t="n">
        <v>0.365176</v>
      </c>
      <c r="O15" s="34" t="n">
        <v>0.8324144668494563</v>
      </c>
      <c r="P15" s="34" t="n">
        <v>0.1675855331505437</v>
      </c>
      <c r="Q15" s="33" t="n">
        <v>2</v>
      </c>
      <c r="R15" s="33" t="n">
        <v>0</v>
      </c>
      <c r="S15" s="31" t="inlineStr">
        <is>
          <t>[PASAR] Sin Cuotas</t>
        </is>
      </c>
      <c r="T15" s="31" t="inlineStr">
        <is>
          <t>[PASAR] Sin Cuotas</t>
        </is>
      </c>
      <c r="U15" s="35" t="n">
        <v>0</v>
      </c>
      <c r="V15" s="35" t="n">
        <v>0</v>
      </c>
      <c r="W15" s="31">
        <f>IF(L15="","",IF((MAX(L15,M15,N15)-MEDIAN(L15,M15,N15))&gt;0.05,IF(OR(Q15="",R15=""),"[PREDICCION] "&amp;IF(L15=MAX(L15,M15,N15),"LOCAL",IF(M15=MAX(L15,M15,N15),"EMPATE","VISITA")),IF(L15=MAX(L15,M15,N15),IF(Q15&gt;R15,"[ACIERTO]","[FALLO]"),IF(M15=MAX(L15,M15,N15),IF(Q15=R15,"[ACIERTO]","[FALLO]"),IF(Q15&lt;R15,"[ACIERTO]","[FALLO]")))),"[PASAR] Margen Insuf"))</f>
        <v/>
      </c>
      <c r="X15" s="35">
        <f>IFERROR(IF(U15=0,0,IF(ISNUMBER(SEARCH("[GANADA]",S15)),U15*(IF(ISNUMBER(SEARCH("LOCAL",S15)),F15,IF(ISNUMBER(SEARCH("EMPATE",S15)),G15,H15))-1),IF(ISNUMBER(SEARCH("[PERDIDA]",S15)),-U15,0))),0)+IFERROR(IF(V15=0,0,IF(ISNUMBER(SEARCH("[GANADA]",T15)),V15*(IF(ISNUMBER(SEARCH("OVER",T15)),I15,J15)-1),IF(ISNUMBER(SEARCH("[PERDIDA]",T15)),-V15,0))),0)</f>
        <v/>
      </c>
      <c r="Y15" s="35">
        <f>Y14+X15</f>
        <v/>
      </c>
      <c r="Z15" s="36">
        <f>IF(OR(Q15="",R15=""),"",(L15-IF(Q15&gt;R15,1,0))^2+(M15-IF(Q15=R15,1,0))^2+(N15-IF(Q15&lt;R15,1,0))^2)</f>
        <v/>
      </c>
      <c r="AA15" s="36">
        <f>IF(OR(Q15="",R15="",F15="",F15=0,G15="",G15=0,H15="",H15=0),"",((1/F15/(1/F15+1/G15+1/H15))-IF(Q15&gt;R15,1,0))^2+((1/G15/(1/F15+1/G15+1/H15))-IF(Q15=R15,1,0))^2+((1/H15/(1/F15+1/G15+1/H15))-IF(Q15&lt;R15,1,0))^2)</f>
        <v/>
      </c>
      <c r="AB15" s="37" t="n">
        <v>1.1983</v>
      </c>
      <c r="AC15" s="33" t="inlineStr">
        <is>
          <t>NO</t>
        </is>
      </c>
    </row>
    <row r="16">
      <c r="A16" s="30" t="n">
        <v>46099</v>
      </c>
      <c r="B16" s="31" t="inlineStr">
        <is>
          <t>2026-03-18caykurrizesporsamsunspor</t>
        </is>
      </c>
      <c r="C16" s="31" t="inlineStr">
        <is>
          <t>Caykur Rizespor vs Samsunspor</t>
        </is>
      </c>
      <c r="D16" s="31" t="inlineStr">
        <is>
          <t>Caykur Rizespor</t>
        </is>
      </c>
      <c r="E16" s="31" t="inlineStr">
        <is>
          <t>Samsunspor</t>
        </is>
      </c>
      <c r="F16" s="32" t="n">
        <v>2.35</v>
      </c>
      <c r="G16" s="32" t="n">
        <v>3.37</v>
      </c>
      <c r="H16" s="32" t="n">
        <v>3.16</v>
      </c>
      <c r="I16" s="32" t="n">
        <v>1.97</v>
      </c>
      <c r="J16" s="32" t="n">
        <v>1.9</v>
      </c>
      <c r="K16" s="33" t="inlineStr">
        <is>
          <t>Turquia</t>
        </is>
      </c>
      <c r="L16" s="34" t="n">
        <v>0.458908</v>
      </c>
      <c r="M16" s="34" t="n">
        <v>0.190168</v>
      </c>
      <c r="N16" s="34" t="n">
        <v>0.350925</v>
      </c>
      <c r="O16" s="34" t="n">
        <v>0.8317576399381373</v>
      </c>
      <c r="P16" s="34" t="n">
        <v>0.1682423600618626</v>
      </c>
      <c r="Q16" s="33" t="n">
        <v>4</v>
      </c>
      <c r="R16" s="33" t="n">
        <v>1</v>
      </c>
      <c r="S16" s="31" t="inlineStr">
        <is>
          <t>[PASAR] EV Insuf (0.078&lt;0.080)</t>
        </is>
      </c>
      <c r="T16" s="31" t="inlineStr">
        <is>
          <t>[PASAR] Sin Valor</t>
        </is>
      </c>
      <c r="U16" s="35" t="n">
        <v>0</v>
      </c>
      <c r="V16" s="35" t="n">
        <v>0</v>
      </c>
      <c r="W16" s="31">
        <f>IF(L16="","",IF((MAX(L16,M16,N16)-MEDIAN(L16,M16,N16))&gt;0.05,IF(OR(Q16="",R16=""),"[PREDICCION] "&amp;IF(L16=MAX(L16,M16,N16),"LOCAL",IF(M16=MAX(L16,M16,N16),"EMPATE","VISITA")),IF(L16=MAX(L16,M16,N16),IF(Q16&gt;R16,"[ACIERTO]","[FALLO]"),IF(M16=MAX(L16,M16,N16),IF(Q16=R16,"[ACIERTO]","[FALLO]"),IF(Q16&lt;R16,"[ACIERTO]","[FALLO]")))),"[PASAR] Margen Insuf"))</f>
        <v/>
      </c>
      <c r="X16" s="35">
        <f>IFERROR(IF(U16=0,0,IF(ISNUMBER(SEARCH("[GANADA]",S16)),U16*(IF(ISNUMBER(SEARCH("LOCAL",S16)),F16,IF(ISNUMBER(SEARCH("EMPATE",S16)),G16,H16))-1),IF(ISNUMBER(SEARCH("[PERDIDA]",S16)),-U16,0))),0)+IFERROR(IF(V16=0,0,IF(ISNUMBER(SEARCH("[GANADA]",T16)),V16*(IF(ISNUMBER(SEARCH("OVER",T16)),I16,J16)-1),IF(ISNUMBER(SEARCH("[PERDIDA]",T16)),-V16,0))),0)</f>
        <v/>
      </c>
      <c r="Y16" s="35">
        <f>Y15+X16</f>
        <v/>
      </c>
      <c r="Z16" s="36">
        <f>IF(OR(Q16="",R16=""),"",(L16-IF(Q16&gt;R16,1,0))^2+(M16-IF(Q16=R16,1,0))^2+(N16-IF(Q16&lt;R16,1,0))^2)</f>
        <v/>
      </c>
      <c r="AA16" s="36">
        <f>IF(OR(Q16="",R16="",F16="",F16=0,G16="",G16=0,H16="",H16=0),"",((1/F16/(1/F16+1/G16+1/H16))-IF(Q16&gt;R16,1,0))^2+((1/G16/(1/F16+1/G16+1/H16))-IF(Q16=R16,1,0))^2+((1/H16/(1/F16+1/G16+1/H16))-IF(Q16&lt;R16,1,0))^2)</f>
        <v/>
      </c>
      <c r="AB16" s="37" t="n">
        <v>1.3296</v>
      </c>
      <c r="AC16" s="33" t="inlineStr">
        <is>
          <t>NO</t>
        </is>
      </c>
    </row>
    <row r="17">
      <c r="A17" s="30" t="n">
        <v>46099</v>
      </c>
      <c r="B17" s="31" t="inlineStr">
        <is>
          <t>2026-03-18eyupsportrabzonspor</t>
        </is>
      </c>
      <c r="C17" s="31" t="inlineStr">
        <is>
          <t>Eyupspor vs Trabzonspor</t>
        </is>
      </c>
      <c r="D17" s="31" t="inlineStr">
        <is>
          <t>Eyupspor</t>
        </is>
      </c>
      <c r="E17" s="31" t="inlineStr">
        <is>
          <t>Trabzonspor</t>
        </is>
      </c>
      <c r="F17" s="32" t="n"/>
      <c r="G17" s="32" t="n"/>
      <c r="H17" s="32" t="n"/>
      <c r="I17" s="32" t="n"/>
      <c r="J17" s="32" t="n"/>
      <c r="K17" s="33" t="inlineStr">
        <is>
          <t>Turquia</t>
        </is>
      </c>
      <c r="L17" s="34" t="n">
        <v>0.348742</v>
      </c>
      <c r="M17" s="34" t="n">
        <v>0.19551</v>
      </c>
      <c r="N17" s="34" t="n">
        <v>0.455748</v>
      </c>
      <c r="O17" s="34" t="n">
        <v>0.8077569920766402</v>
      </c>
      <c r="P17" s="34" t="n">
        <v>0.1922430079233599</v>
      </c>
      <c r="Q17" s="33" t="n">
        <v>0</v>
      </c>
      <c r="R17" s="33" t="n">
        <v>1</v>
      </c>
      <c r="S17" s="31" t="inlineStr">
        <is>
          <t>[PASAR] Sin Cuotas</t>
        </is>
      </c>
      <c r="T17" s="31" t="inlineStr">
        <is>
          <t>[PASAR] Sin Cuotas</t>
        </is>
      </c>
      <c r="U17" s="35" t="n">
        <v>0</v>
      </c>
      <c r="V17" s="35" t="n">
        <v>0</v>
      </c>
      <c r="W17" s="31">
        <f>IF(L17="","",IF((MAX(L17,M17,N17)-MEDIAN(L17,M17,N17))&gt;0.05,IF(OR(Q17="",R17=""),"[PREDICCION] "&amp;IF(L17=MAX(L17,M17,N17),"LOCAL",IF(M17=MAX(L17,M17,N17),"EMPATE","VISITA")),IF(L17=MAX(L17,M17,N17),IF(Q17&gt;R17,"[ACIERTO]","[FALLO]"),IF(M17=MAX(L17,M17,N17),IF(Q17=R17,"[ACIERTO]","[FALLO]"),IF(Q17&lt;R17,"[ACIERTO]","[FALLO]")))),"[PASAR] Margen Insuf"))</f>
        <v/>
      </c>
      <c r="X17" s="35">
        <f>IFERROR(IF(U17=0,0,IF(ISNUMBER(SEARCH("[GANADA]",S17)),U17*(IF(ISNUMBER(SEARCH("LOCAL",S17)),F17,IF(ISNUMBER(SEARCH("EMPATE",S17)),G17,H17))-1),IF(ISNUMBER(SEARCH("[PERDIDA]",S17)),-U17,0))),0)+IFERROR(IF(V17=0,0,IF(ISNUMBER(SEARCH("[GANADA]",T17)),V17*(IF(ISNUMBER(SEARCH("OVER",T17)),I17,J17)-1),IF(ISNUMBER(SEARCH("[PERDIDA]",T17)),-V17,0))),0)</f>
        <v/>
      </c>
      <c r="Y17" s="35">
        <f>Y16+X17</f>
        <v/>
      </c>
      <c r="Z17" s="36">
        <f>IF(OR(Q17="",R17=""),"",(L17-IF(Q17&gt;R17,1,0))^2+(M17-IF(Q17=R17,1,0))^2+(N17-IF(Q17&lt;R17,1,0))^2)</f>
        <v/>
      </c>
      <c r="AA17" s="36">
        <f>IF(OR(Q17="",R17="",F17="",F17=0,G17="",G17=0,H17="",H17=0),"",((1/F17/(1/F17+1/G17+1/H17))-IF(Q17&gt;R17,1,0))^2+((1/G17/(1/F17+1/G17+1/H17))-IF(Q17=R17,1,0))^2+((1/H17/(1/F17+1/G17+1/H17))-IF(Q17&lt;R17,1,0))^2)</f>
        <v/>
      </c>
      <c r="AB17" s="37" t="n">
        <v>1.3189</v>
      </c>
      <c r="AC17" s="33" t="inlineStr">
        <is>
          <t>NO</t>
        </is>
      </c>
    </row>
    <row r="18">
      <c r="A18" s="30" t="n">
        <v>46099</v>
      </c>
      <c r="B18" s="31" t="inlineStr">
        <is>
          <t>2026-03-18goztepegalatasaray</t>
        </is>
      </c>
      <c r="C18" s="31" t="inlineStr">
        <is>
          <t>Goztepe vs Galatasaray</t>
        </is>
      </c>
      <c r="D18" s="31" t="inlineStr">
        <is>
          <t>Goztepe</t>
        </is>
      </c>
      <c r="E18" s="31" t="inlineStr">
        <is>
          <t>Galatasaray</t>
        </is>
      </c>
      <c r="F18" s="32" t="n">
        <v>4.54</v>
      </c>
      <c r="G18" s="32" t="n">
        <v>3.65</v>
      </c>
      <c r="H18" s="32" t="n">
        <v>1.85</v>
      </c>
      <c r="I18" s="32" t="n">
        <v>1.9</v>
      </c>
      <c r="J18" s="32" t="n">
        <v>1.99</v>
      </c>
      <c r="K18" s="33" t="inlineStr">
        <is>
          <t>Turquia</t>
        </is>
      </c>
      <c r="L18" s="34" t="n">
        <v>0.408402</v>
      </c>
      <c r="M18" s="34" t="n">
        <v>0.183364</v>
      </c>
      <c r="N18" s="34" t="n">
        <v>0.408235</v>
      </c>
      <c r="O18" s="34" t="n">
        <v>0.8321970357410361</v>
      </c>
      <c r="P18" s="34" t="n">
        <v>0.1678029642589639</v>
      </c>
      <c r="Q18" s="33" t="n">
        <v>1</v>
      </c>
      <c r="R18" s="33" t="n">
        <v>3</v>
      </c>
      <c r="S18" s="31" t="inlineStr">
        <is>
          <t>[PASAR] Margen Predictivo Insuficiente (&lt;5%)</t>
        </is>
      </c>
      <c r="T18" s="31" t="inlineStr">
        <is>
          <t>[PASAR] Sin Valor</t>
        </is>
      </c>
      <c r="U18" s="35" t="n">
        <v>0</v>
      </c>
      <c r="V18" s="35" t="n">
        <v>0</v>
      </c>
      <c r="W18" s="31">
        <f>IF(L18="","",IF((MAX(L18,M18,N18)-MEDIAN(L18,M18,N18))&gt;0.05,IF(OR(Q18="",R18=""),"[PREDICCION] "&amp;IF(L18=MAX(L18,M18,N18),"LOCAL",IF(M18=MAX(L18,M18,N18),"EMPATE","VISITA")),IF(L18=MAX(L18,M18,N18),IF(Q18&gt;R18,"[ACIERTO]","[FALLO]"),IF(M18=MAX(L18,M18,N18),IF(Q18=R18,"[ACIERTO]","[FALLO]"),IF(Q18&lt;R18,"[ACIERTO]","[FALLO]")))),"[PASAR] Margen Insuf"))</f>
        <v/>
      </c>
      <c r="X18" s="35">
        <f>IFERROR(IF(U18=0,0,IF(ISNUMBER(SEARCH("[GANADA]",S18)),U18*(IF(ISNUMBER(SEARCH("LOCAL",S18)),F18,IF(ISNUMBER(SEARCH("EMPATE",S18)),G18,H18))-1),IF(ISNUMBER(SEARCH("[PERDIDA]",S18)),-U18,0))),0)+IFERROR(IF(V18=0,0,IF(ISNUMBER(SEARCH("[GANADA]",T18)),V18*(IF(ISNUMBER(SEARCH("OVER",T18)),I18,J18)-1),IF(ISNUMBER(SEARCH("[PERDIDA]",T18)),-V18,0))),0)</f>
        <v/>
      </c>
      <c r="Y18" s="35">
        <f>Y17+X18</f>
        <v/>
      </c>
      <c r="Z18" s="36">
        <f>IF(OR(Q18="",R18=""),"",(L18-IF(Q18&gt;R18,1,0))^2+(M18-IF(Q18=R18,1,0))^2+(N18-IF(Q18&lt;R18,1,0))^2)</f>
        <v/>
      </c>
      <c r="AA18" s="36">
        <f>IF(OR(Q18="",R18="",F18="",F18=0,G18="",G18=0,H18="",H18=0),"",((1/F18/(1/F18+1/G18+1/H18))-IF(Q18&gt;R18,1,0))^2+((1/G18/(1/F18+1/G18+1/H18))-IF(Q18=R18,1,0))^2+((1/H18/(1/F18+1/G18+1/H18))-IF(Q18&lt;R18,1,0))^2)</f>
        <v/>
      </c>
      <c r="AB18" s="37" t="n">
        <v>1.1773</v>
      </c>
      <c r="AC18" s="33" t="inlineStr">
        <is>
          <t>NO</t>
        </is>
      </c>
    </row>
    <row r="19">
      <c r="A19" s="30" t="n">
        <v>46099</v>
      </c>
      <c r="B19" s="31" t="inlineStr">
        <is>
          <t>2026-03-18istanbulbasaksehirantalyaspor</t>
        </is>
      </c>
      <c r="C19" s="31" t="inlineStr">
        <is>
          <t>Istanbul Basaksehir vs Antalyaspor</t>
        </is>
      </c>
      <c r="D19" s="31" t="inlineStr">
        <is>
          <t>Istanbul Basaksehir</t>
        </is>
      </c>
      <c r="E19" s="31" t="inlineStr">
        <is>
          <t>Antalyaspor</t>
        </is>
      </c>
      <c r="F19" s="32" t="n"/>
      <c r="G19" s="32" t="n"/>
      <c r="H19" s="32" t="n"/>
      <c r="I19" s="32" t="n"/>
      <c r="J19" s="32" t="n"/>
      <c r="K19" s="33" t="inlineStr">
        <is>
          <t>Turquia</t>
        </is>
      </c>
      <c r="L19" s="34" t="n">
        <v>0.446072</v>
      </c>
      <c r="M19" s="34" t="n">
        <v>0.192368</v>
      </c>
      <c r="N19" s="34" t="n">
        <v>0.36156</v>
      </c>
      <c r="O19" s="34" t="n">
        <v>0.8236626971734087</v>
      </c>
      <c r="P19" s="34" t="n">
        <v>0.1763373028265913</v>
      </c>
      <c r="Q19" s="33" t="n">
        <v>0</v>
      </c>
      <c r="R19" s="33" t="n">
        <v>0</v>
      </c>
      <c r="S19" s="31" t="inlineStr">
        <is>
          <t>[PASAR] Sin Cuotas</t>
        </is>
      </c>
      <c r="T19" s="31" t="inlineStr">
        <is>
          <t>[PASAR] Sin Cuotas</t>
        </is>
      </c>
      <c r="U19" s="35" t="n">
        <v>0</v>
      </c>
      <c r="V19" s="35" t="n">
        <v>0</v>
      </c>
      <c r="W19" s="31">
        <f>IF(L19="","",IF((MAX(L19,M19,N19)-MEDIAN(L19,M19,N19))&gt;0.05,IF(OR(Q19="",R19=""),"[PREDICCION] "&amp;IF(L19=MAX(L19,M19,N19),"LOCAL",IF(M19=MAX(L19,M19,N19),"EMPATE","VISITA")),IF(L19=MAX(L19,M19,N19),IF(Q19&gt;R19,"[ACIERTO]","[FALLO]"),IF(M19=MAX(L19,M19,N19),IF(Q19=R19,"[ACIERTO]","[FALLO]"),IF(Q19&lt;R19,"[ACIERTO]","[FALLO]")))),"[PASAR] Margen Insuf"))</f>
        <v/>
      </c>
      <c r="X19" s="35">
        <f>IFERROR(IF(U19=0,0,IF(ISNUMBER(SEARCH("[GANADA]",S19)),U19*(IF(ISNUMBER(SEARCH("LOCAL",S19)),F19,IF(ISNUMBER(SEARCH("EMPATE",S19)),G19,H19))-1),IF(ISNUMBER(SEARCH("[PERDIDA]",S19)),-U19,0))),0)+IFERROR(IF(V19=0,0,IF(ISNUMBER(SEARCH("[GANADA]",T19)),V19*(IF(ISNUMBER(SEARCH("OVER",T19)),I19,J19)-1),IF(ISNUMBER(SEARCH("[PERDIDA]",T19)),-V19,0))),0)</f>
        <v/>
      </c>
      <c r="Y19" s="35">
        <f>Y18+X19</f>
        <v/>
      </c>
      <c r="Z19" s="36">
        <f>IF(OR(Q19="",R19=""),"",(L19-IF(Q19&gt;R19,1,0))^2+(M19-IF(Q19=R19,1,0))^2+(N19-IF(Q19&lt;R19,1,0))^2)</f>
        <v/>
      </c>
      <c r="AA19" s="36">
        <f>IF(OR(Q19="",R19="",F19="",F19=0,G19="",G19=0,H19="",H19=0),"",((1/F19/(1/F19+1/G19+1/H19))-IF(Q19&gt;R19,1,0))^2+((1/G19/(1/F19+1/G19+1/H19))-IF(Q19=R19,1,0))^2+((1/H19/(1/F19+1/G19+1/H19))-IF(Q19&lt;R19,1,0))^2)</f>
        <v/>
      </c>
      <c r="AB19" s="37" t="n">
        <v>1.2264</v>
      </c>
      <c r="AC19" s="33" t="inlineStr">
        <is>
          <t>NO</t>
        </is>
      </c>
    </row>
    <row r="20">
      <c r="A20" s="30" t="n">
        <v>46099</v>
      </c>
      <c r="B20" s="31" t="inlineStr">
        <is>
          <t>2026-03-18mirassolcoritiba</t>
        </is>
      </c>
      <c r="C20" s="31" t="inlineStr">
        <is>
          <t>Mirassol vs Coritiba</t>
        </is>
      </c>
      <c r="D20" s="31" t="inlineStr">
        <is>
          <t>Mirassol</t>
        </is>
      </c>
      <c r="E20" s="31" t="inlineStr">
        <is>
          <t>Coritiba</t>
        </is>
      </c>
      <c r="F20" s="32" t="n"/>
      <c r="G20" s="32" t="n">
        <v>3.65</v>
      </c>
      <c r="H20" s="32" t="n"/>
      <c r="I20" s="32" t="n"/>
      <c r="J20" s="32" t="n"/>
      <c r="K20" s="33" t="inlineStr">
        <is>
          <t>Brasil</t>
        </is>
      </c>
      <c r="L20" s="34" t="n">
        <v>0.434347</v>
      </c>
      <c r="M20" s="34" t="n">
        <v>0.185903</v>
      </c>
      <c r="N20" s="34" t="n">
        <v>0.37975</v>
      </c>
      <c r="O20" s="34" t="n">
        <v>0.8435334840356201</v>
      </c>
      <c r="P20" s="34" t="n">
        <v>0.1564665159643799</v>
      </c>
      <c r="Q20" s="33" t="n">
        <v>0</v>
      </c>
      <c r="R20" s="33" t="n">
        <v>1</v>
      </c>
      <c r="S20" s="31" t="inlineStr">
        <is>
          <t>[PASAR] Sin Cuotas</t>
        </is>
      </c>
      <c r="T20" s="31" t="inlineStr">
        <is>
          <t>[PASAR] Sin Cuotas</t>
        </is>
      </c>
      <c r="U20" s="35" t="n">
        <v>0</v>
      </c>
      <c r="V20" s="35" t="n">
        <v>0</v>
      </c>
      <c r="W20" s="31">
        <f>IF(L20="","",IF((MAX(L20,M20,N20)-MEDIAN(L20,M20,N20))&gt;0.05,IF(OR(Q20="",R20=""),"[PREDICCION] "&amp;IF(L20=MAX(L20,M20,N20),"LOCAL",IF(M20=MAX(L20,M20,N20),"EMPATE","VISITA")),IF(L20=MAX(L20,M20,N20),IF(Q20&gt;R20,"[ACIERTO]","[FALLO]"),IF(M20=MAX(L20,M20,N20),IF(Q20=R20,"[ACIERTO]","[FALLO]"),IF(Q20&lt;R20,"[ACIERTO]","[FALLO]")))),"[PASAR] Margen Insuf"))</f>
        <v/>
      </c>
      <c r="X20" s="35">
        <f>IFERROR(IF(U20=0,0,IF(ISNUMBER(SEARCH("[GANADA]",S20)),U20*(IF(ISNUMBER(SEARCH("LOCAL",S20)),F20,IF(ISNUMBER(SEARCH("EMPATE",S20)),G20,H20))-1),IF(ISNUMBER(SEARCH("[PERDIDA]",S20)),-U20,0))),0)+IFERROR(IF(V20=0,0,IF(ISNUMBER(SEARCH("[GANADA]",T20)),V20*(IF(ISNUMBER(SEARCH("OVER",T20)),I20,J20)-1),IF(ISNUMBER(SEARCH("[PERDIDA]",T20)),-V20,0))),0)</f>
        <v/>
      </c>
      <c r="Y20" s="35">
        <f>Y19+X20</f>
        <v/>
      </c>
      <c r="Z20" s="36">
        <f>IF(OR(Q20="",R20=""),"",(L20-IF(Q20&gt;R20,1,0))^2+(M20-IF(Q20=R20,1,0))^2+(N20-IF(Q20&lt;R20,1,0))^2)</f>
        <v/>
      </c>
      <c r="AA20" s="36">
        <f>IF(OR(Q20="",R20="",F20="",F20=0,G20="",G20=0,H20="",H20=0),"",((1/F20/(1/F20+1/G20+1/H20))-IF(Q20&gt;R20,1,0))^2+((1/G20/(1/F20+1/G20+1/H20))-IF(Q20=R20,1,0))^2+((1/H20/(1/F20+1/G20+1/H20))-IF(Q20&lt;R20,1,0))^2)</f>
        <v/>
      </c>
      <c r="AB20" s="37" t="n">
        <v>1.2029</v>
      </c>
      <c r="AC20" s="33" t="inlineStr">
        <is>
          <t>NO</t>
        </is>
      </c>
    </row>
    <row r="21">
      <c r="A21" s="30" t="n">
        <v>46099</v>
      </c>
      <c r="B21" s="31" t="inlineStr">
        <is>
          <t>2026-03-18palmeirasbotafogo</t>
        </is>
      </c>
      <c r="C21" s="31" t="inlineStr">
        <is>
          <t>Palmeiras vs Botafogo</t>
        </is>
      </c>
      <c r="D21" s="31" t="inlineStr">
        <is>
          <t>Palmeiras</t>
        </is>
      </c>
      <c r="E21" s="31" t="inlineStr">
        <is>
          <t>Botafogo</t>
        </is>
      </c>
      <c r="F21" s="32" t="n"/>
      <c r="G21" s="32" t="n"/>
      <c r="H21" s="32" t="n"/>
      <c r="I21" s="32" t="n"/>
      <c r="J21" s="32" t="n"/>
      <c r="K21" s="33" t="inlineStr">
        <is>
          <t>Brasil</t>
        </is>
      </c>
      <c r="L21" s="34" t="n">
        <v>0.449882</v>
      </c>
      <c r="M21" s="34" t="n">
        <v>0.1865</v>
      </c>
      <c r="N21" s="34" t="n">
        <v>0.363618</v>
      </c>
      <c r="O21" s="34" t="n">
        <v>0.839532445996598</v>
      </c>
      <c r="P21" s="34" t="n">
        <v>0.160467554003402</v>
      </c>
      <c r="Q21" s="33" t="n">
        <v>2</v>
      </c>
      <c r="R21" s="33" t="n">
        <v>1</v>
      </c>
      <c r="S21" s="31" t="inlineStr">
        <is>
          <t>[PASAR] Sin Cuotas</t>
        </is>
      </c>
      <c r="T21" s="31" t="inlineStr">
        <is>
          <t>[PASAR] Sin Cuotas</t>
        </is>
      </c>
      <c r="U21" s="35" t="n">
        <v>0</v>
      </c>
      <c r="V21" s="35" t="n">
        <v>0</v>
      </c>
      <c r="W21" s="31">
        <f>IF(L21="","",IF((MAX(L21,M21,N21)-MEDIAN(L21,M21,N21))&gt;0.05,IF(OR(Q21="",R21=""),"[PREDICCION] "&amp;IF(L21=MAX(L21,M21,N21),"LOCAL",IF(M21=MAX(L21,M21,N21),"EMPATE","VISITA")),IF(L21=MAX(L21,M21,N21),IF(Q21&gt;R21,"[ACIERTO]","[FALLO]"),IF(M21=MAX(L21,M21,N21),IF(Q21=R21,"[ACIERTO]","[FALLO]"),IF(Q21&lt;R21,"[ACIERTO]","[FALLO]")))),"[PASAR] Margen Insuf"))</f>
        <v/>
      </c>
      <c r="X21" s="35">
        <f>IFERROR(IF(U21=0,0,IF(ISNUMBER(SEARCH("[GANADA]",S21)),U21*(IF(ISNUMBER(SEARCH("LOCAL",S21)),F21,IF(ISNUMBER(SEARCH("EMPATE",S21)),G21,H21))-1),IF(ISNUMBER(SEARCH("[PERDIDA]",S21)),-U21,0))),0)+IFERROR(IF(V21=0,0,IF(ISNUMBER(SEARCH("[GANADA]",T21)),V21*(IF(ISNUMBER(SEARCH("OVER",T21)),I21,J21)-1),IF(ISNUMBER(SEARCH("[PERDIDA]",T21)),-V21,0))),0)</f>
        <v/>
      </c>
      <c r="Y21" s="35">
        <f>Y20+X21</f>
        <v/>
      </c>
      <c r="Z21" s="36">
        <f>IF(OR(Q21="",R21=""),"",(L21-IF(Q21&gt;R21,1,0))^2+(M21-IF(Q21=R21,1,0))^2+(N21-IF(Q21&lt;R21,1,0))^2)</f>
        <v/>
      </c>
      <c r="AA21" s="36">
        <f>IF(OR(Q21="",R21="",F21="",F21=0,G21="",G21=0,H21="",H21=0),"",((1/F21/(1/F21+1/G21+1/H21))-IF(Q21&gt;R21,1,0))^2+((1/G21/(1/F21+1/G21+1/H21))-IF(Q21=R21,1,0))^2+((1/H21/(1/F21+1/G21+1/H21))-IF(Q21&lt;R21,1,0))^2)</f>
        <v/>
      </c>
      <c r="AB21" s="37" t="n">
        <v>1.1619</v>
      </c>
      <c r="AC21" s="33" t="inlineStr">
        <is>
          <t>NO</t>
        </is>
      </c>
    </row>
    <row r="22">
      <c r="A22" s="30" t="n">
        <v>46100</v>
      </c>
      <c r="B22" s="31" t="inlineStr">
        <is>
          <t>2026-03-19santosinternacional</t>
        </is>
      </c>
      <c r="C22" s="31" t="inlineStr">
        <is>
          <t>Santos vs Internacional</t>
        </is>
      </c>
      <c r="D22" s="31" t="inlineStr">
        <is>
          <t>Santos</t>
        </is>
      </c>
      <c r="E22" s="31" t="inlineStr">
        <is>
          <t>Internacional</t>
        </is>
      </c>
      <c r="F22" s="32" t="n"/>
      <c r="G22" s="32" t="n">
        <v>3.3</v>
      </c>
      <c r="H22" s="32" t="n"/>
      <c r="I22" s="32" t="n"/>
      <c r="J22" s="32" t="n"/>
      <c r="K22" s="33" t="inlineStr">
        <is>
          <t>Brasil</t>
        </is>
      </c>
      <c r="L22" s="34" t="n">
        <v>0.367868</v>
      </c>
      <c r="M22" s="34" t="n">
        <v>0.193824</v>
      </c>
      <c r="N22" s="34" t="n">
        <v>0.438308</v>
      </c>
      <c r="O22" s="34" t="n">
        <v>0.8059114624089517</v>
      </c>
      <c r="P22" s="34" t="n">
        <v>0.1940885375910484</v>
      </c>
      <c r="Q22" s="33" t="n">
        <v>1</v>
      </c>
      <c r="R22" s="33" t="n">
        <v>2</v>
      </c>
      <c r="S22" s="31" t="inlineStr">
        <is>
          <t>[PASAR] Sin Cuotas</t>
        </is>
      </c>
      <c r="T22" s="31" t="inlineStr">
        <is>
          <t>[PASAR] Sin Cuotas</t>
        </is>
      </c>
      <c r="U22" s="35" t="n">
        <v>0</v>
      </c>
      <c r="V22" s="35" t="n">
        <v>0</v>
      </c>
      <c r="W22" s="31">
        <f>IF(L22="","",IF((MAX(L22,M22,N22)-MEDIAN(L22,M22,N22))&gt;0.05,IF(OR(Q22="",R22=""),"[PREDICCION] "&amp;IF(L22=MAX(L22,M22,N22),"LOCAL",IF(M22=MAX(L22,M22,N22),"EMPATE","VISITA")),IF(L22=MAX(L22,M22,N22),IF(Q22&gt;R22,"[ACIERTO]","[FALLO]"),IF(M22=MAX(L22,M22,N22),IF(Q22=R22,"[ACIERTO]","[FALLO]"),IF(Q22&lt;R22,"[ACIERTO]","[FALLO]")))),"[PASAR] Margen Insuf"))</f>
        <v/>
      </c>
      <c r="X22" s="35">
        <f>IFERROR(IF(U22=0,0,IF(ISNUMBER(SEARCH("[GANADA]",S22)),U22*(IF(ISNUMBER(SEARCH("LOCAL",S22)),F22,IF(ISNUMBER(SEARCH("EMPATE",S22)),G22,H22))-1),IF(ISNUMBER(SEARCH("[PERDIDA]",S22)),-U22,0))),0)+IFERROR(IF(V22=0,0,IF(ISNUMBER(SEARCH("[GANADA]",T22)),V22*(IF(ISNUMBER(SEARCH("OVER",T22)),I22,J22)-1),IF(ISNUMBER(SEARCH("[PERDIDA]",T22)),-V22,0))),0)</f>
        <v/>
      </c>
      <c r="Y22" s="35">
        <f>Y21+X22</f>
        <v/>
      </c>
      <c r="Z22" s="36">
        <f>IF(OR(Q22="",R22=""),"",(L22-IF(Q22&gt;R22,1,0))^2+(M22-IF(Q22=R22,1,0))^2+(N22-IF(Q22&lt;R22,1,0))^2)</f>
        <v/>
      </c>
      <c r="AA22" s="36">
        <f>IF(OR(Q22="",R22="",F22="",F22=0,G22="",G22=0,H22="",H22=0),"",((1/F22/(1/F22+1/G22+1/H22))-IF(Q22&gt;R22,1,0))^2+((1/G22/(1/F22+1/G22+1/H22))-IF(Q22=R22,1,0))^2+((1/H22/(1/F22+1/G22+1/H22))-IF(Q22&lt;R22,1,0))^2)</f>
        <v/>
      </c>
      <c r="AB22" s="37" t="n">
        <v>1.2119</v>
      </c>
      <c r="AC22" s="33" t="inlineStr">
        <is>
          <t>NO</t>
        </is>
      </c>
    </row>
    <row r="23">
      <c r="A23" s="30" t="n">
        <v>46100</v>
      </c>
      <c r="B23" s="31" t="inlineStr">
        <is>
          <t>2026-03-19vascodagamafluminense</t>
        </is>
      </c>
      <c r="C23" s="31" t="inlineStr">
        <is>
          <t>Vasco da Gama vs Fluminense</t>
        </is>
      </c>
      <c r="D23" s="31" t="inlineStr">
        <is>
          <t>Vasco da Gama</t>
        </is>
      </c>
      <c r="E23" s="31" t="inlineStr">
        <is>
          <t>Fluminense</t>
        </is>
      </c>
      <c r="F23" s="32" t="n"/>
      <c r="G23" s="32" t="n">
        <v>3.15</v>
      </c>
      <c r="H23" s="32" t="n"/>
      <c r="I23" s="32" t="n"/>
      <c r="J23" s="32" t="n"/>
      <c r="K23" s="33" t="inlineStr">
        <is>
          <t>Brasil</t>
        </is>
      </c>
      <c r="L23" s="34" t="n">
        <v>0.382312</v>
      </c>
      <c r="M23" s="34" t="n">
        <v>0.186606</v>
      </c>
      <c r="N23" s="34" t="n">
        <v>0.431082</v>
      </c>
      <c r="O23" s="34" t="n">
        <v>0.8404241577101399</v>
      </c>
      <c r="P23" s="34" t="n">
        <v>0.1595758422898601</v>
      </c>
      <c r="Q23" s="33" t="n">
        <v>3</v>
      </c>
      <c r="R23" s="33" t="n">
        <v>2</v>
      </c>
      <c r="S23" s="31" t="inlineStr">
        <is>
          <t>[PASAR] Sin Cuotas</t>
        </is>
      </c>
      <c r="T23" s="31" t="inlineStr">
        <is>
          <t>[PASAR] Sin Cuotas</t>
        </is>
      </c>
      <c r="U23" s="35" t="n">
        <v>0</v>
      </c>
      <c r="V23" s="35" t="n">
        <v>0</v>
      </c>
      <c r="W23" s="31">
        <f>IF(L23="","",IF((MAX(L23,M23,N23)-MEDIAN(L23,M23,N23))&gt;0.05,IF(OR(Q23="",R23=""),"[PREDICCION] "&amp;IF(L23=MAX(L23,M23,N23),"LOCAL",IF(M23=MAX(L23,M23,N23),"EMPATE","VISITA")),IF(L23=MAX(L23,M23,N23),IF(Q23&gt;R23,"[ACIERTO]","[FALLO]"),IF(M23=MAX(L23,M23,N23),IF(Q23=R23,"[ACIERTO]","[FALLO]"),IF(Q23&lt;R23,"[ACIERTO]","[FALLO]")))),"[PASAR] Margen Insuf"))</f>
        <v/>
      </c>
      <c r="X23" s="35">
        <f>IFERROR(IF(U23=0,0,IF(ISNUMBER(SEARCH("[GANADA]",S23)),U23*(IF(ISNUMBER(SEARCH("LOCAL",S23)),F23,IF(ISNUMBER(SEARCH("EMPATE",S23)),G23,H23))-1),IF(ISNUMBER(SEARCH("[PERDIDA]",S23)),-U23,0))),0)+IFERROR(IF(V23=0,0,IF(ISNUMBER(SEARCH("[GANADA]",T23)),V23*(IF(ISNUMBER(SEARCH("OVER",T23)),I23,J23)-1),IF(ISNUMBER(SEARCH("[PERDIDA]",T23)),-V23,0))),0)</f>
        <v/>
      </c>
      <c r="Y23" s="35">
        <f>Y22+X23</f>
        <v/>
      </c>
      <c r="Z23" s="36">
        <f>IF(OR(Q23="",R23=""),"",(L23-IF(Q23&gt;R23,1,0))^2+(M23-IF(Q23=R23,1,0))^2+(N23-IF(Q23&lt;R23,1,0))^2)</f>
        <v/>
      </c>
      <c r="AA23" s="36">
        <f>IF(OR(Q23="",R23="",F23="",F23=0,G23="",G23=0,H23="",H23=0),"",((1/F23/(1/F23+1/G23+1/H23))-IF(Q23&gt;R23,1,0))^2+((1/G23/(1/F23+1/G23+1/H23))-IF(Q23=R23,1,0))^2+((1/H23/(1/F23+1/G23+1/H23))-IF(Q23&lt;R23,1,0))^2)</f>
        <v/>
      </c>
      <c r="AB23" s="37" t="n">
        <v>1.028</v>
      </c>
      <c r="AC23" s="33" t="inlineStr">
        <is>
          <t>NO</t>
        </is>
      </c>
    </row>
    <row r="24">
      <c r="A24" s="30" t="n">
        <v>46101</v>
      </c>
      <c r="B24" s="31" t="inlineStr">
        <is>
          <t>2026-03-20afcbournemouthmanchesterunited</t>
        </is>
      </c>
      <c r="C24" s="31" t="inlineStr">
        <is>
          <t>AFC Bournemouth vs Manchester United</t>
        </is>
      </c>
      <c r="D24" s="31" t="inlineStr">
        <is>
          <t>AFC Bournemouth</t>
        </is>
      </c>
      <c r="E24" s="31" t="inlineStr">
        <is>
          <t>Manchester United</t>
        </is>
      </c>
      <c r="F24" s="32" t="n">
        <v>3.5</v>
      </c>
      <c r="G24" s="32" t="n">
        <v>3.95</v>
      </c>
      <c r="H24" s="32" t="n">
        <v>2.16</v>
      </c>
      <c r="I24" s="32" t="n">
        <v>1.53</v>
      </c>
      <c r="J24" s="32" t="n">
        <v>2.38</v>
      </c>
      <c r="K24" s="33" t="inlineStr">
        <is>
          <t>Inglaterra</t>
        </is>
      </c>
      <c r="L24" s="34" t="n">
        <v>0.416324</v>
      </c>
      <c r="M24" s="34" t="n">
        <v>0.173484</v>
      </c>
      <c r="N24" s="34" t="n">
        <v>0.410192</v>
      </c>
      <c r="O24" s="34" t="n">
        <v>0.8675852237218773</v>
      </c>
      <c r="P24" s="34" t="n">
        <v>0.1324147762781227</v>
      </c>
      <c r="Q24" s="33" t="n">
        <v>2</v>
      </c>
      <c r="R24" s="33" t="n">
        <v>2</v>
      </c>
      <c r="S24" s="31" t="inlineStr">
        <is>
          <t>[PASAR] Margen Predictivo Insuficiente (&lt;5%)</t>
        </is>
      </c>
      <c r="T24" s="31">
        <f>IF(OR(Q24="",R24=""),"[APOSTAR] OVER 2.5",IF((Q24+R24)&gt;2.5,"[GANADA] OVER 2.5","[PERDIDA] OVER 2.5"))</f>
        <v/>
      </c>
      <c r="U24" s="35" t="n">
        <v>0</v>
      </c>
      <c r="V24" s="35" t="n">
        <v>2500</v>
      </c>
      <c r="W24" s="31">
        <f>IF(L24="","",IF((MAX(L24,M24,N24)-MEDIAN(L24,M24,N24))&gt;0.05,IF(OR(Q24="",R24=""),"[PREDICCION] "&amp;IF(L24=MAX(L24,M24,N24),"LOCAL",IF(M24=MAX(L24,M24,N24),"EMPATE","VISITA")),IF(L24=MAX(L24,M24,N24),IF(Q24&gt;R24,"[ACIERTO]","[FALLO]"),IF(M24=MAX(L24,M24,N24),IF(Q24=R24,"[ACIERTO]","[FALLO]"),IF(Q24&lt;R24,"[ACIERTO]","[FALLO]")))),"[PASAR] Margen Insuf"))</f>
        <v/>
      </c>
      <c r="X24" s="35">
        <f>IFERROR(IF(U24=0,0,IF(ISNUMBER(SEARCH("[GANADA]",S24)),U24*(IF(ISNUMBER(SEARCH("LOCAL",S24)),F24,IF(ISNUMBER(SEARCH("EMPATE",S24)),G24,H24))-1),IF(ISNUMBER(SEARCH("[PERDIDA]",S24)),-U24,0))),0)+IFERROR(IF(V24=0,0,IF(ISNUMBER(SEARCH("[GANADA]",T24)),V24*(IF(ISNUMBER(SEARCH("OVER",T24)),I24,J24)-1),IF(ISNUMBER(SEARCH("[PERDIDA]",T24)),-V24,0))),0)</f>
        <v/>
      </c>
      <c r="Y24" s="35">
        <f>Y23+X24</f>
        <v/>
      </c>
      <c r="Z24" s="36">
        <f>IF(OR(Q24="",R24=""),"",(L24-IF(Q24&gt;R24,1,0))^2+(M24-IF(Q24=R24,1,0))^2+(N24-IF(Q24&lt;R24,1,0))^2)</f>
        <v/>
      </c>
      <c r="AA24" s="36">
        <f>IF(OR(Q24="",R24="",F24="",F24=0,G24="",G24=0,H24="",H24=0),"",((1/F24/(1/F24+1/G24+1/H24))-IF(Q24&gt;R24,1,0))^2+((1/G24/(1/F24+1/G24+1/H24))-IF(Q24=R24,1,0))^2+((1/H24/(1/F24+1/G24+1/H24))-IF(Q24&lt;R24,1,0))^2)</f>
        <v/>
      </c>
      <c r="AB24" s="37" t="n">
        <v>1.2705</v>
      </c>
      <c r="AC24" s="33" t="inlineStr">
        <is>
          <t>NO</t>
        </is>
      </c>
    </row>
    <row r="25">
      <c r="A25" s="30" t="n">
        <v>46102</v>
      </c>
      <c r="B25" s="31" t="inlineStr">
        <is>
          <t>2026-03-21atleticotucumangimnasialaplata</t>
        </is>
      </c>
      <c r="C25" s="31" t="inlineStr">
        <is>
          <t>Atlético Tucumán vs Gimnasia la Plata</t>
        </is>
      </c>
      <c r="D25" s="31" t="inlineStr">
        <is>
          <t>Atlético Tucumán</t>
        </is>
      </c>
      <c r="E25" s="31" t="inlineStr">
        <is>
          <t>Gimnasia la Plata</t>
        </is>
      </c>
      <c r="F25" s="32" t="n">
        <v>2.16</v>
      </c>
      <c r="G25" s="32" t="n">
        <v>3.3</v>
      </c>
      <c r="H25" s="32" t="n">
        <v>4.1</v>
      </c>
      <c r="I25" s="32" t="n">
        <v>2.43</v>
      </c>
      <c r="J25" s="32" t="n">
        <v>1.55</v>
      </c>
      <c r="K25" s="33" t="inlineStr">
        <is>
          <t>Argentina</t>
        </is>
      </c>
      <c r="L25" s="34" t="n">
        <v>0.3987010223527333</v>
      </c>
      <c r="M25" s="34" t="n">
        <v>0.2392245770396564</v>
      </c>
      <c r="N25" s="34" t="n">
        <v>0.3620744006076103</v>
      </c>
      <c r="O25" s="34" t="n">
        <v>0.6659072410848628</v>
      </c>
      <c r="P25" s="34" t="n">
        <v>0.3340927589151372</v>
      </c>
      <c r="Q25" s="33" t="n">
        <v>1</v>
      </c>
      <c r="R25" s="33" t="n">
        <v>0</v>
      </c>
      <c r="S25" s="31" t="inlineStr">
        <is>
          <t>[PASAR] Overlap Riesgo (O/U Priorizado)</t>
        </is>
      </c>
      <c r="T25" s="31">
        <f>IF(OR(Q25="",R25=""),"[APOSTAR] OVER 2.5",IF((Q25+R25)&gt;2.5,"[GANADA] OVER 2.5","[PERDIDA] OVER 2.5"))</f>
        <v/>
      </c>
      <c r="U25" s="35" t="n">
        <v>0</v>
      </c>
      <c r="V25" s="35" t="n">
        <v>1020.62</v>
      </c>
      <c r="W25" s="31">
        <f>IF(L25="","",IF((MAX(L25,M25,N25)-MEDIAN(L25,M25,N25))&gt;0.05,IF(OR(Q25="",R25=""),"[PREDICCION] "&amp;IF(L25=MAX(L25,M25,N25),"LOCAL",IF(M25=MAX(L25,M25,N25),"EMPATE","VISITA")),IF(L25=MAX(L25,M25,N25),IF(Q25&gt;R25,"[ACIERTO]","[FALLO]"),IF(M25=MAX(L25,M25,N25),IF(Q25=R25,"[ACIERTO]","[FALLO]"),IF(Q25&lt;R25,"[ACIERTO]","[FALLO]")))),"[PASAR] Margen Insuf"))</f>
        <v/>
      </c>
      <c r="X25" s="35">
        <f>IFERROR(IF(U25=0,0,IF(ISNUMBER(SEARCH("[GANADA]",S25)),U25*(IF(ISNUMBER(SEARCH("LOCAL",S25)),F25,IF(ISNUMBER(SEARCH("EMPATE",S25)),G25,H25))-1),IF(ISNUMBER(SEARCH("[PERDIDA]",S25)),-U25,0))),0)+IFERROR(IF(V25=0,0,IF(ISNUMBER(SEARCH("[GANADA]",T25)),V25*(IF(ISNUMBER(SEARCH("OVER",T25)),I25,J25)-1),IF(ISNUMBER(SEARCH("[PERDIDA]",T25)),-V25,0))),0)</f>
        <v/>
      </c>
      <c r="Y25" s="35">
        <f>Y24+X25</f>
        <v/>
      </c>
      <c r="Z25" s="36">
        <f>IF(OR(Q25="",R25=""),"",(L25-IF(Q25&gt;R25,1,0))^2+(M25-IF(Q25=R25,1,0))^2+(N25-IF(Q25&lt;R25,1,0))^2)</f>
        <v/>
      </c>
      <c r="AA25" s="36">
        <f>IF(OR(Q25="",R25="",F25="",F25=0,G25="",G25=0,H25="",H25=0),"",((1/F25/(1/F25+1/G25+1/H25))-IF(Q25&gt;R25,1,0))^2+((1/G25/(1/F25+1/G25+1/H25))-IF(Q25=R25,1,0))^2+((1/H25/(1/F25+1/G25+1/H25))-IF(Q25&lt;R25,1,0))^2)</f>
        <v/>
      </c>
      <c r="AB25" s="37" t="n">
        <v>0.9218</v>
      </c>
      <c r="AC25" s="33" t="inlineStr">
        <is>
          <t>NO</t>
        </is>
      </c>
    </row>
    <row r="26">
      <c r="A26" s="30" t="n">
        <v>46102</v>
      </c>
      <c r="B26" s="31" t="inlineStr">
        <is>
          <t>2026-03-21banfieldtigre</t>
        </is>
      </c>
      <c r="C26" s="31" t="inlineStr">
        <is>
          <t>Banfield vs Tigre</t>
        </is>
      </c>
      <c r="D26" s="31" t="inlineStr">
        <is>
          <t>Banfield</t>
        </is>
      </c>
      <c r="E26" s="31" t="inlineStr">
        <is>
          <t>Tigre</t>
        </is>
      </c>
      <c r="F26" s="32" t="n">
        <v>3</v>
      </c>
      <c r="G26" s="32" t="n">
        <v>3</v>
      </c>
      <c r="H26" s="32" t="n">
        <v>2.9</v>
      </c>
      <c r="I26" s="32" t="n">
        <v>2.85</v>
      </c>
      <c r="J26" s="32" t="n">
        <v>1.47</v>
      </c>
      <c r="K26" s="33" t="inlineStr">
        <is>
          <t>Argentina</t>
        </is>
      </c>
      <c r="L26" s="34" t="n">
        <v>0.3959221285642142</v>
      </c>
      <c r="M26" s="34" t="n">
        <v>0.2344430747550171</v>
      </c>
      <c r="N26" s="34" t="n">
        <v>0.3696347966807688</v>
      </c>
      <c r="O26" s="34" t="n">
        <v>0.6878381974505104</v>
      </c>
      <c r="P26" s="34" t="n">
        <v>0.3121618025494896</v>
      </c>
      <c r="Q26" s="33" t="n">
        <v>1</v>
      </c>
      <c r="R26" s="33" t="n">
        <v>0</v>
      </c>
      <c r="S26" s="31" t="inlineStr">
        <is>
          <t>[PASAR] Margen Predictivo Insuficiente (&lt;5%)</t>
        </is>
      </c>
      <c r="T26" s="31">
        <f>IF(OR(Q26="",R26=""),"[APOSTAR] OVER 2.5",IF((Q26+R26)&gt;2.5,"[GANADA] OVER 2.5","[PERDIDA] OVER 2.5"))</f>
        <v/>
      </c>
      <c r="U26" s="35" t="n">
        <v>0</v>
      </c>
      <c r="V26" s="35" t="n">
        <v>1020.62</v>
      </c>
      <c r="W26" s="31">
        <f>IF(L26="","",IF((MAX(L26,M26,N26)-MEDIAN(L26,M26,N26))&gt;0.05,IF(OR(Q26="",R26=""),"[PREDICCION] "&amp;IF(L26=MAX(L26,M26,N26),"LOCAL",IF(M26=MAX(L26,M26,N26),"EMPATE","VISITA")),IF(L26=MAX(L26,M26,N26),IF(Q26&gt;R26,"[ACIERTO]","[FALLO]"),IF(M26=MAX(L26,M26,N26),IF(Q26=R26,"[ACIERTO]","[FALLO]"),IF(Q26&lt;R26,"[ACIERTO]","[FALLO]")))),"[PASAR] Margen Insuf"))</f>
        <v/>
      </c>
      <c r="X26" s="35">
        <f>IFERROR(IF(U26=0,0,IF(ISNUMBER(SEARCH("[GANADA]",S26)),U26*(IF(ISNUMBER(SEARCH("LOCAL",S26)),F26,IF(ISNUMBER(SEARCH("EMPATE",S26)),G26,H26))-1),IF(ISNUMBER(SEARCH("[PERDIDA]",S26)),-U26,0))),0)+IFERROR(IF(V26=0,0,IF(ISNUMBER(SEARCH("[GANADA]",T26)),V26*(IF(ISNUMBER(SEARCH("OVER",T26)),I26,J26)-1),IF(ISNUMBER(SEARCH("[PERDIDA]",T26)),-V26,0))),0)</f>
        <v/>
      </c>
      <c r="Y26" s="35">
        <f>Y25+X26</f>
        <v/>
      </c>
      <c r="Z26" s="36">
        <f>IF(OR(Q26="",R26=""),"",(L26-IF(Q26&gt;R26,1,0))^2+(M26-IF(Q26=R26,1,0))^2+(N26-IF(Q26&lt;R26,1,0))^2)</f>
        <v/>
      </c>
      <c r="AA26" s="36">
        <f>IF(OR(Q26="",R26="",F26="",F26=0,G26="",G26=0,H26="",H26=0),"",((1/F26/(1/F26+1/G26+1/H26))-IF(Q26&gt;R26,1,0))^2+((1/G26/(1/F26+1/G26+1/H26))-IF(Q26=R26,1,0))^2+((1/H26/(1/F26+1/G26+1/H26))-IF(Q26&lt;R26,1,0))^2)</f>
        <v/>
      </c>
      <c r="AB26" s="37" t="n">
        <v>0.8998</v>
      </c>
      <c r="AC26" s="33" t="inlineStr">
        <is>
          <t>NO</t>
        </is>
      </c>
    </row>
    <row r="27">
      <c r="A27" s="30" t="n">
        <v>46102</v>
      </c>
      <c r="B27" s="31" t="inlineStr">
        <is>
          <t>2026-03-21brightonhovealbionliverpool</t>
        </is>
      </c>
      <c r="C27" s="31" t="inlineStr">
        <is>
          <t>Brighton &amp; Hove Albion vs Liverpool</t>
        </is>
      </c>
      <c r="D27" s="31" t="inlineStr">
        <is>
          <t>Brighton &amp; Hove Albion</t>
        </is>
      </c>
      <c r="E27" s="31" t="inlineStr">
        <is>
          <t>Liverpool</t>
        </is>
      </c>
      <c r="F27" s="32" t="n">
        <v>3.25</v>
      </c>
      <c r="G27" s="32" t="n">
        <v>3.75</v>
      </c>
      <c r="H27" s="32" t="n">
        <v>2.33</v>
      </c>
      <c r="I27" s="32" t="n">
        <v>1.78</v>
      </c>
      <c r="J27" s="32" t="n">
        <v>2.21</v>
      </c>
      <c r="K27" s="33" t="inlineStr">
        <is>
          <t>Inglaterra</t>
        </is>
      </c>
      <c r="L27" s="34" t="n">
        <v>0.439961</v>
      </c>
      <c r="M27" s="34" t="n">
        <v>0.179984</v>
      </c>
      <c r="N27" s="34" t="n">
        <v>0.380055</v>
      </c>
      <c r="O27" s="34" t="n">
        <v>0.8694811532870754</v>
      </c>
      <c r="P27" s="34" t="n">
        <v>0.1305188467129247</v>
      </c>
      <c r="Q27" s="33" t="n">
        <v>2</v>
      </c>
      <c r="R27" s="33" t="n">
        <v>1</v>
      </c>
      <c r="S27" s="31" t="inlineStr">
        <is>
          <t>[PASAR] Overlap Riesgo (O/U Priorizado)</t>
        </is>
      </c>
      <c r="T27" s="31">
        <f>IF(OR(Q27="",R27=""),"[APOSTAR] OVER 2.5",IF((Q27+R27)&gt;2.5,"[GANADA] OVER 2.5","[PERDIDA] OVER 2.5"))</f>
        <v/>
      </c>
      <c r="U27" s="35" t="n">
        <v>0</v>
      </c>
      <c r="V27" s="35" t="n">
        <v>1250</v>
      </c>
      <c r="W27" s="31">
        <f>IF(L27="","",IF((MAX(L27,M27,N27)-MEDIAN(L27,M27,N27))&gt;0.05,IF(OR(Q27="",R27=""),"[PREDICCION] "&amp;IF(L27=MAX(L27,M27,N27),"LOCAL",IF(M27=MAX(L27,M27,N27),"EMPATE","VISITA")),IF(L27=MAX(L27,M27,N27),IF(Q27&gt;R27,"[ACIERTO]","[FALLO]"),IF(M27=MAX(L27,M27,N27),IF(Q27=R27,"[ACIERTO]","[FALLO]"),IF(Q27&lt;R27,"[ACIERTO]","[FALLO]")))),"[PASAR] Margen Insuf"))</f>
        <v/>
      </c>
      <c r="X27" s="35">
        <f>IFERROR(IF(U27=0,0,IF(ISNUMBER(SEARCH("[GANADA]",S27)),U27*(IF(ISNUMBER(SEARCH("LOCAL",S27)),F27,IF(ISNUMBER(SEARCH("EMPATE",S27)),G27,H27))-1),IF(ISNUMBER(SEARCH("[PERDIDA]",S27)),-U27,0))),0)+IFERROR(IF(V27=0,0,IF(ISNUMBER(SEARCH("[GANADA]",T27)),V27*(IF(ISNUMBER(SEARCH("OVER",T27)),I27,J27)-1),IF(ISNUMBER(SEARCH("[PERDIDA]",T27)),-V27,0))),0)</f>
        <v/>
      </c>
      <c r="Y27" s="35">
        <f>Y26+X27</f>
        <v/>
      </c>
      <c r="Z27" s="36">
        <f>IF(OR(Q27="",R27=""),"",(L27-IF(Q27&gt;R27,1,0))^2+(M27-IF(Q27=R27,1,0))^2+(N27-IF(Q27&lt;R27,1,0))^2)</f>
        <v/>
      </c>
      <c r="AA27" s="36">
        <f>IF(OR(Q27="",R27="",F27="",F27=0,G27="",G27=0,H27="",H27=0),"",((1/F27/(1/F27+1/G27+1/H27))-IF(Q27&gt;R27,1,0))^2+((1/G27/(1/F27+1/G27+1/H27))-IF(Q27=R27,1,0))^2+((1/H27/(1/F27+1/G27+1/H27))-IF(Q27&lt;R27,1,0))^2)</f>
        <v/>
      </c>
      <c r="AB27" s="37" t="n">
        <v>1.3106</v>
      </c>
      <c r="AC27" s="33" t="inlineStr">
        <is>
          <t>NO</t>
        </is>
      </c>
    </row>
    <row r="28">
      <c r="A28" s="30" t="n">
        <v>46102</v>
      </c>
      <c r="B28" s="31" t="inlineStr">
        <is>
          <t>2026-03-21defensayjusticiaunionsantafe</t>
        </is>
      </c>
      <c r="C28" s="31" t="inlineStr">
        <is>
          <t>Defensa y Justicia vs Unión (santa Fe)</t>
        </is>
      </c>
      <c r="D28" s="31" t="inlineStr">
        <is>
          <t>Defensa y Justicia</t>
        </is>
      </c>
      <c r="E28" s="31" t="inlineStr">
        <is>
          <t>Unión (santa Fe)</t>
        </is>
      </c>
      <c r="F28" s="32" t="n">
        <v>2.9</v>
      </c>
      <c r="G28" s="32" t="n">
        <v>3.1</v>
      </c>
      <c r="H28" s="32" t="n">
        <v>2.88</v>
      </c>
      <c r="I28" s="32" t="n">
        <v>2.62</v>
      </c>
      <c r="J28" s="32" t="n">
        <v>1.56</v>
      </c>
      <c r="K28" s="33" t="inlineStr">
        <is>
          <t>Argentina</t>
        </is>
      </c>
      <c r="L28" s="34" t="n">
        <v>0.434413</v>
      </c>
      <c r="M28" s="34" t="n">
        <v>0.219963</v>
      </c>
      <c r="N28" s="34" t="n">
        <v>0.345624</v>
      </c>
      <c r="O28" s="34" t="n">
        <v>0.709955455946658</v>
      </c>
      <c r="P28" s="34" t="n">
        <v>0.290044544053342</v>
      </c>
      <c r="Q28" s="33" t="n">
        <v>2</v>
      </c>
      <c r="R28" s="33" t="n">
        <v>0</v>
      </c>
      <c r="S28" s="31" t="inlineStr">
        <is>
          <t>[PASAR] Overlap Riesgo (O/U Priorizado)</t>
        </is>
      </c>
      <c r="T28" s="31">
        <f>IF(OR(Q28="",R28=""),"[APOSTAR] OVER 2.5",IF((Q28+R28)&gt;2.5,"[GANADA] OVER 2.5","[PERDIDA] OVER 2.5"))</f>
        <v/>
      </c>
      <c r="U28" s="35" t="n">
        <v>0</v>
      </c>
      <c r="V28" s="35" t="n">
        <v>1020.62</v>
      </c>
      <c r="W28" s="31">
        <f>IF(L28="","",IF((MAX(L28,M28,N28)-MEDIAN(L28,M28,N28))&gt;0.05,IF(OR(Q28="",R28=""),"[PREDICCION] "&amp;IF(L28=MAX(L28,M28,N28),"LOCAL",IF(M28=MAX(L28,M28,N28),"EMPATE","VISITA")),IF(L28=MAX(L28,M28,N28),IF(Q28&gt;R28,"[ACIERTO]","[FALLO]"),IF(M28=MAX(L28,M28,N28),IF(Q28=R28,"[ACIERTO]","[FALLO]"),IF(Q28&lt;R28,"[ACIERTO]","[FALLO]")))),"[PASAR] Margen Insuf"))</f>
        <v/>
      </c>
      <c r="X28" s="35">
        <f>IFERROR(IF(U28=0,0,IF(ISNUMBER(SEARCH("[GANADA]",S28)),U28*(IF(ISNUMBER(SEARCH("LOCAL",S28)),F28,IF(ISNUMBER(SEARCH("EMPATE",S28)),G28,H28))-1),IF(ISNUMBER(SEARCH("[PERDIDA]",S28)),-U28,0))),0)+IFERROR(IF(V28=0,0,IF(ISNUMBER(SEARCH("[GANADA]",T28)),V28*(IF(ISNUMBER(SEARCH("OVER",T28)),I28,J28)-1),IF(ISNUMBER(SEARCH("[PERDIDA]",T28)),-V28,0))),0)</f>
        <v/>
      </c>
      <c r="Y28" s="35">
        <f>Y27+X28</f>
        <v/>
      </c>
      <c r="Z28" s="36">
        <f>IF(OR(Q28="",R28=""),"",(L28-IF(Q28&gt;R28,1,0))^2+(M28-IF(Q28=R28,1,0))^2+(N28-IF(Q28&lt;R28,1,0))^2)</f>
        <v/>
      </c>
      <c r="AA28" s="36">
        <f>IF(OR(Q28="",R28="",F28="",F28=0,G28="",G28=0,H28="",H28=0),"",((1/F28/(1/F28+1/G28+1/H28))-IF(Q28&gt;R28,1,0))^2+((1/G28/(1/F28+1/G28+1/H28))-IF(Q28=R28,1,0))^2+((1/H28/(1/F28+1/G28+1/H28))-IF(Q28&lt;R28,1,0))^2)</f>
        <v/>
      </c>
      <c r="AB28" s="37" t="n">
        <v>0.7731</v>
      </c>
      <c r="AC28" s="33" t="inlineStr">
        <is>
          <t>NO</t>
        </is>
      </c>
    </row>
    <row r="29">
      <c r="A29" s="30" t="n">
        <v>46102</v>
      </c>
      <c r="B29" s="31" t="inlineStr">
        <is>
          <t>2026-03-21evertonchelsea</t>
        </is>
      </c>
      <c r="C29" s="31" t="inlineStr">
        <is>
          <t>Everton vs Chelsea</t>
        </is>
      </c>
      <c r="D29" s="31" t="inlineStr">
        <is>
          <t>Everton</t>
        </is>
      </c>
      <c r="E29" s="31" t="inlineStr">
        <is>
          <t>Chelsea</t>
        </is>
      </c>
      <c r="F29" s="32" t="n">
        <v>3.6</v>
      </c>
      <c r="G29" s="32" t="n">
        <v>3.75</v>
      </c>
      <c r="H29" s="32" t="n">
        <v>2.2</v>
      </c>
      <c r="I29" s="32" t="n">
        <v>1.9</v>
      </c>
      <c r="J29" s="32" t="n">
        <v>2.11</v>
      </c>
      <c r="K29" s="33" t="inlineStr">
        <is>
          <t>Inglaterra</t>
        </is>
      </c>
      <c r="L29" s="34" t="n">
        <v>0.460027</v>
      </c>
      <c r="M29" s="34" t="n">
        <v>0.177173</v>
      </c>
      <c r="N29" s="34" t="n">
        <v>0.3628</v>
      </c>
      <c r="O29" s="34" t="n">
        <v>0.8795853922290617</v>
      </c>
      <c r="P29" s="34" t="n">
        <v>0.1204146077709382</v>
      </c>
      <c r="Q29" s="33" t="n">
        <v>3</v>
      </c>
      <c r="R29" s="33" t="n">
        <v>0</v>
      </c>
      <c r="S29" s="31" t="inlineStr">
        <is>
          <t>[PASAR] Overlap Riesgo (O/U Priorizado)</t>
        </is>
      </c>
      <c r="T29" s="31">
        <f>IF(OR(Q29="",R29=""),"[APOSTAR] OVER 2.5",IF((Q29+R29)&gt;2.5,"[GANADA] OVER 2.5","[PERDIDA] OVER 2.5"))</f>
        <v/>
      </c>
      <c r="U29" s="35" t="n">
        <v>0</v>
      </c>
      <c r="V29" s="35" t="n">
        <v>1250</v>
      </c>
      <c r="W29" s="31">
        <f>IF(L29="","",IF((MAX(L29,M29,N29)-MEDIAN(L29,M29,N29))&gt;0.05,IF(OR(Q29="",R29=""),"[PREDICCION] "&amp;IF(L29=MAX(L29,M29,N29),"LOCAL",IF(M29=MAX(L29,M29,N29),"EMPATE","VISITA")),IF(L29=MAX(L29,M29,N29),IF(Q29&gt;R29,"[ACIERTO]","[FALLO]"),IF(M29=MAX(L29,M29,N29),IF(Q29=R29,"[ACIERTO]","[FALLO]"),IF(Q29&lt;R29,"[ACIERTO]","[FALLO]")))),"[PASAR] Margen Insuf"))</f>
        <v/>
      </c>
      <c r="X29" s="35">
        <f>IFERROR(IF(U29=0,0,IF(ISNUMBER(SEARCH("[GANADA]",S29)),U29*(IF(ISNUMBER(SEARCH("LOCAL",S29)),F29,IF(ISNUMBER(SEARCH("EMPATE",S29)),G29,H29))-1),IF(ISNUMBER(SEARCH("[PERDIDA]",S29)),-U29,0))),0)+IFERROR(IF(V29=0,0,IF(ISNUMBER(SEARCH("[GANADA]",T29)),V29*(IF(ISNUMBER(SEARCH("OVER",T29)),I29,J29)-1),IF(ISNUMBER(SEARCH("[PERDIDA]",T29)),-V29,0))),0)</f>
        <v/>
      </c>
      <c r="Y29" s="35">
        <f>Y28+X29</f>
        <v/>
      </c>
      <c r="Z29" s="36">
        <f>IF(OR(Q29="",R29=""),"",(L29-IF(Q29&gt;R29,1,0))^2+(M29-IF(Q29=R29,1,0))^2+(N29-IF(Q29&lt;R29,1,0))^2)</f>
        <v/>
      </c>
      <c r="AA29" s="36">
        <f>IF(OR(Q29="",R29="",F29="",F29=0,G29="",G29=0,H29="",H29=0),"",((1/F29/(1/F29+1/G29+1/H29))-IF(Q29&gt;R29,1,0))^2+((1/G29/(1/F29+1/G29+1/H29))-IF(Q29=R29,1,0))^2+((1/H29/(1/F29+1/G29+1/H29))-IF(Q29&lt;R29,1,0))^2)</f>
        <v/>
      </c>
      <c r="AB29" s="37" t="n">
        <v>1.2706</v>
      </c>
      <c r="AC29" s="33" t="inlineStr">
        <is>
          <t>NO</t>
        </is>
      </c>
    </row>
    <row r="30">
      <c r="A30" s="30" t="n">
        <v>46102</v>
      </c>
      <c r="B30" s="31" t="inlineStr">
        <is>
          <t>2026-03-21fluminenseatleticomg</t>
        </is>
      </c>
      <c r="C30" s="31" t="inlineStr">
        <is>
          <t>Fluminense vs Atlético-mg</t>
        </is>
      </c>
      <c r="D30" s="31" t="inlineStr">
        <is>
          <t>Fluminense</t>
        </is>
      </c>
      <c r="E30" s="31" t="inlineStr">
        <is>
          <t>Atlético-mg</t>
        </is>
      </c>
      <c r="F30" s="32" t="n">
        <v>1.78</v>
      </c>
      <c r="G30" s="32" t="n">
        <v>3.7</v>
      </c>
      <c r="H30" s="32" t="n">
        <v>5.2</v>
      </c>
      <c r="I30" s="32" t="n">
        <v>2.08</v>
      </c>
      <c r="J30" s="32" t="n">
        <v>1.81</v>
      </c>
      <c r="K30" s="33" t="inlineStr">
        <is>
          <t>Brasil</t>
        </is>
      </c>
      <c r="L30" s="34" t="n">
        <v>0.449714</v>
      </c>
      <c r="M30" s="34" t="n">
        <v>0.184972</v>
      </c>
      <c r="N30" s="34" t="n">
        <v>0.365314</v>
      </c>
      <c r="O30" s="34" t="n">
        <v>0.8465891240570762</v>
      </c>
      <c r="P30" s="34" t="n">
        <v>0.1534108759429238</v>
      </c>
      <c r="Q30" s="33" t="n">
        <v>1</v>
      </c>
      <c r="R30" s="33" t="n">
        <v>0</v>
      </c>
      <c r="S30" s="31" t="inlineStr">
        <is>
          <t>[PASAR] Riesgo/Beneficio</t>
        </is>
      </c>
      <c r="T30" s="31">
        <f>IF(OR(Q30="",R30=""),"[APOSTAR] OVER 2.5",IF((Q30+R30)&gt;2.5,"[GANADA] OVER 2.5","[PERDIDA] OVER 2.5"))</f>
        <v/>
      </c>
      <c r="U30" s="35" t="n">
        <v>0</v>
      </c>
      <c r="V30" s="35" t="n">
        <v>1767.77</v>
      </c>
      <c r="W30" s="31">
        <f>IF(L30="","",IF((MAX(L30,M30,N30)-MEDIAN(L30,M30,N30))&gt;0.05,IF(OR(Q30="",R30=""),"[PREDICCION] "&amp;IF(L30=MAX(L30,M30,N30),"LOCAL",IF(M30=MAX(L30,M30,N30),"EMPATE","VISITA")),IF(L30=MAX(L30,M30,N30),IF(Q30&gt;R30,"[ACIERTO]","[FALLO]"),IF(M30=MAX(L30,M30,N30),IF(Q30=R30,"[ACIERTO]","[FALLO]"),IF(Q30&lt;R30,"[ACIERTO]","[FALLO]")))),"[PASAR] Margen Insuf"))</f>
        <v/>
      </c>
      <c r="X30" s="35">
        <f>IFERROR(IF(U30=0,0,IF(ISNUMBER(SEARCH("[GANADA]",S30)),U30*(IF(ISNUMBER(SEARCH("LOCAL",S30)),F30,IF(ISNUMBER(SEARCH("EMPATE",S30)),G30,H30))-1),IF(ISNUMBER(SEARCH("[PERDIDA]",S30)),-U30,0))),0)+IFERROR(IF(V30=0,0,IF(ISNUMBER(SEARCH("[GANADA]",T30)),V30*(IF(ISNUMBER(SEARCH("OVER",T30)),I30,J30)-1),IF(ISNUMBER(SEARCH("[PERDIDA]",T30)),-V30,0))),0)</f>
        <v/>
      </c>
      <c r="Y30" s="35">
        <f>Y29+X30</f>
        <v/>
      </c>
      <c r="Z30" s="36">
        <f>IF(OR(Q30="",R30=""),"",(L30-IF(Q30&gt;R30,1,0))^2+(M30-IF(Q30=R30,1,0))^2+(N30-IF(Q30&lt;R30,1,0))^2)</f>
        <v/>
      </c>
      <c r="AA30" s="36">
        <f>IF(OR(Q30="",R30="",F30="",F30=0,G30="",G30=0,H30="",H30=0),"",((1/F30/(1/F30+1/G30+1/H30))-IF(Q30&gt;R30,1,0))^2+((1/G30/(1/F30+1/G30+1/H30))-IF(Q30=R30,1,0))^2+((1/H30/(1/F30+1/G30+1/H30))-IF(Q30&lt;R30,1,0))^2)</f>
        <v/>
      </c>
      <c r="AB30" s="37" t="n">
        <v>1.3088</v>
      </c>
      <c r="AC30" s="33" t="inlineStr">
        <is>
          <t>NO</t>
        </is>
      </c>
    </row>
    <row r="31">
      <c r="A31" s="30" t="n">
        <v>46102</v>
      </c>
      <c r="B31" s="31" t="inlineStr">
        <is>
          <t>2026-03-21fulhamburnley</t>
        </is>
      </c>
      <c r="C31" s="31" t="inlineStr">
        <is>
          <t>Fulham vs Burnley</t>
        </is>
      </c>
      <c r="D31" s="31" t="inlineStr">
        <is>
          <t>Fulham</t>
        </is>
      </c>
      <c r="E31" s="31" t="inlineStr">
        <is>
          <t>Burnley</t>
        </is>
      </c>
      <c r="F31" s="32" t="n">
        <v>1.6</v>
      </c>
      <c r="G31" s="32" t="n">
        <v>4.3</v>
      </c>
      <c r="H31" s="32" t="n">
        <v>6.8</v>
      </c>
      <c r="I31" s="32" t="n">
        <v>1.86</v>
      </c>
      <c r="J31" s="32" t="n">
        <v>2.14</v>
      </c>
      <c r="K31" s="33" t="inlineStr">
        <is>
          <t>Inglaterra</t>
        </is>
      </c>
      <c r="L31" s="34" t="n">
        <v>0.456846</v>
      </c>
      <c r="M31" s="34" t="n">
        <v>0.179254</v>
      </c>
      <c r="N31" s="34" t="n">
        <v>0.3639</v>
      </c>
      <c r="O31" s="34" t="n">
        <v>0.8711352603129533</v>
      </c>
      <c r="P31" s="34" t="n">
        <v>0.1288647396870467</v>
      </c>
      <c r="Q31" s="33" t="n">
        <v>3</v>
      </c>
      <c r="R31" s="33" t="n">
        <v>1</v>
      </c>
      <c r="S31" s="31" t="inlineStr">
        <is>
          <t>[PASAR] Riesgo/Beneficio</t>
        </is>
      </c>
      <c r="T31" s="31">
        <f>IF(OR(Q31="",R31=""),"[APOSTAR] OVER 2.5",IF((Q31+R31)&gt;2.5,"[GANADA] OVER 2.5","[PERDIDA] OVER 2.5"))</f>
        <v/>
      </c>
      <c r="U31" s="35" t="n">
        <v>0</v>
      </c>
      <c r="V31" s="35" t="n">
        <v>1250</v>
      </c>
      <c r="W31" s="31">
        <f>IF(L31="","",IF((MAX(L31,M31,N31)-MEDIAN(L31,M31,N31))&gt;0.05,IF(OR(Q31="",R31=""),"[PREDICCION] "&amp;IF(L31=MAX(L31,M31,N31),"LOCAL",IF(M31=MAX(L31,M31,N31),"EMPATE","VISITA")),IF(L31=MAX(L31,M31,N31),IF(Q31&gt;R31,"[ACIERTO]","[FALLO]"),IF(M31=MAX(L31,M31,N31),IF(Q31=R31,"[ACIERTO]","[FALLO]"),IF(Q31&lt;R31,"[ACIERTO]","[FALLO]")))),"[PASAR] Margen Insuf"))</f>
        <v/>
      </c>
      <c r="X31" s="35">
        <f>IFERROR(IF(U31=0,0,IF(ISNUMBER(SEARCH("[GANADA]",S31)),U31*(IF(ISNUMBER(SEARCH("LOCAL",S31)),F31,IF(ISNUMBER(SEARCH("EMPATE",S31)),G31,H31))-1),IF(ISNUMBER(SEARCH("[PERDIDA]",S31)),-U31,0))),0)+IFERROR(IF(V31=0,0,IF(ISNUMBER(SEARCH("[GANADA]",T31)),V31*(IF(ISNUMBER(SEARCH("OVER",T31)),I31,J31)-1),IF(ISNUMBER(SEARCH("[PERDIDA]",T31)),-V31,0))),0)</f>
        <v/>
      </c>
      <c r="Y31" s="35">
        <f>Y30+X31</f>
        <v/>
      </c>
      <c r="Z31" s="36">
        <f>IF(OR(Q31="",R31=""),"",(L31-IF(Q31&gt;R31,1,0))^2+(M31-IF(Q31=R31,1,0))^2+(N31-IF(Q31&lt;R31,1,0))^2)</f>
        <v/>
      </c>
      <c r="AA31" s="36">
        <f>IF(OR(Q31="",R31="",F31="",F31=0,G31="",G31=0,H31="",H31=0),"",((1/F31/(1/F31+1/G31+1/H31))-IF(Q31&gt;R31,1,0))^2+((1/G31/(1/F31+1/G31+1/H31))-IF(Q31=R31,1,0))^2+((1/H31/(1/F31+1/G31+1/H31))-IF(Q31&lt;R31,1,0))^2)</f>
        <v/>
      </c>
      <c r="AB31" s="37" t="n">
        <v>1.2931</v>
      </c>
      <c r="AC31" s="33" t="inlineStr">
        <is>
          <t>NO</t>
        </is>
      </c>
    </row>
    <row r="32">
      <c r="A32" s="30" t="n">
        <v>46102</v>
      </c>
      <c r="B32" s="31" t="inlineStr">
        <is>
          <t>2026-03-21ikstartaalesund</t>
        </is>
      </c>
      <c r="C32" s="31" t="inlineStr">
        <is>
          <t>Ik Start vs Aalesund</t>
        </is>
      </c>
      <c r="D32" s="31" t="inlineStr">
        <is>
          <t>Ik Start</t>
        </is>
      </c>
      <c r="E32" s="31" t="inlineStr">
        <is>
          <t>Aalesund</t>
        </is>
      </c>
      <c r="F32" s="32" t="n">
        <v>2.28</v>
      </c>
      <c r="G32" s="32" t="n">
        <v>3.6</v>
      </c>
      <c r="H32" s="32" t="n">
        <v>3.45</v>
      </c>
      <c r="I32" s="32" t="n">
        <v>1.83</v>
      </c>
      <c r="J32" s="32" t="n">
        <v>2.07</v>
      </c>
      <c r="K32" s="33" t="inlineStr">
        <is>
          <t>Noruega</t>
        </is>
      </c>
      <c r="L32" s="34" t="n">
        <v>0.426157</v>
      </c>
      <c r="M32" s="34" t="n">
        <v>0.147685</v>
      </c>
      <c r="N32" s="34" t="n">
        <v>0.426157</v>
      </c>
      <c r="O32" s="34" t="n">
        <v>0.9644378138836682</v>
      </c>
      <c r="P32" s="34" t="n">
        <v>0.03556218611633181</v>
      </c>
      <c r="Q32" s="33" t="n">
        <v>1</v>
      </c>
      <c r="R32" s="33" t="n">
        <v>1</v>
      </c>
      <c r="S32" s="31" t="inlineStr">
        <is>
          <t>[PASAR] Margen Predictivo Insuficiente (&lt;5%)</t>
        </is>
      </c>
      <c r="T32" s="31">
        <f>IF(OR(Q32="",R32=""),"[APOSTAR] OVER 2.5",IF((Q32+R32)&gt;2.5,"[GANADA] OVER 2.5","[PERDIDA] OVER 2.5"))</f>
        <v/>
      </c>
      <c r="U32" s="35" t="n">
        <v>0</v>
      </c>
      <c r="V32" s="35" t="n">
        <v>1767.77</v>
      </c>
      <c r="W32" s="31">
        <f>IF(L32="","",IF((MAX(L32,M32,N32)-MEDIAN(L32,M32,N32))&gt;0.05,IF(OR(Q32="",R32=""),"[PREDICCION] "&amp;IF(L32=MAX(L32,M32,N32),"LOCAL",IF(M32=MAX(L32,M32,N32),"EMPATE","VISITA")),IF(L32=MAX(L32,M32,N32),IF(Q32&gt;R32,"[ACIERTO]","[FALLO]"),IF(M32=MAX(L32,M32,N32),IF(Q32=R32,"[ACIERTO]","[FALLO]"),IF(Q32&lt;R32,"[ACIERTO]","[FALLO]")))),"[PASAR] Margen Insuf"))</f>
        <v/>
      </c>
      <c r="X32" s="35">
        <f>IFERROR(IF(U32=0,0,IF(ISNUMBER(SEARCH("[GANADA]",S32)),U32*(IF(ISNUMBER(SEARCH("LOCAL",S32)),F32,IF(ISNUMBER(SEARCH("EMPATE",S32)),G32,H32))-1),IF(ISNUMBER(SEARCH("[PERDIDA]",S32)),-U32,0))),0)+IFERROR(IF(V32=0,0,IF(ISNUMBER(SEARCH("[GANADA]",T32)),V32*(IF(ISNUMBER(SEARCH("OVER",T32)),I32,J32)-1),IF(ISNUMBER(SEARCH("[PERDIDA]",T32)),-V32,0))),0)</f>
        <v/>
      </c>
      <c r="Y32" s="35">
        <f>Y31+X32</f>
        <v/>
      </c>
      <c r="Z32" s="36">
        <f>IF(OR(Q32="",R32=""),"",(L32-IF(Q32&gt;R32,1,0))^2+(M32-IF(Q32=R32,1,0))^2+(N32-IF(Q32&lt;R32,1,0))^2)</f>
        <v/>
      </c>
      <c r="AA32" s="36">
        <f>IF(OR(Q32="",R32="",F32="",F32=0,G32="",G32=0,H32="",H32=0),"",((1/F32/(1/F32+1/G32+1/H32))-IF(Q32&gt;R32,1,0))^2+((1/G32/(1/F32+1/G32+1/H32))-IF(Q32=R32,1,0))^2+((1/H32/(1/F32+1/G32+1/H32))-IF(Q32&lt;R32,1,0))^2)</f>
        <v/>
      </c>
      <c r="AB32" s="37" t="n">
        <v>0.3286</v>
      </c>
      <c r="AC32" s="33" t="inlineStr">
        <is>
          <t>NO</t>
        </is>
      </c>
    </row>
    <row r="33">
      <c r="A33" s="30" t="n">
        <v>46102</v>
      </c>
      <c r="B33" s="31" t="inlineStr">
        <is>
          <t>2026-03-21independientetallerescordoba</t>
        </is>
      </c>
      <c r="C33" s="31" t="inlineStr">
        <is>
          <t>Independiente vs Talleres (córdoba)</t>
        </is>
      </c>
      <c r="D33" s="31" t="inlineStr">
        <is>
          <t>Independiente</t>
        </is>
      </c>
      <c r="E33" s="31" t="inlineStr">
        <is>
          <t>Talleres (córdoba)</t>
        </is>
      </c>
      <c r="F33" s="32" t="n">
        <v>2.04</v>
      </c>
      <c r="G33" s="32" t="n">
        <v>3.2</v>
      </c>
      <c r="H33" s="32" t="n">
        <v>4.38</v>
      </c>
      <c r="I33" s="32" t="n">
        <v>2.58</v>
      </c>
      <c r="J33" s="32" t="n">
        <v>1.56</v>
      </c>
      <c r="K33" s="33" t="inlineStr">
        <is>
          <t>Argentina</t>
        </is>
      </c>
      <c r="L33" s="34" t="n">
        <v>0.3881385913042004</v>
      </c>
      <c r="M33" s="34" t="n">
        <v>0.238586708980227</v>
      </c>
      <c r="N33" s="34" t="n">
        <v>0.3732746997155725</v>
      </c>
      <c r="O33" s="34" t="n">
        <v>0.6696077735528496</v>
      </c>
      <c r="P33" s="34" t="n">
        <v>0.3303922264471503</v>
      </c>
      <c r="Q33" s="33" t="n">
        <v>1</v>
      </c>
      <c r="R33" s="33" t="n">
        <v>2</v>
      </c>
      <c r="S33" s="31" t="inlineStr">
        <is>
          <t>[PASAR] Margen Predictivo Insuficiente (&lt;5%)</t>
        </is>
      </c>
      <c r="T33" s="31">
        <f>IF(OR(Q33="",R33=""),"[APOSTAR] OVER 2.5",IF((Q33+R33)&gt;2.5,"[GANADA] OVER 2.5","[PERDIDA] OVER 2.5"))</f>
        <v/>
      </c>
      <c r="U33" s="35" t="n">
        <v>0</v>
      </c>
      <c r="V33" s="35" t="n">
        <v>1020.62</v>
      </c>
      <c r="W33" s="31">
        <f>IF(L33="","",IF((MAX(L33,M33,N33)-MEDIAN(L33,M33,N33))&gt;0.05,IF(OR(Q33="",R33=""),"[PREDICCION] "&amp;IF(L33=MAX(L33,M33,N33),"LOCAL",IF(M33=MAX(L33,M33,N33),"EMPATE","VISITA")),IF(L33=MAX(L33,M33,N33),IF(Q33&gt;R33,"[ACIERTO]","[FALLO]"),IF(M33=MAX(L33,M33,N33),IF(Q33=R33,"[ACIERTO]","[FALLO]"),IF(Q33&lt;R33,"[ACIERTO]","[FALLO]")))),"[PASAR] Margen Insuf"))</f>
        <v/>
      </c>
      <c r="X33" s="35">
        <f>IFERROR(IF(U33=0,0,IF(ISNUMBER(SEARCH("[GANADA]",S33)),U33*(IF(ISNUMBER(SEARCH("LOCAL",S33)),F33,IF(ISNUMBER(SEARCH("EMPATE",S33)),G33,H33))-1),IF(ISNUMBER(SEARCH("[PERDIDA]",S33)),-U33,0))),0)+IFERROR(IF(V33=0,0,IF(ISNUMBER(SEARCH("[GANADA]",T33)),V33*(IF(ISNUMBER(SEARCH("OVER",T33)),I33,J33)-1),IF(ISNUMBER(SEARCH("[PERDIDA]",T33)),-V33,0))),0)</f>
        <v/>
      </c>
      <c r="Y33" s="35">
        <f>Y32+X33</f>
        <v/>
      </c>
      <c r="Z33" s="36">
        <f>IF(OR(Q33="",R33=""),"",(L33-IF(Q33&gt;R33,1,0))^2+(M33-IF(Q33=R33,1,0))^2+(N33-IF(Q33&lt;R33,1,0))^2)</f>
        <v/>
      </c>
      <c r="AA33" s="36">
        <f>IF(OR(Q33="",R33="",F33="",F33=0,G33="",G33=0,H33="",H33=0),"",((1/F33/(1/F33+1/G33+1/H33))-IF(Q33&gt;R33,1,0))^2+((1/G33/(1/F33+1/G33+1/H33))-IF(Q33=R33,1,0))^2+((1/H33/(1/F33+1/G33+1/H33))-IF(Q33&lt;R33,1,0))^2)</f>
        <v/>
      </c>
      <c r="AB33" s="37" t="n">
        <v>0.8868</v>
      </c>
      <c r="AC33" s="33" t="inlineStr">
        <is>
          <t>NO</t>
        </is>
      </c>
    </row>
    <row r="34">
      <c r="A34" s="30" t="n">
        <v>46102</v>
      </c>
      <c r="B34" s="31" t="inlineStr">
        <is>
          <t>2026-03-21leedsunitedbrentford</t>
        </is>
      </c>
      <c r="C34" s="31" t="inlineStr">
        <is>
          <t>Leeds United vs Brentford</t>
        </is>
      </c>
      <c r="D34" s="31" t="inlineStr">
        <is>
          <t>Leeds United</t>
        </is>
      </c>
      <c r="E34" s="31" t="inlineStr">
        <is>
          <t>Brentford</t>
        </is>
      </c>
      <c r="F34" s="32" t="n">
        <v>2.58</v>
      </c>
      <c r="G34" s="32" t="n">
        <v>3.56</v>
      </c>
      <c r="H34" s="32" t="n">
        <v>3.05</v>
      </c>
      <c r="I34" s="32" t="n">
        <v>1.93</v>
      </c>
      <c r="J34" s="32" t="n">
        <v>2.04</v>
      </c>
      <c r="K34" s="33" t="inlineStr">
        <is>
          <t>Inglaterra</t>
        </is>
      </c>
      <c r="L34" s="34" t="n">
        <v>0.410723</v>
      </c>
      <c r="M34" s="34" t="n">
        <v>0.176264</v>
      </c>
      <c r="N34" s="34" t="n">
        <v>0.413013</v>
      </c>
      <c r="O34" s="34" t="n">
        <v>0.8550171841694802</v>
      </c>
      <c r="P34" s="34" t="n">
        <v>0.1449828158305197</v>
      </c>
      <c r="Q34" s="33" t="n">
        <v>0</v>
      </c>
      <c r="R34" s="33" t="n">
        <v>0</v>
      </c>
      <c r="S34" s="31" t="inlineStr">
        <is>
          <t>[PASAR] Margen Predictivo Insuficiente (&lt;5%)</t>
        </is>
      </c>
      <c r="T34" s="31">
        <f>IF(OR(Q34="",R34=""),"[APOSTAR] OVER 2.5",IF((Q34+R34)&gt;2.5,"[GANADA] OVER 2.5","[PERDIDA] OVER 2.5"))</f>
        <v/>
      </c>
      <c r="U34" s="35" t="n">
        <v>0</v>
      </c>
      <c r="V34" s="35" t="n">
        <v>1250</v>
      </c>
      <c r="W34" s="31">
        <f>IF(L34="","",IF((MAX(L34,M34,N34)-MEDIAN(L34,M34,N34))&gt;0.05,IF(OR(Q34="",R34=""),"[PREDICCION] "&amp;IF(L34=MAX(L34,M34,N34),"LOCAL",IF(M34=MAX(L34,M34,N34),"EMPATE","VISITA")),IF(L34=MAX(L34,M34,N34),IF(Q34&gt;R34,"[ACIERTO]","[FALLO]"),IF(M34=MAX(L34,M34,N34),IF(Q34=R34,"[ACIERTO]","[FALLO]"),IF(Q34&lt;R34,"[ACIERTO]","[FALLO]")))),"[PASAR] Margen Insuf"))</f>
        <v/>
      </c>
      <c r="X34" s="35">
        <f>IFERROR(IF(U34=0,0,IF(ISNUMBER(SEARCH("[GANADA]",S34)),U34*(IF(ISNUMBER(SEARCH("LOCAL",S34)),F34,IF(ISNUMBER(SEARCH("EMPATE",S34)),G34,H34))-1),IF(ISNUMBER(SEARCH("[PERDIDA]",S34)),-U34,0))),0)+IFERROR(IF(V34=0,0,IF(ISNUMBER(SEARCH("[GANADA]",T34)),V34*(IF(ISNUMBER(SEARCH("OVER",T34)),I34,J34)-1),IF(ISNUMBER(SEARCH("[PERDIDA]",T34)),-V34,0))),0)</f>
        <v/>
      </c>
      <c r="Y34" s="35">
        <f>Y33+X34</f>
        <v/>
      </c>
      <c r="Z34" s="36">
        <f>IF(OR(Q34="",R34=""),"",(L34-IF(Q34&gt;R34,1,0))^2+(M34-IF(Q34=R34,1,0))^2+(N34-IF(Q34&lt;R34,1,0))^2)</f>
        <v/>
      </c>
      <c r="AA34" s="36">
        <f>IF(OR(Q34="",R34="",F34="",F34=0,G34="",G34=0,H34="",H34=0),"",((1/F34/(1/F34+1/G34+1/H34))-IF(Q34&gt;R34,1,0))^2+((1/G34/(1/F34+1/G34+1/H34))-IF(Q34=R34,1,0))^2+((1/H34/(1/F34+1/G34+1/H34))-IF(Q34&lt;R34,1,0))^2)</f>
        <v/>
      </c>
      <c r="AB34" s="37" t="n">
        <v>1.4605</v>
      </c>
      <c r="AC34" s="33" t="inlineStr">
        <is>
          <t>NO</t>
        </is>
      </c>
    </row>
    <row r="35">
      <c r="A35" s="30" t="n">
        <v>46102</v>
      </c>
      <c r="B35" s="31" t="inlineStr">
        <is>
          <t>2026-03-21newellsoldboysgimnasiamendoza</t>
        </is>
      </c>
      <c r="C35" s="31" t="inlineStr">
        <is>
          <t>Newell's Old Boys vs Gimnasia (mendoza)</t>
        </is>
      </c>
      <c r="D35" s="31" t="inlineStr">
        <is>
          <t>Newell's Old Boys</t>
        </is>
      </c>
      <c r="E35" s="31" t="inlineStr">
        <is>
          <t>Gimnasia (mendoza)</t>
        </is>
      </c>
      <c r="F35" s="32" t="n">
        <v>2.38</v>
      </c>
      <c r="G35" s="32" t="n">
        <v>2.98</v>
      </c>
      <c r="H35" s="32" t="n">
        <v>3.5</v>
      </c>
      <c r="I35" s="32" t="n">
        <v>2.92</v>
      </c>
      <c r="J35" s="32" t="n">
        <v>1.39</v>
      </c>
      <c r="K35" s="33" t="inlineStr">
        <is>
          <t>Argentina</t>
        </is>
      </c>
      <c r="L35" s="34" t="n">
        <v>0.3898562093863603</v>
      </c>
      <c r="M35" s="34" t="n">
        <v>0.2324334180400583</v>
      </c>
      <c r="N35" s="34" t="n">
        <v>0.3777103725735813</v>
      </c>
      <c r="O35" s="34" t="n">
        <v>0.6972413909234073</v>
      </c>
      <c r="P35" s="34" t="n">
        <v>0.3027586090765927</v>
      </c>
      <c r="Q35" s="33" t="n">
        <v>1</v>
      </c>
      <c r="R35" s="33" t="n">
        <v>0</v>
      </c>
      <c r="S35" s="31" t="inlineStr">
        <is>
          <t>[PASAR] Margen Predictivo Insuficiente (&lt;5%)</t>
        </is>
      </c>
      <c r="T35" s="31">
        <f>IF(OR(Q35="",R35=""),"[APOSTAR] OVER 2.5",IF((Q35+R35)&gt;2.5,"[GANADA] OVER 2.5","[PERDIDA] OVER 2.5"))</f>
        <v/>
      </c>
      <c r="U35" s="35" t="n">
        <v>0</v>
      </c>
      <c r="V35" s="35" t="n">
        <v>1020.62</v>
      </c>
      <c r="W35" s="31">
        <f>IF(L35="","",IF((MAX(L35,M35,N35)-MEDIAN(L35,M35,N35))&gt;0.05,IF(OR(Q35="",R35=""),"[PREDICCION] "&amp;IF(L35=MAX(L35,M35,N35),"LOCAL",IF(M35=MAX(L35,M35,N35),"EMPATE","VISITA")),IF(L35=MAX(L35,M35,N35),IF(Q35&gt;R35,"[ACIERTO]","[FALLO]"),IF(M35=MAX(L35,M35,N35),IF(Q35=R35,"[ACIERTO]","[FALLO]"),IF(Q35&lt;R35,"[ACIERTO]","[FALLO]")))),"[PASAR] Margen Insuf"))</f>
        <v/>
      </c>
      <c r="X35" s="35">
        <f>IFERROR(IF(U35=0,0,IF(ISNUMBER(SEARCH("[GANADA]",S35)),U35*(IF(ISNUMBER(SEARCH("LOCAL",S35)),F35,IF(ISNUMBER(SEARCH("EMPATE",S35)),G35,H35))-1),IF(ISNUMBER(SEARCH("[PERDIDA]",S35)),-U35,0))),0)+IFERROR(IF(V35=0,0,IF(ISNUMBER(SEARCH("[GANADA]",T35)),V35*(IF(ISNUMBER(SEARCH("OVER",T35)),I35,J35)-1),IF(ISNUMBER(SEARCH("[PERDIDA]",T35)),-V35,0))),0)</f>
        <v/>
      </c>
      <c r="Y35" s="35">
        <f>Y34+X35</f>
        <v/>
      </c>
      <c r="Z35" s="36">
        <f>IF(OR(Q35="",R35=""),"",(L35-IF(Q35&gt;R35,1,0))^2+(M35-IF(Q35=R35,1,0))^2+(N35-IF(Q35&lt;R35,1,0))^2)</f>
        <v/>
      </c>
      <c r="AA35" s="36">
        <f>IF(OR(Q35="",R35="",F35="",F35=0,G35="",G35=0,H35="",H35=0),"",((1/F35/(1/F35+1/G35+1/H35))-IF(Q35&gt;R35,1,0))^2+((1/G35/(1/F35+1/G35+1/H35))-IF(Q35=R35,1,0))^2+((1/H35/(1/F35+1/G35+1/H35))-IF(Q35&lt;R35,1,0))^2)</f>
        <v/>
      </c>
      <c r="AB35" s="37" t="n">
        <v>0.7618</v>
      </c>
      <c r="AC35" s="33" t="inlineStr">
        <is>
          <t>NO</t>
        </is>
      </c>
    </row>
    <row r="36">
      <c r="A36" s="30" t="n">
        <v>46102</v>
      </c>
      <c r="B36" s="31" t="inlineStr">
        <is>
          <t>2026-03-21redbullbragantinobotafogo</t>
        </is>
      </c>
      <c r="C36" s="31" t="inlineStr">
        <is>
          <t>Red Bull Bragantino vs Botafogo</t>
        </is>
      </c>
      <c r="D36" s="31" t="inlineStr">
        <is>
          <t>Red Bull Bragantino</t>
        </is>
      </c>
      <c r="E36" s="31" t="inlineStr">
        <is>
          <t>Botafogo</t>
        </is>
      </c>
      <c r="F36" s="32" t="n">
        <v>2.12</v>
      </c>
      <c r="G36" s="32" t="n">
        <v>3.5</v>
      </c>
      <c r="H36" s="32" t="n">
        <v>3.79</v>
      </c>
      <c r="I36" s="32" t="n">
        <v>2.08</v>
      </c>
      <c r="J36" s="32" t="n">
        <v>1.86</v>
      </c>
      <c r="K36" s="33" t="inlineStr">
        <is>
          <t>Brasil</t>
        </is>
      </c>
      <c r="L36" s="34" t="n">
        <v>0.460806</v>
      </c>
      <c r="M36" s="34" t="n">
        <v>0.186241</v>
      </c>
      <c r="N36" s="34" t="n">
        <v>0.352954</v>
      </c>
      <c r="O36" s="34" t="n">
        <v>0.839057935715959</v>
      </c>
      <c r="P36" s="34" t="n">
        <v>0.1609420642840411</v>
      </c>
      <c r="Q36" s="33" t="n">
        <v>1</v>
      </c>
      <c r="R36" s="33" t="n">
        <v>2</v>
      </c>
      <c r="S36" s="31" t="inlineStr">
        <is>
          <t>[PASAR] Overlap Riesgo (O/U Priorizado)</t>
        </is>
      </c>
      <c r="T36" s="31">
        <f>IF(OR(Q36="",R36=""),"[APOSTAR] OVER 2.5",IF((Q36+R36)&gt;2.5,"[GANADA] OVER 2.5","[PERDIDA] OVER 2.5"))</f>
        <v/>
      </c>
      <c r="U36" s="35" t="n">
        <v>0</v>
      </c>
      <c r="V36" s="35" t="n">
        <v>1767.77</v>
      </c>
      <c r="W36" s="31">
        <f>IF(L36="","",IF((MAX(L36,M36,N36)-MEDIAN(L36,M36,N36))&gt;0.05,IF(OR(Q36="",R36=""),"[PREDICCION] "&amp;IF(L36=MAX(L36,M36,N36),"LOCAL",IF(M36=MAX(L36,M36,N36),"EMPATE","VISITA")),IF(L36=MAX(L36,M36,N36),IF(Q36&gt;R36,"[ACIERTO]","[FALLO]"),IF(M36=MAX(L36,M36,N36),IF(Q36=R36,"[ACIERTO]","[FALLO]"),IF(Q36&lt;R36,"[ACIERTO]","[FALLO]")))),"[PASAR] Margen Insuf"))</f>
        <v/>
      </c>
      <c r="X36" s="35">
        <f>IFERROR(IF(U36=0,0,IF(ISNUMBER(SEARCH("[GANADA]",S36)),U36*(IF(ISNUMBER(SEARCH("LOCAL",S36)),F36,IF(ISNUMBER(SEARCH("EMPATE",S36)),G36,H36))-1),IF(ISNUMBER(SEARCH("[PERDIDA]",S36)),-U36,0))),0)+IFERROR(IF(V36=0,0,IF(ISNUMBER(SEARCH("[GANADA]",T36)),V36*(IF(ISNUMBER(SEARCH("OVER",T36)),I36,J36)-1),IF(ISNUMBER(SEARCH("[PERDIDA]",T36)),-V36,0))),0)</f>
        <v/>
      </c>
      <c r="Y36" s="35">
        <f>Y35+X36</f>
        <v/>
      </c>
      <c r="Z36" s="36">
        <f>IF(OR(Q36="",R36=""),"",(L36-IF(Q36&gt;R36,1,0))^2+(M36-IF(Q36=R36,1,0))^2+(N36-IF(Q36&lt;R36,1,0))^2)</f>
        <v/>
      </c>
      <c r="AA36" s="36">
        <f>IF(OR(Q36="",R36="",F36="",F36=0,G36="",G36=0,H36="",H36=0),"",((1/F36/(1/F36+1/G36+1/H36))-IF(Q36&gt;R36,1,0))^2+((1/G36/(1/F36+1/G36+1/H36))-IF(Q36=R36,1,0))^2+((1/H36/(1/F36+1/G36+1/H36))-IF(Q36&lt;R36,1,0))^2)</f>
        <v/>
      </c>
      <c r="AB36" s="37" t="n">
        <v>1.1826</v>
      </c>
      <c r="AC36" s="33" t="inlineStr">
        <is>
          <t>NO</t>
        </is>
      </c>
    </row>
    <row r="37">
      <c r="A37" s="30" t="n">
        <v>46102</v>
      </c>
      <c r="B37" s="31" t="inlineStr">
        <is>
          <t>2026-03-21velezsarsfieldlanus</t>
        </is>
      </c>
      <c r="C37" s="31" t="inlineStr">
        <is>
          <t>Vélez Sarsfield vs Lanús</t>
        </is>
      </c>
      <c r="D37" s="31" t="inlineStr">
        <is>
          <t>Vélez Sarsfield</t>
        </is>
      </c>
      <c r="E37" s="31" t="inlineStr">
        <is>
          <t>Lanús</t>
        </is>
      </c>
      <c r="F37" s="32" t="n">
        <v>2.2</v>
      </c>
      <c r="G37" s="32" t="n">
        <v>3.1</v>
      </c>
      <c r="H37" s="32" t="n">
        <v>4</v>
      </c>
      <c r="I37" s="32" t="n">
        <v>2.75</v>
      </c>
      <c r="J37" s="32" t="n">
        <v>1.47</v>
      </c>
      <c r="K37" s="33" t="inlineStr">
        <is>
          <t>Argentina</t>
        </is>
      </c>
      <c r="L37" s="34" t="n">
        <v>0.3830967193251311</v>
      </c>
      <c r="M37" s="34" t="n">
        <v>0.2342137286495193</v>
      </c>
      <c r="N37" s="34" t="n">
        <v>0.3826895520253497</v>
      </c>
      <c r="O37" s="34" t="n">
        <v>0.6893754755750047</v>
      </c>
      <c r="P37" s="34" t="n">
        <v>0.3106245244249954</v>
      </c>
      <c r="Q37" s="33" t="n">
        <v>0</v>
      </c>
      <c r="R37" s="33" t="n">
        <v>1</v>
      </c>
      <c r="S37" s="31" t="inlineStr">
        <is>
          <t>[PASAR] Margen Predictivo Insuficiente (&lt;5%)</t>
        </is>
      </c>
      <c r="T37" s="31">
        <f>IF(OR(Q37="",R37=""),"[APOSTAR] OVER 2.5",IF((Q37+R37)&gt;2.5,"[GANADA] OVER 2.5","[PERDIDA] OVER 2.5"))</f>
        <v/>
      </c>
      <c r="U37" s="35" t="n">
        <v>0</v>
      </c>
      <c r="V37" s="35" t="n">
        <v>1020.62</v>
      </c>
      <c r="W37" s="31">
        <f>IF(L37="","",IF((MAX(L37,M37,N37)-MEDIAN(L37,M37,N37))&gt;0.05,IF(OR(Q37="",R37=""),"[PREDICCION] "&amp;IF(L37=MAX(L37,M37,N37),"LOCAL",IF(M37=MAX(L37,M37,N37),"EMPATE","VISITA")),IF(L37=MAX(L37,M37,N37),IF(Q37&gt;R37,"[ACIERTO]","[FALLO]"),IF(M37=MAX(L37,M37,N37),IF(Q37=R37,"[ACIERTO]","[FALLO]"),IF(Q37&lt;R37,"[ACIERTO]","[FALLO]")))),"[PASAR] Margen Insuf"))</f>
        <v/>
      </c>
      <c r="X37" s="35">
        <f>IFERROR(IF(U37=0,0,IF(ISNUMBER(SEARCH("[GANADA]",S37)),U37*(IF(ISNUMBER(SEARCH("LOCAL",S37)),F37,IF(ISNUMBER(SEARCH("EMPATE",S37)),G37,H37))-1),IF(ISNUMBER(SEARCH("[PERDIDA]",S37)),-U37,0))),0)+IFERROR(IF(V37=0,0,IF(ISNUMBER(SEARCH("[GANADA]",T37)),V37*(IF(ISNUMBER(SEARCH("OVER",T37)),I37,J37)-1),IF(ISNUMBER(SEARCH("[PERDIDA]",T37)),-V37,0))),0)</f>
        <v/>
      </c>
      <c r="Y37" s="35">
        <f>Y36+X37</f>
        <v/>
      </c>
      <c r="Z37" s="36">
        <f>IF(OR(Q37="",R37=""),"",(L37-IF(Q37&gt;R37,1,0))^2+(M37-IF(Q37=R37,1,0))^2+(N37-IF(Q37&lt;R37,1,0))^2)</f>
        <v/>
      </c>
      <c r="AA37" s="36">
        <f>IF(OR(Q37="",R37="",F37="",F37=0,G37="",G37=0,H37="",H37=0),"",((1/F37/(1/F37+1/G37+1/H37))-IF(Q37&gt;R37,1,0))^2+((1/G37/(1/F37+1/G37+1/H37))-IF(Q37=R37,1,0))^2+((1/H37/(1/F37+1/G37+1/H37))-IF(Q37&lt;R37,1,0))^2)</f>
        <v/>
      </c>
      <c r="AB37" s="37" t="n">
        <v>0.7766999999999999</v>
      </c>
      <c r="AC37" s="33" t="inlineStr">
        <is>
          <t>NO</t>
        </is>
      </c>
    </row>
    <row r="38">
      <c r="A38" s="30" t="n">
        <v>46102</v>
      </c>
      <c r="B38" s="31" t="inlineStr">
        <is>
          <t>2026-03-21vikingfkmolde</t>
        </is>
      </c>
      <c r="C38" s="31" t="inlineStr">
        <is>
          <t>Viking fk vs Molde</t>
        </is>
      </c>
      <c r="D38" s="31" t="inlineStr">
        <is>
          <t>Viking fk</t>
        </is>
      </c>
      <c r="E38" s="31" t="inlineStr">
        <is>
          <t>Molde</t>
        </is>
      </c>
      <c r="F38" s="32" t="n">
        <v>1.9</v>
      </c>
      <c r="G38" s="32" t="n">
        <v>4.1</v>
      </c>
      <c r="H38" s="32" t="n">
        <v>4.24</v>
      </c>
      <c r="I38" s="32" t="n">
        <v>1.44</v>
      </c>
      <c r="J38" s="32" t="n">
        <v>2.5</v>
      </c>
      <c r="K38" s="33" t="inlineStr">
        <is>
          <t>Noruega</t>
        </is>
      </c>
      <c r="L38" s="34" t="n">
        <v>0.471441</v>
      </c>
      <c r="M38" s="34" t="n">
        <v>0.17831</v>
      </c>
      <c r="N38" s="34" t="n">
        <v>0.350249</v>
      </c>
      <c r="O38" s="34" t="n">
        <v>0.8939984342088939</v>
      </c>
      <c r="P38" s="34" t="n">
        <v>0.1060015657911061</v>
      </c>
      <c r="Q38" s="33" t="n">
        <v>4</v>
      </c>
      <c r="R38" s="33" t="n">
        <v>1</v>
      </c>
      <c r="S38" s="31">
        <f>IF(OR(Q38="",R38=""),"[APOSTAR] VISITA",IF(Q38&lt;R38,"[GANADA] VISITA","[PERDIDA] VISITA"))</f>
        <v/>
      </c>
      <c r="T38" s="31" t="inlineStr">
        <is>
          <t>[PASAR] Overlap Riesgo (1X2 Priorizado)</t>
        </is>
      </c>
      <c r="U38" s="35" t="n">
        <v>1767.77</v>
      </c>
      <c r="V38" s="35" t="n">
        <v>0</v>
      </c>
      <c r="W38" s="31">
        <f>IF(L38="","",IF((MAX(L38,M38,N38)-MEDIAN(L38,M38,N38))&gt;0.05,IF(OR(Q38="",R38=""),"[PREDICCION] "&amp;IF(L38=MAX(L38,M38,N38),"LOCAL",IF(M38=MAX(L38,M38,N38),"EMPATE","VISITA")),IF(L38=MAX(L38,M38,N38),IF(Q38&gt;R38,"[ACIERTO]","[FALLO]"),IF(M38=MAX(L38,M38,N38),IF(Q38=R38,"[ACIERTO]","[FALLO]"),IF(Q38&lt;R38,"[ACIERTO]","[FALLO]")))),"[PASAR] Margen Insuf"))</f>
        <v/>
      </c>
      <c r="X38" s="35">
        <f>IFERROR(IF(U38=0,0,IF(ISNUMBER(SEARCH("[GANADA]",S38)),U38*(IF(ISNUMBER(SEARCH("LOCAL",S38)),F38,IF(ISNUMBER(SEARCH("EMPATE",S38)),G38,H38))-1),IF(ISNUMBER(SEARCH("[PERDIDA]",S38)),-U38,0))),0)+IFERROR(IF(V38=0,0,IF(ISNUMBER(SEARCH("[GANADA]",T38)),V38*(IF(ISNUMBER(SEARCH("OVER",T38)),I38,J38)-1),IF(ISNUMBER(SEARCH("[PERDIDA]",T38)),-V38,0))),0)</f>
        <v/>
      </c>
      <c r="Y38" s="35">
        <f>Y37+X38</f>
        <v/>
      </c>
      <c r="Z38" s="36">
        <f>IF(OR(Q38="",R38=""),"",(L38-IF(Q38&gt;R38,1,0))^2+(M38-IF(Q38=R38,1,0))^2+(N38-IF(Q38&lt;R38,1,0))^2)</f>
        <v/>
      </c>
      <c r="AA38" s="36">
        <f>IF(OR(Q38="",R38="",F38="",F38=0,G38="",G38=0,H38="",H38=0),"",((1/F38/(1/F38+1/G38+1/H38))-IF(Q38&gt;R38,1,0))^2+((1/G38/(1/F38+1/G38+1/H38))-IF(Q38=R38,1,0))^2+((1/H38/(1/F38+1/G38+1/H38))-IF(Q38&lt;R38,1,0))^2)</f>
        <v/>
      </c>
      <c r="AB38" s="37" t="n">
        <v>1.6365</v>
      </c>
      <c r="AC38" s="33" t="inlineStr">
        <is>
          <t>NO</t>
        </is>
      </c>
    </row>
    <row r="39">
      <c r="A39" s="30" t="n">
        <v>46103</v>
      </c>
      <c r="B39" s="31" t="inlineStr">
        <is>
          <t>2026-03-22astonvillawesthamunited</t>
        </is>
      </c>
      <c r="C39" s="31" t="inlineStr">
        <is>
          <t>Aston Villa vs West Ham United</t>
        </is>
      </c>
      <c r="D39" s="31" t="inlineStr">
        <is>
          <t>Aston Villa</t>
        </is>
      </c>
      <c r="E39" s="31" t="inlineStr">
        <is>
          <t>West Ham United</t>
        </is>
      </c>
      <c r="F39" s="32" t="n">
        <v>2.04</v>
      </c>
      <c r="G39" s="32" t="n">
        <v>3.77</v>
      </c>
      <c r="H39" s="32" t="n">
        <v>4.16</v>
      </c>
      <c r="I39" s="32" t="n">
        <v>1.89</v>
      </c>
      <c r="J39" s="32" t="n">
        <v>2.11</v>
      </c>
      <c r="K39" s="33" t="inlineStr">
        <is>
          <t>Inglaterra</t>
        </is>
      </c>
      <c r="L39" s="34" t="n">
        <v>0.457033</v>
      </c>
      <c r="M39" s="34" t="n">
        <v>0.178978</v>
      </c>
      <c r="N39" s="34" t="n">
        <v>0.36399</v>
      </c>
      <c r="O39" s="34" t="n">
        <v>0.8723002232194582</v>
      </c>
      <c r="P39" s="34" t="n">
        <v>0.1276997767805418</v>
      </c>
      <c r="Q39" s="33" t="n">
        <v>2</v>
      </c>
      <c r="R39" s="33" t="n">
        <v>0</v>
      </c>
      <c r="S39" s="31" t="inlineStr">
        <is>
          <t>[PASAR] Riesgo/Beneficio</t>
        </is>
      </c>
      <c r="T39" s="31">
        <f>IF(OR(Q39="",R39=""),"[APOSTAR] OVER 2.5",IF((Q39+R39)&gt;2.5,"[GANADA] OVER 2.5","[PERDIDA] OVER 2.5"))</f>
        <v/>
      </c>
      <c r="U39" s="35" t="n">
        <v>0</v>
      </c>
      <c r="V39" s="35" t="n">
        <v>1443.38</v>
      </c>
      <c r="W39" s="31">
        <f>IF(L39="","",IF((MAX(L39,M39,N39)-MEDIAN(L39,M39,N39))&gt;0.05,IF(OR(Q39="",R39=""),"[PREDICCION] "&amp;IF(L39=MAX(L39,M39,N39),"LOCAL",IF(M39=MAX(L39,M39,N39),"EMPATE","VISITA")),IF(L39=MAX(L39,M39,N39),IF(Q39&gt;R39,"[ACIERTO]","[FALLO]"),IF(M39=MAX(L39,M39,N39),IF(Q39=R39,"[ACIERTO]","[FALLO]"),IF(Q39&lt;R39,"[ACIERTO]","[FALLO]")))),"[PASAR] Margen Insuf"))</f>
        <v/>
      </c>
      <c r="X39" s="35">
        <f>IFERROR(IF(U39=0,0,IF(ISNUMBER(SEARCH("[GANADA]",S39)),U39*(IF(ISNUMBER(SEARCH("LOCAL",S39)),F39,IF(ISNUMBER(SEARCH("EMPATE",S39)),G39,H39))-1),IF(ISNUMBER(SEARCH("[PERDIDA]",S39)),-U39,0))),0)+IFERROR(IF(V39=0,0,IF(ISNUMBER(SEARCH("[GANADA]",T39)),V39*(IF(ISNUMBER(SEARCH("OVER",T39)),I39,J39)-1),IF(ISNUMBER(SEARCH("[PERDIDA]",T39)),-V39,0))),0)</f>
        <v/>
      </c>
      <c r="Y39" s="35">
        <f>Y38+X39</f>
        <v/>
      </c>
      <c r="Z39" s="36">
        <f>IF(OR(Q39="",R39=""),"",(L39-IF(Q39&gt;R39,1,0))^2+(M39-IF(Q39=R39,1,0))^2+(N39-IF(Q39&lt;R39,1,0))^2)</f>
        <v/>
      </c>
      <c r="AA39" s="36">
        <f>IF(OR(Q39="",R39="",F39="",F39=0,G39="",G39=0,H39="",H39=0),"",((1/F39/(1/F39+1/G39+1/H39))-IF(Q39&gt;R39,1,0))^2+((1/G39/(1/F39+1/G39+1/H39))-IF(Q39=R39,1,0))^2+((1/H39/(1/F39+1/G39+1/H39))-IF(Q39&lt;R39,1,0))^2)</f>
        <v/>
      </c>
      <c r="AB39" s="37" t="n">
        <v>1.3296</v>
      </c>
      <c r="AC39" s="33" t="inlineStr">
        <is>
          <t>NO</t>
        </is>
      </c>
    </row>
    <row r="40">
      <c r="A40" s="30" t="n">
        <v>46103</v>
      </c>
      <c r="B40" s="31" t="inlineStr">
        <is>
          <t>2026-03-22athleticoparanaensecoritiba</t>
        </is>
      </c>
      <c r="C40" s="31" t="inlineStr">
        <is>
          <t>Athletico Paranaense vs Coritiba</t>
        </is>
      </c>
      <c r="D40" s="31" t="inlineStr">
        <is>
          <t>Athletico Paranaense</t>
        </is>
      </c>
      <c r="E40" s="31" t="inlineStr">
        <is>
          <t>Coritiba</t>
        </is>
      </c>
      <c r="F40" s="32" t="n">
        <v>2.05</v>
      </c>
      <c r="G40" s="32" t="n">
        <v>3.4</v>
      </c>
      <c r="H40" s="32" t="n">
        <v>4.31</v>
      </c>
      <c r="I40" s="32" t="n">
        <v>2.23</v>
      </c>
      <c r="J40" s="32" t="n">
        <v>1.68</v>
      </c>
      <c r="K40" s="33" t="inlineStr">
        <is>
          <t>Brasil</t>
        </is>
      </c>
      <c r="L40" s="34" t="n">
        <v>0.461213</v>
      </c>
      <c r="M40" s="34" t="n">
        <v>0.178754</v>
      </c>
      <c r="N40" s="34" t="n">
        <v>0.360033</v>
      </c>
      <c r="O40" s="34" t="n">
        <v>0.8726858841120239</v>
      </c>
      <c r="P40" s="34" t="n">
        <v>0.1273141158879761</v>
      </c>
      <c r="Q40" s="33" t="n">
        <v>2</v>
      </c>
      <c r="R40" s="33" t="n">
        <v>0</v>
      </c>
      <c r="S40" s="31" t="inlineStr">
        <is>
          <t>[PASAR] Overlap Riesgo (O/U Priorizado)</t>
        </is>
      </c>
      <c r="T40" s="31">
        <f>IF(OR(Q40="",R40=""),"[APOSTAR] OVER 2.5",IF((Q40+R40)&gt;2.5,"[GANADA] OVER 2.5","[PERDIDA] OVER 2.5"))</f>
        <v/>
      </c>
      <c r="U40" s="35" t="n">
        <v>0</v>
      </c>
      <c r="V40" s="35" t="n">
        <v>883.88</v>
      </c>
      <c r="W40" s="31">
        <f>IF(L40="","",IF((MAX(L40,M40,N40)-MEDIAN(L40,M40,N40))&gt;0.05,IF(OR(Q40="",R40=""),"[PREDICCION] "&amp;IF(L40=MAX(L40,M40,N40),"LOCAL",IF(M40=MAX(L40,M40,N40),"EMPATE","VISITA")),IF(L40=MAX(L40,M40,N40),IF(Q40&gt;R40,"[ACIERTO]","[FALLO]"),IF(M40=MAX(L40,M40,N40),IF(Q40=R40,"[ACIERTO]","[FALLO]"),IF(Q40&lt;R40,"[ACIERTO]","[FALLO]")))),"[PASAR] Margen Insuf"))</f>
        <v/>
      </c>
      <c r="X40" s="35">
        <f>IFERROR(IF(U40=0,0,IF(ISNUMBER(SEARCH("[GANADA]",S40)),U40*(IF(ISNUMBER(SEARCH("LOCAL",S40)),F40,IF(ISNUMBER(SEARCH("EMPATE",S40)),G40,H40))-1),IF(ISNUMBER(SEARCH("[PERDIDA]",S40)),-U40,0))),0)+IFERROR(IF(V40=0,0,IF(ISNUMBER(SEARCH("[GANADA]",T40)),V40*(IF(ISNUMBER(SEARCH("OVER",T40)),I40,J40)-1),IF(ISNUMBER(SEARCH("[PERDIDA]",T40)),-V40,0))),0)</f>
        <v/>
      </c>
      <c r="Y40" s="35">
        <f>Y39+X40</f>
        <v/>
      </c>
      <c r="Z40" s="36">
        <f>IF(OR(Q40="",R40=""),"",(L40-IF(Q40&gt;R40,1,0))^2+(M40-IF(Q40=R40,1,0))^2+(N40-IF(Q40&lt;R40,1,0))^2)</f>
        <v/>
      </c>
      <c r="AA40" s="36">
        <f>IF(OR(Q40="",R40="",F40="",F40=0,G40="",G40=0,H40="",H40=0),"",((1/F40/(1/F40+1/G40+1/H40))-IF(Q40&gt;R40,1,0))^2+((1/G40/(1/F40+1/G40+1/H40))-IF(Q40=R40,1,0))^2+((1/H40/(1/F40+1/G40+1/H40))-IF(Q40&lt;R40,1,0))^2)</f>
        <v/>
      </c>
      <c r="AB40" s="37" t="n">
        <v>1.2496</v>
      </c>
      <c r="AC40" s="33" t="inlineStr">
        <is>
          <t>NO</t>
        </is>
      </c>
    </row>
    <row r="41">
      <c r="A41" s="30" t="n">
        <v>46103</v>
      </c>
      <c r="B41" s="31" t="inlineStr">
        <is>
          <t>2026-03-22belgranocordobaracingclub</t>
        </is>
      </c>
      <c r="C41" s="31" t="inlineStr">
        <is>
          <t>Belgrano (córdoba) vs Racing Club</t>
        </is>
      </c>
      <c r="D41" s="31" t="inlineStr">
        <is>
          <t>Belgrano (córdoba)</t>
        </is>
      </c>
      <c r="E41" s="31" t="inlineStr">
        <is>
          <t>Racing Club</t>
        </is>
      </c>
      <c r="F41" s="32" t="n">
        <v>2.88</v>
      </c>
      <c r="G41" s="32" t="n">
        <v>3.1</v>
      </c>
      <c r="H41" s="32" t="n">
        <v>2.95</v>
      </c>
      <c r="I41" s="32" t="n">
        <v>2.7</v>
      </c>
      <c r="J41" s="32" t="n">
        <v>1.52</v>
      </c>
      <c r="K41" s="33" t="inlineStr">
        <is>
          <t>Argentina</t>
        </is>
      </c>
      <c r="L41" s="34" t="n">
        <v>0.383467530314523</v>
      </c>
      <c r="M41" s="34" t="n">
        <v>0.2386394889662632</v>
      </c>
      <c r="N41" s="34" t="n">
        <v>0.3778929807192137</v>
      </c>
      <c r="O41" s="34" t="n">
        <v>0.6695132949325856</v>
      </c>
      <c r="P41" s="34" t="n">
        <v>0.3304867050674144</v>
      </c>
      <c r="Q41" s="33" t="n">
        <v>1</v>
      </c>
      <c r="R41" s="33" t="n">
        <v>2</v>
      </c>
      <c r="S41" s="31" t="inlineStr">
        <is>
          <t>[PASAR] Margen Predictivo Insuficiente (&lt;5%)</t>
        </is>
      </c>
      <c r="T41" s="31">
        <f>IF(OR(Q41="",R41=""),"[APOSTAR] OVER 2.5",IF((Q41+R41)&gt;2.5,"[GANADA] OVER 2.5","[PERDIDA] OVER 2.5"))</f>
        <v/>
      </c>
      <c r="U41" s="35" t="n">
        <v>0</v>
      </c>
      <c r="V41" s="35" t="n">
        <v>1250</v>
      </c>
      <c r="W41" s="31">
        <f>IF(L41="","",IF((MAX(L41,M41,N41)-MEDIAN(L41,M41,N41))&gt;0.05,IF(OR(Q41="",R41=""),"[PREDICCION] "&amp;IF(L41=MAX(L41,M41,N41),"LOCAL",IF(M41=MAX(L41,M41,N41),"EMPATE","VISITA")),IF(L41=MAX(L41,M41,N41),IF(Q41&gt;R41,"[ACIERTO]","[FALLO]"),IF(M41=MAX(L41,M41,N41),IF(Q41=R41,"[ACIERTO]","[FALLO]"),IF(Q41&lt;R41,"[ACIERTO]","[FALLO]")))),"[PASAR] Margen Insuf"))</f>
        <v/>
      </c>
      <c r="X41" s="35">
        <f>IFERROR(IF(U41=0,0,IF(ISNUMBER(SEARCH("[GANADA]",S41)),U41*(IF(ISNUMBER(SEARCH("LOCAL",S41)),F41,IF(ISNUMBER(SEARCH("EMPATE",S41)),G41,H41))-1),IF(ISNUMBER(SEARCH("[PERDIDA]",S41)),-U41,0))),0)+IFERROR(IF(V41=0,0,IF(ISNUMBER(SEARCH("[GANADA]",T41)),V41*(IF(ISNUMBER(SEARCH("OVER",T41)),I41,J41)-1),IF(ISNUMBER(SEARCH("[PERDIDA]",T41)),-V41,0))),0)</f>
        <v/>
      </c>
      <c r="Y41" s="35">
        <f>Y40+X41</f>
        <v/>
      </c>
      <c r="Z41" s="36">
        <f>IF(OR(Q41="",R41=""),"",(L41-IF(Q41&gt;R41,1,0))^2+(M41-IF(Q41=R41,1,0))^2+(N41-IF(Q41&lt;R41,1,0))^2)</f>
        <v/>
      </c>
      <c r="AA41" s="36">
        <f>IF(OR(Q41="",R41="",F41="",F41=0,G41="",G41=0,H41="",H41=0),"",((1/F41/(1/F41+1/G41+1/H41))-IF(Q41&gt;R41,1,0))^2+((1/G41/(1/F41+1/G41+1/H41))-IF(Q41=R41,1,0))^2+((1/H41/(1/F41+1/G41+1/H41))-IF(Q41&lt;R41,1,0))^2)</f>
        <v/>
      </c>
      <c r="AB41" s="37" t="n">
        <v>0.9419</v>
      </c>
      <c r="AC41" s="33" t="inlineStr">
        <is>
          <t>NO</t>
        </is>
      </c>
    </row>
    <row r="42">
      <c r="A42" s="30" t="n">
        <v>46103</v>
      </c>
      <c r="B42" s="31" t="inlineStr">
        <is>
          <t>2026-03-22bocajuniorsinstitutocordoba</t>
        </is>
      </c>
      <c r="C42" s="31" t="inlineStr">
        <is>
          <t>Boca Juniors vs Instituto (córdoba)</t>
        </is>
      </c>
      <c r="D42" s="31" t="inlineStr">
        <is>
          <t>Boca Juniors</t>
        </is>
      </c>
      <c r="E42" s="31" t="inlineStr">
        <is>
          <t>Instituto (córdoba)</t>
        </is>
      </c>
      <c r="F42" s="32" t="n">
        <v>1.8</v>
      </c>
      <c r="G42" s="32" t="n">
        <v>3.4</v>
      </c>
      <c r="H42" s="32" t="n">
        <v>5.75</v>
      </c>
      <c r="I42" s="32" t="n">
        <v>2.72</v>
      </c>
      <c r="J42" s="32" t="n">
        <v>1.49</v>
      </c>
      <c r="K42" s="33" t="inlineStr">
        <is>
          <t>Argentina</t>
        </is>
      </c>
      <c r="L42" s="34" t="n">
        <v>0.427834</v>
      </c>
      <c r="M42" s="34" t="n">
        <v>0.226523</v>
      </c>
      <c r="N42" s="34" t="n">
        <v>0.345643</v>
      </c>
      <c r="O42" s="34" t="n">
        <v>0.6797895124991777</v>
      </c>
      <c r="P42" s="34" t="n">
        <v>0.3202104875008222</v>
      </c>
      <c r="Q42" s="33" t="n">
        <v>2</v>
      </c>
      <c r="R42" s="33" t="n">
        <v>0</v>
      </c>
      <c r="S42" s="31" t="inlineStr">
        <is>
          <t>[PASAR] Riesgo/Beneficio</t>
        </is>
      </c>
      <c r="T42" s="31">
        <f>IF(OR(Q42="",R42=""),"[APOSTAR] OVER 2.5",IF((Q42+R42)&gt;2.5,"[GANADA] OVER 2.5","[PERDIDA] OVER 2.5"))</f>
        <v/>
      </c>
      <c r="U42" s="35" t="n">
        <v>0</v>
      </c>
      <c r="V42" s="35" t="n">
        <v>1250</v>
      </c>
      <c r="W42" s="31">
        <f>IF(L42="","",IF((MAX(L42,M42,N42)-MEDIAN(L42,M42,N42))&gt;0.05,IF(OR(Q42="",R42=""),"[PREDICCION] "&amp;IF(L42=MAX(L42,M42,N42),"LOCAL",IF(M42=MAX(L42,M42,N42),"EMPATE","VISITA")),IF(L42=MAX(L42,M42,N42),IF(Q42&gt;R42,"[ACIERTO]","[FALLO]"),IF(M42=MAX(L42,M42,N42),IF(Q42=R42,"[ACIERTO]","[FALLO]"),IF(Q42&lt;R42,"[ACIERTO]","[FALLO]")))),"[PASAR] Margen Insuf"))</f>
        <v/>
      </c>
      <c r="X42" s="35">
        <f>IFERROR(IF(U42=0,0,IF(ISNUMBER(SEARCH("[GANADA]",S42)),U42*(IF(ISNUMBER(SEARCH("LOCAL",S42)),F42,IF(ISNUMBER(SEARCH("EMPATE",S42)),G42,H42))-1),IF(ISNUMBER(SEARCH("[PERDIDA]",S42)),-U42,0))),0)+IFERROR(IF(V42=0,0,IF(ISNUMBER(SEARCH("[GANADA]",T42)),V42*(IF(ISNUMBER(SEARCH("OVER",T42)),I42,J42)-1),IF(ISNUMBER(SEARCH("[PERDIDA]",T42)),-V42,0))),0)</f>
        <v/>
      </c>
      <c r="Y42" s="35">
        <f>Y41+X42</f>
        <v/>
      </c>
      <c r="Z42" s="36">
        <f>IF(OR(Q42="",R42=""),"",(L42-IF(Q42&gt;R42,1,0))^2+(M42-IF(Q42=R42,1,0))^2+(N42-IF(Q42&lt;R42,1,0))^2)</f>
        <v/>
      </c>
      <c r="AA42" s="36">
        <f>IF(OR(Q42="",R42="",F42="",F42=0,G42="",G42=0,H42="",H42=0),"",((1/F42/(1/F42+1/G42+1/H42))-IF(Q42&gt;R42,1,0))^2+((1/G42/(1/F42+1/G42+1/H42))-IF(Q42=R42,1,0))^2+((1/H42/(1/F42+1/G42+1/H42))-IF(Q42&lt;R42,1,0))^2)</f>
        <v/>
      </c>
      <c r="AB42" s="37" t="n">
        <v>0.8207</v>
      </c>
      <c r="AC42" s="33" t="inlineStr">
        <is>
          <t>NO</t>
        </is>
      </c>
    </row>
    <row r="43">
      <c r="A43" s="30" t="n">
        <v>46103</v>
      </c>
      <c r="B43" s="31" t="inlineStr">
        <is>
          <t>2026-03-22corinthiansflamengo</t>
        </is>
      </c>
      <c r="C43" s="31" t="inlineStr">
        <is>
          <t>Corinthians vs Flamengo</t>
        </is>
      </c>
      <c r="D43" s="31" t="inlineStr">
        <is>
          <t>Corinthians</t>
        </is>
      </c>
      <c r="E43" s="31" t="inlineStr">
        <is>
          <t>Flamengo</t>
        </is>
      </c>
      <c r="F43" s="32" t="n">
        <v>3.74</v>
      </c>
      <c r="G43" s="32" t="n">
        <v>3.3</v>
      </c>
      <c r="H43" s="32" t="n">
        <v>2.18</v>
      </c>
      <c r="I43" s="32" t="n">
        <v>2.31</v>
      </c>
      <c r="J43" s="32" t="n">
        <v>1.65</v>
      </c>
      <c r="K43" s="33" t="inlineStr">
        <is>
          <t>Brasil</t>
        </is>
      </c>
      <c r="L43" s="34" t="n">
        <v>0.432544</v>
      </c>
      <c r="M43" s="34" t="n">
        <v>0.196098</v>
      </c>
      <c r="N43" s="34" t="n">
        <v>0.371358</v>
      </c>
      <c r="O43" s="34" t="n">
        <v>0.7952252191137013</v>
      </c>
      <c r="P43" s="34" t="n">
        <v>0.2047747808862988</v>
      </c>
      <c r="Q43" s="33" t="n">
        <v>1</v>
      </c>
      <c r="R43" s="33" t="n">
        <v>1</v>
      </c>
      <c r="S43" s="31" t="inlineStr">
        <is>
          <t>[PASAR] Overlap Riesgo (O/U Priorizado)</t>
        </is>
      </c>
      <c r="T43" s="31">
        <f>IF(OR(Q43="",R43=""),"[APOSTAR] OVER 2.5",IF((Q43+R43)&gt;2.5,"[GANADA] OVER 2.5","[PERDIDA] OVER 2.5"))</f>
        <v/>
      </c>
      <c r="U43" s="35" t="n">
        <v>0</v>
      </c>
      <c r="V43" s="35" t="n">
        <v>883.88</v>
      </c>
      <c r="W43" s="31">
        <f>IF(L43="","",IF((MAX(L43,M43,N43)-MEDIAN(L43,M43,N43))&gt;0.05,IF(OR(Q43="",R43=""),"[PREDICCION] "&amp;IF(L43=MAX(L43,M43,N43),"LOCAL",IF(M43=MAX(L43,M43,N43),"EMPATE","VISITA")),IF(L43=MAX(L43,M43,N43),IF(Q43&gt;R43,"[ACIERTO]","[FALLO]"),IF(M43=MAX(L43,M43,N43),IF(Q43=R43,"[ACIERTO]","[FALLO]"),IF(Q43&lt;R43,"[ACIERTO]","[FALLO]")))),"[PASAR] Margen Insuf"))</f>
        <v/>
      </c>
      <c r="X43" s="35">
        <f>IFERROR(IF(U43=0,0,IF(ISNUMBER(SEARCH("[GANADA]",S43)),U43*(IF(ISNUMBER(SEARCH("LOCAL",S43)),F43,IF(ISNUMBER(SEARCH("EMPATE",S43)),G43,H43))-1),IF(ISNUMBER(SEARCH("[PERDIDA]",S43)),-U43,0))),0)+IFERROR(IF(V43=0,0,IF(ISNUMBER(SEARCH("[GANADA]",T43)),V43*(IF(ISNUMBER(SEARCH("OVER",T43)),I43,J43)-1),IF(ISNUMBER(SEARCH("[PERDIDA]",T43)),-V43,0))),0)</f>
        <v/>
      </c>
      <c r="Y43" s="35">
        <f>Y42+X43</f>
        <v/>
      </c>
      <c r="Z43" s="36">
        <f>IF(OR(Q43="",R43=""),"",(L43-IF(Q43&gt;R43,1,0))^2+(M43-IF(Q43=R43,1,0))^2+(N43-IF(Q43&lt;R43,1,0))^2)</f>
        <v/>
      </c>
      <c r="AA43" s="36">
        <f>IF(OR(Q43="",R43="",F43="",F43=0,G43="",G43=0,H43="",H43=0),"",((1/F43/(1/F43+1/G43+1/H43))-IF(Q43&gt;R43,1,0))^2+((1/G43/(1/F43+1/G43+1/H43))-IF(Q43=R43,1,0))^2+((1/H43/(1/F43+1/G43+1/H43))-IF(Q43&lt;R43,1,0))^2)</f>
        <v/>
      </c>
      <c r="AB43" s="37" t="n">
        <v>1.3438</v>
      </c>
      <c r="AC43" s="33" t="inlineStr">
        <is>
          <t>NO</t>
        </is>
      </c>
    </row>
    <row r="44">
      <c r="A44" s="30" t="n">
        <v>46103</v>
      </c>
      <c r="B44" s="31" t="inlineStr">
        <is>
          <t>2026-03-22cruzeirosantos</t>
        </is>
      </c>
      <c r="C44" s="31" t="inlineStr">
        <is>
          <t>Cruzeiro vs Santos</t>
        </is>
      </c>
      <c r="D44" s="31" t="inlineStr">
        <is>
          <t>Cruzeiro</t>
        </is>
      </c>
      <c r="E44" s="31" t="inlineStr">
        <is>
          <t>Santos</t>
        </is>
      </c>
      <c r="F44" s="32" t="n">
        <v>1.94</v>
      </c>
      <c r="G44" s="32" t="n">
        <v>3.6</v>
      </c>
      <c r="H44" s="32" t="n">
        <v>4.42</v>
      </c>
      <c r="I44" s="32" t="n">
        <v>2.05</v>
      </c>
      <c r="J44" s="32" t="n">
        <v>1.81</v>
      </c>
      <c r="K44" s="33" t="inlineStr">
        <is>
          <t>Brasil</t>
        </is>
      </c>
      <c r="L44" s="34" t="n">
        <v>0.478855</v>
      </c>
      <c r="M44" s="34" t="n">
        <v>0.18944</v>
      </c>
      <c r="N44" s="34" t="n">
        <v>0.331705</v>
      </c>
      <c r="O44" s="34" t="n">
        <v>0.819283121571422</v>
      </c>
      <c r="P44" s="34" t="n">
        <v>0.1807168784285779</v>
      </c>
      <c r="Q44" s="33" t="n">
        <v>0</v>
      </c>
      <c r="R44" s="33" t="n">
        <v>0</v>
      </c>
      <c r="S44" s="31" t="inlineStr">
        <is>
          <t>[PASAR] Overlap Riesgo (O/U Priorizado)</t>
        </is>
      </c>
      <c r="T44" s="31">
        <f>IF(OR(Q44="",R44=""),"[APOSTAR] OVER 2.5",IF((Q44+R44)&gt;2.5,"[GANADA] OVER 2.5","[PERDIDA] OVER 2.5"))</f>
        <v/>
      </c>
      <c r="U44" s="35" t="n">
        <v>0</v>
      </c>
      <c r="V44" s="35" t="n">
        <v>883.88</v>
      </c>
      <c r="W44" s="31">
        <f>IF(L44="","",IF((MAX(L44,M44,N44)-MEDIAN(L44,M44,N44))&gt;0.05,IF(OR(Q44="",R44=""),"[PREDICCION] "&amp;IF(L44=MAX(L44,M44,N44),"LOCAL",IF(M44=MAX(L44,M44,N44),"EMPATE","VISITA")),IF(L44=MAX(L44,M44,N44),IF(Q44&gt;R44,"[ACIERTO]","[FALLO]"),IF(M44=MAX(L44,M44,N44),IF(Q44=R44,"[ACIERTO]","[FALLO]"),IF(Q44&lt;R44,"[ACIERTO]","[FALLO]")))),"[PASAR] Margen Insuf"))</f>
        <v/>
      </c>
      <c r="X44" s="35">
        <f>IFERROR(IF(U44=0,0,IF(ISNUMBER(SEARCH("[GANADA]",S44)),U44*(IF(ISNUMBER(SEARCH("LOCAL",S44)),F44,IF(ISNUMBER(SEARCH("EMPATE",S44)),G44,H44))-1),IF(ISNUMBER(SEARCH("[PERDIDA]",S44)),-U44,0))),0)+IFERROR(IF(V44=0,0,IF(ISNUMBER(SEARCH("[GANADA]",T44)),V44*(IF(ISNUMBER(SEARCH("OVER",T44)),I44,J44)-1),IF(ISNUMBER(SEARCH("[PERDIDA]",T44)),-V44,0))),0)</f>
        <v/>
      </c>
      <c r="Y44" s="35">
        <f>Y43+X44</f>
        <v/>
      </c>
      <c r="Z44" s="36">
        <f>IF(OR(Q44="",R44=""),"",(L44-IF(Q44&gt;R44,1,0))^2+(M44-IF(Q44=R44,1,0))^2+(N44-IF(Q44&lt;R44,1,0))^2)</f>
        <v/>
      </c>
      <c r="AA44" s="36">
        <f>IF(OR(Q44="",R44="",F44="",F44=0,G44="",G44=0,H44="",H44=0),"",((1/F44/(1/F44+1/G44+1/H44))-IF(Q44&gt;R44,1,0))^2+((1/G44/(1/F44+1/G44+1/H44))-IF(Q44=R44,1,0))^2+((1/H44/(1/F44+1/G44+1/H44))-IF(Q44&lt;R44,1,0))^2)</f>
        <v/>
      </c>
      <c r="AB44" s="37" t="n">
        <v>1.2662</v>
      </c>
      <c r="AC44" s="33" t="inlineStr">
        <is>
          <t>NO</t>
        </is>
      </c>
    </row>
    <row r="45">
      <c r="A45" s="30" t="n">
        <v>46103</v>
      </c>
      <c r="B45" s="31" t="inlineStr">
        <is>
          <t>2026-03-22estudiantesderiocuartoriverplate</t>
        </is>
      </c>
      <c r="C45" s="31" t="inlineStr">
        <is>
          <t>Estudiantes de Río Cuarto vs River Plate</t>
        </is>
      </c>
      <c r="D45" s="31" t="inlineStr">
        <is>
          <t>Estudiantes de Río Cuarto</t>
        </is>
      </c>
      <c r="E45" s="31" t="inlineStr">
        <is>
          <t>River Plate</t>
        </is>
      </c>
      <c r="F45" s="32" t="n">
        <v>5.96</v>
      </c>
      <c r="G45" s="32" t="n">
        <v>3.55</v>
      </c>
      <c r="H45" s="32" t="n">
        <v>1.75</v>
      </c>
      <c r="I45" s="32" t="n">
        <v>2.38</v>
      </c>
      <c r="J45" s="32" t="n">
        <v>1.64</v>
      </c>
      <c r="K45" s="33" t="inlineStr">
        <is>
          <t>Argentina</t>
        </is>
      </c>
      <c r="L45" s="34" t="n">
        <v>0.345674</v>
      </c>
      <c r="M45" s="34" t="n">
        <v>0.225092</v>
      </c>
      <c r="N45" s="34" t="n">
        <v>0.429234</v>
      </c>
      <c r="O45" s="34" t="n">
        <v>0.6863860244237964</v>
      </c>
      <c r="P45" s="34" t="n">
        <v>0.3136139755762036</v>
      </c>
      <c r="Q45" s="33" t="n">
        <v>0</v>
      </c>
      <c r="R45" s="33" t="n">
        <v>2</v>
      </c>
      <c r="S45" s="31" t="inlineStr">
        <is>
          <t>[PASAR] Riesgo/Beneficio</t>
        </is>
      </c>
      <c r="T45" s="31">
        <f>IF(OR(Q45="",R45=""),"[APOSTAR] OVER 2.5",IF((Q45+R45)&gt;2.5,"[GANADA] OVER 2.5","[PERDIDA] OVER 2.5"))</f>
        <v/>
      </c>
      <c r="U45" s="35" t="n">
        <v>0</v>
      </c>
      <c r="V45" s="35" t="n">
        <v>1250</v>
      </c>
      <c r="W45" s="31">
        <f>IF(L45="","",IF((MAX(L45,M45,N45)-MEDIAN(L45,M45,N45))&gt;0.05,IF(OR(Q45="",R45=""),"[PREDICCION] "&amp;IF(L45=MAX(L45,M45,N45),"LOCAL",IF(M45=MAX(L45,M45,N45),"EMPATE","VISITA")),IF(L45=MAX(L45,M45,N45),IF(Q45&gt;R45,"[ACIERTO]","[FALLO]"),IF(M45=MAX(L45,M45,N45),IF(Q45=R45,"[ACIERTO]","[FALLO]"),IF(Q45&lt;R45,"[ACIERTO]","[FALLO]")))),"[PASAR] Margen Insuf"))</f>
        <v/>
      </c>
      <c r="X45" s="35">
        <f>IFERROR(IF(U45=0,0,IF(ISNUMBER(SEARCH("[GANADA]",S45)),U45*(IF(ISNUMBER(SEARCH("LOCAL",S45)),F45,IF(ISNUMBER(SEARCH("EMPATE",S45)),G45,H45))-1),IF(ISNUMBER(SEARCH("[PERDIDA]",S45)),-U45,0))),0)+IFERROR(IF(V45=0,0,IF(ISNUMBER(SEARCH("[GANADA]",T45)),V45*(IF(ISNUMBER(SEARCH("OVER",T45)),I45,J45)-1),IF(ISNUMBER(SEARCH("[PERDIDA]",T45)),-V45,0))),0)</f>
        <v/>
      </c>
      <c r="Y45" s="35">
        <f>Y44+X45</f>
        <v/>
      </c>
      <c r="Z45" s="36">
        <f>IF(OR(Q45="",R45=""),"",(L45-IF(Q45&gt;R45,1,0))^2+(M45-IF(Q45=R45,1,0))^2+(N45-IF(Q45&lt;R45,1,0))^2)</f>
        <v/>
      </c>
      <c r="AA45" s="36">
        <f>IF(OR(Q45="",R45="",F45="",F45=0,G45="",G45=0,H45="",H45=0),"",((1/F45/(1/F45+1/G45+1/H45))-IF(Q45&gt;R45,1,0))^2+((1/G45/(1/F45+1/G45+1/H45))-IF(Q45=R45,1,0))^2+((1/H45/(1/F45+1/G45+1/H45))-IF(Q45&lt;R45,1,0))^2)</f>
        <v/>
      </c>
      <c r="AB45" s="37" t="n">
        <v>0.9137999999999999</v>
      </c>
      <c r="AC45" s="33" t="inlineStr">
        <is>
          <t>NO</t>
        </is>
      </c>
    </row>
    <row r="46">
      <c r="A46" s="30" t="n">
        <v>46103</v>
      </c>
      <c r="B46" s="31" t="inlineStr">
        <is>
          <t>2026-03-22fredrikstadkfumoslo</t>
        </is>
      </c>
      <c r="C46" s="31" t="inlineStr">
        <is>
          <t>Fredrikstad vs Kfum Oslo</t>
        </is>
      </c>
      <c r="D46" s="31" t="inlineStr">
        <is>
          <t>Fredrikstad</t>
        </is>
      </c>
      <c r="E46" s="31" t="inlineStr">
        <is>
          <t>Kfum Oslo</t>
        </is>
      </c>
      <c r="F46" s="32" t="n">
        <v>2.38</v>
      </c>
      <c r="G46" s="32" t="n">
        <v>3.3</v>
      </c>
      <c r="H46" s="32" t="n">
        <v>3.22</v>
      </c>
      <c r="I46" s="32" t="n">
        <v>2.15</v>
      </c>
      <c r="J46" s="32" t="n">
        <v>1.76</v>
      </c>
      <c r="K46" s="33" t="inlineStr">
        <is>
          <t>Noruega</t>
        </is>
      </c>
      <c r="L46" s="34" t="n">
        <v>0.37983</v>
      </c>
      <c r="M46" s="34" t="n">
        <v>0.182235</v>
      </c>
      <c r="N46" s="34" t="n">
        <v>0.437935</v>
      </c>
      <c r="O46" s="34" t="n">
        <v>0.8836044250835575</v>
      </c>
      <c r="P46" s="34" t="n">
        <v>0.1163955749164425</v>
      </c>
      <c r="Q46" s="33" t="n">
        <v>3</v>
      </c>
      <c r="R46" s="33" t="n">
        <v>1</v>
      </c>
      <c r="S46" s="31" t="inlineStr">
        <is>
          <t>[PASAR] Overlap Riesgo (O/U Priorizado)</t>
        </is>
      </c>
      <c r="T46" s="31">
        <f>IF(OR(Q46="",R46=""),"[APOSTAR] OVER 2.5",IF((Q46+R46)&gt;2.5,"[GANADA] OVER 2.5","[PERDIDA] OVER 2.5"))</f>
        <v/>
      </c>
      <c r="U46" s="35" t="n">
        <v>0</v>
      </c>
      <c r="V46" s="35" t="n">
        <v>1250</v>
      </c>
      <c r="W46" s="31">
        <f>IF(L46="","",IF((MAX(L46,M46,N46)-MEDIAN(L46,M46,N46))&gt;0.05,IF(OR(Q46="",R46=""),"[PREDICCION] "&amp;IF(L46=MAX(L46,M46,N46),"LOCAL",IF(M46=MAX(L46,M46,N46),"EMPATE","VISITA")),IF(L46=MAX(L46,M46,N46),IF(Q46&gt;R46,"[ACIERTO]","[FALLO]"),IF(M46=MAX(L46,M46,N46),IF(Q46=R46,"[ACIERTO]","[FALLO]"),IF(Q46&lt;R46,"[ACIERTO]","[FALLO]")))),"[PASAR] Margen Insuf"))</f>
        <v/>
      </c>
      <c r="X46" s="35">
        <f>IFERROR(IF(U46=0,0,IF(ISNUMBER(SEARCH("[GANADA]",S46)),U46*(IF(ISNUMBER(SEARCH("LOCAL",S46)),F46,IF(ISNUMBER(SEARCH("EMPATE",S46)),G46,H46))-1),IF(ISNUMBER(SEARCH("[PERDIDA]",S46)),-U46,0))),0)+IFERROR(IF(V46=0,0,IF(ISNUMBER(SEARCH("[GANADA]",T46)),V46*(IF(ISNUMBER(SEARCH("OVER",T46)),I46,J46)-1),IF(ISNUMBER(SEARCH("[PERDIDA]",T46)),-V46,0))),0)</f>
        <v/>
      </c>
      <c r="Y46" s="35">
        <f>Y45+X46</f>
        <v/>
      </c>
      <c r="Z46" s="36">
        <f>IF(OR(Q46="",R46=""),"",(L46-IF(Q46&gt;R46,1,0))^2+(M46-IF(Q46=R46,1,0))^2+(N46-IF(Q46&lt;R46,1,0))^2)</f>
        <v/>
      </c>
      <c r="AA46" s="36">
        <f>IF(OR(Q46="",R46="",F46="",F46=0,G46="",G46=0,H46="",H46=0),"",((1/F46/(1/F46+1/G46+1/H46))-IF(Q46&gt;R46,1,0))^2+((1/G46/(1/F46+1/G46+1/H46))-IF(Q46=R46,1,0))^2+((1/H46/(1/F46+1/G46+1/H46))-IF(Q46&lt;R46,1,0))^2)</f>
        <v/>
      </c>
      <c r="AB46" s="37" t="n">
        <v>1.679</v>
      </c>
      <c r="AC46" s="33" t="inlineStr">
        <is>
          <t>NO</t>
        </is>
      </c>
    </row>
    <row r="47">
      <c r="A47" s="30" t="n">
        <v>46103</v>
      </c>
      <c r="B47" s="31" t="inlineStr">
        <is>
          <t>2026-03-22internacionalchapecoense</t>
        </is>
      </c>
      <c r="C47" s="31" t="inlineStr">
        <is>
          <t>Internacional vs Chapecoense</t>
        </is>
      </c>
      <c r="D47" s="31" t="inlineStr">
        <is>
          <t>Internacional</t>
        </is>
      </c>
      <c r="E47" s="31" t="inlineStr">
        <is>
          <t>Chapecoense</t>
        </is>
      </c>
      <c r="F47" s="32" t="n">
        <v>1.6</v>
      </c>
      <c r="G47" s="32" t="n">
        <v>4.36</v>
      </c>
      <c r="H47" s="32" t="n">
        <v>8.199999999999999</v>
      </c>
      <c r="I47" s="32" t="n">
        <v>1.93</v>
      </c>
      <c r="J47" s="32" t="n">
        <v>2.04</v>
      </c>
      <c r="K47" s="33" t="inlineStr">
        <is>
          <t>Brasil</t>
        </is>
      </c>
      <c r="L47" s="34" t="n">
        <v>0.455872</v>
      </c>
      <c r="M47" s="34" t="n">
        <v>0.184136</v>
      </c>
      <c r="N47" s="34" t="n">
        <v>0.359991</v>
      </c>
      <c r="O47" s="34" t="n">
        <v>0.8495928523858028</v>
      </c>
      <c r="P47" s="34" t="n">
        <v>0.1504071476141972</v>
      </c>
      <c r="Q47" s="33" t="n">
        <v>2</v>
      </c>
      <c r="R47" s="33" t="n">
        <v>0</v>
      </c>
      <c r="S47" s="31" t="inlineStr">
        <is>
          <t>[PASAR] Riesgo/Beneficio</t>
        </is>
      </c>
      <c r="T47" s="31">
        <f>IF(OR(Q47="",R47=""),"[APOSTAR] OVER 2.5",IF((Q47+R47)&gt;2.5,"[GANADA] OVER 2.5","[PERDIDA] OVER 2.5"))</f>
        <v/>
      </c>
      <c r="U47" s="35" t="n">
        <v>0</v>
      </c>
      <c r="V47" s="35" t="n">
        <v>883.88</v>
      </c>
      <c r="W47" s="31">
        <f>IF(L47="","",IF((MAX(L47,M47,N47)-MEDIAN(L47,M47,N47))&gt;0.05,IF(OR(Q47="",R47=""),"[PREDICCION] "&amp;IF(L47=MAX(L47,M47,N47),"LOCAL",IF(M47=MAX(L47,M47,N47),"EMPATE","VISITA")),IF(L47=MAX(L47,M47,N47),IF(Q47&gt;R47,"[ACIERTO]","[FALLO]"),IF(M47=MAX(L47,M47,N47),IF(Q47=R47,"[ACIERTO]","[FALLO]"),IF(Q47&lt;R47,"[ACIERTO]","[FALLO]")))),"[PASAR] Margen Insuf"))</f>
        <v/>
      </c>
      <c r="X47" s="35">
        <f>IFERROR(IF(U47=0,0,IF(ISNUMBER(SEARCH("[GANADA]",S47)),U47*(IF(ISNUMBER(SEARCH("LOCAL",S47)),F47,IF(ISNUMBER(SEARCH("EMPATE",S47)),G47,H47))-1),IF(ISNUMBER(SEARCH("[PERDIDA]",S47)),-U47,0))),0)+IFERROR(IF(V47=0,0,IF(ISNUMBER(SEARCH("[GANADA]",T47)),V47*(IF(ISNUMBER(SEARCH("OVER",T47)),I47,J47)-1),IF(ISNUMBER(SEARCH("[PERDIDA]",T47)),-V47,0))),0)</f>
        <v/>
      </c>
      <c r="Y47" s="35">
        <f>Y46+X47</f>
        <v/>
      </c>
      <c r="Z47" s="36">
        <f>IF(OR(Q47="",R47=""),"",(L47-IF(Q47&gt;R47,1,0))^2+(M47-IF(Q47=R47,1,0))^2+(N47-IF(Q47&lt;R47,1,0))^2)</f>
        <v/>
      </c>
      <c r="AA47" s="36">
        <f>IF(OR(Q47="",R47="",F47="",F47=0,G47="",G47=0,H47="",H47=0),"",((1/F47/(1/F47+1/G47+1/H47))-IF(Q47&gt;R47,1,0))^2+((1/G47/(1/F47+1/G47+1/H47))-IF(Q47=R47,1,0))^2+((1/H47/(1/F47+1/G47+1/H47))-IF(Q47&lt;R47,1,0))^2)</f>
        <v/>
      </c>
      <c r="AB47" s="37" t="n">
        <v>1.2876</v>
      </c>
      <c r="AC47" s="33" t="inlineStr">
        <is>
          <t>NO</t>
        </is>
      </c>
    </row>
    <row r="48">
      <c r="A48" s="30" t="n">
        <v>46103</v>
      </c>
      <c r="B48" s="31" t="inlineStr">
        <is>
          <t>2026-03-22newcastleunitedsunderland</t>
        </is>
      </c>
      <c r="C48" s="31" t="inlineStr">
        <is>
          <t>Newcastle United vs Sunderland</t>
        </is>
      </c>
      <c r="D48" s="31" t="inlineStr">
        <is>
          <t>Newcastle United</t>
        </is>
      </c>
      <c r="E48" s="31" t="inlineStr">
        <is>
          <t>Sunderland</t>
        </is>
      </c>
      <c r="F48" s="32" t="n">
        <v>1.74</v>
      </c>
      <c r="G48" s="32" t="n">
        <v>4.2</v>
      </c>
      <c r="H48" s="32" t="n">
        <v>5.6</v>
      </c>
      <c r="I48" s="32" t="n">
        <v>1.96</v>
      </c>
      <c r="J48" s="32" t="n">
        <v>2.02</v>
      </c>
      <c r="K48" s="33" t="inlineStr">
        <is>
          <t>Inglaterra</t>
        </is>
      </c>
      <c r="L48" s="34" t="n">
        <v>0.38216</v>
      </c>
      <c r="M48" s="34" t="n">
        <v>0.179032</v>
      </c>
      <c r="N48" s="34" t="n">
        <v>0.438808</v>
      </c>
      <c r="O48" s="34" t="n">
        <v>0.8735852283973207</v>
      </c>
      <c r="P48" s="34" t="n">
        <v>0.1264147716026793</v>
      </c>
      <c r="Q48" s="33" t="n">
        <v>1</v>
      </c>
      <c r="R48" s="33" t="n">
        <v>2</v>
      </c>
      <c r="S48" s="31">
        <f>IF(OR(Q48="",R48=""),"[APOSTAR] VISITA",IF(Q48&lt;R48,"[GANADA] VISITA","[PERDIDA] VISITA"))</f>
        <v/>
      </c>
      <c r="T48" s="31" t="inlineStr">
        <is>
          <t>[PASAR] Overlap Riesgo (1X2 Priorizado)</t>
        </is>
      </c>
      <c r="U48" s="35" t="n">
        <v>1443.38</v>
      </c>
      <c r="V48" s="35" t="n">
        <v>0</v>
      </c>
      <c r="W48" s="31">
        <f>IF(L48="","",IF((MAX(L48,M48,N48)-MEDIAN(L48,M48,N48))&gt;0.05,IF(OR(Q48="",R48=""),"[PREDICCION] "&amp;IF(L48=MAX(L48,M48,N48),"LOCAL",IF(M48=MAX(L48,M48,N48),"EMPATE","VISITA")),IF(L48=MAX(L48,M48,N48),IF(Q48&gt;R48,"[ACIERTO]","[FALLO]"),IF(M48=MAX(L48,M48,N48),IF(Q48=R48,"[ACIERTO]","[FALLO]"),IF(Q48&lt;R48,"[ACIERTO]","[FALLO]")))),"[PASAR] Margen Insuf"))</f>
        <v/>
      </c>
      <c r="X48" s="35">
        <f>IFERROR(IF(U48=0,0,IF(ISNUMBER(SEARCH("[GANADA]",S48)),U48*(IF(ISNUMBER(SEARCH("LOCAL",S48)),F48,IF(ISNUMBER(SEARCH("EMPATE",S48)),G48,H48))-1),IF(ISNUMBER(SEARCH("[PERDIDA]",S48)),-U48,0))),0)+IFERROR(IF(V48=0,0,IF(ISNUMBER(SEARCH("[GANADA]",T48)),V48*(IF(ISNUMBER(SEARCH("OVER",T48)),I48,J48)-1),IF(ISNUMBER(SEARCH("[PERDIDA]",T48)),-V48,0))),0)</f>
        <v/>
      </c>
      <c r="Y48" s="35">
        <f>Y47+X48</f>
        <v/>
      </c>
      <c r="Z48" s="36">
        <f>IF(OR(Q48="",R48=""),"",(L48-IF(Q48&gt;R48,1,0))^2+(M48-IF(Q48=R48,1,0))^2+(N48-IF(Q48&lt;R48,1,0))^2)</f>
        <v/>
      </c>
      <c r="AA48" s="36">
        <f>IF(OR(Q48="",R48="",F48="",F48=0,G48="",G48=0,H48="",H48=0),"",((1/F48/(1/F48+1/G48+1/H48))-IF(Q48&gt;R48,1,0))^2+((1/G48/(1/F48+1/G48+1/H48))-IF(Q48=R48,1,0))^2+((1/H48/(1/F48+1/G48+1/H48))-IF(Q48&lt;R48,1,0))^2)</f>
        <v/>
      </c>
      <c r="AB48" s="37" t="n">
        <v>1.1922</v>
      </c>
      <c r="AC48" s="33" t="inlineStr">
        <is>
          <t>NO</t>
        </is>
      </c>
    </row>
    <row r="49">
      <c r="A49" s="30" t="n">
        <v>46103</v>
      </c>
      <c r="B49" s="31" t="inlineStr">
        <is>
          <t>2026-03-22remobahia</t>
        </is>
      </c>
      <c r="C49" s="31" t="inlineStr">
        <is>
          <t>Remo vs Bahia</t>
        </is>
      </c>
      <c r="D49" s="31" t="inlineStr">
        <is>
          <t>Remo</t>
        </is>
      </c>
      <c r="E49" s="31" t="inlineStr">
        <is>
          <t>Bahia</t>
        </is>
      </c>
      <c r="F49" s="32" t="n">
        <v>3.69</v>
      </c>
      <c r="G49" s="32" t="n">
        <v>3.5</v>
      </c>
      <c r="H49" s="32" t="n">
        <v>2.28</v>
      </c>
      <c r="I49" s="32" t="n">
        <v>1.96</v>
      </c>
      <c r="J49" s="32" t="n">
        <v>2.01</v>
      </c>
      <c r="K49" s="33" t="inlineStr">
        <is>
          <t>Brasil</t>
        </is>
      </c>
      <c r="L49" s="34" t="n">
        <v>0.477588</v>
      </c>
      <c r="M49" s="34" t="n">
        <v>0.179333</v>
      </c>
      <c r="N49" s="34" t="n">
        <v>0.343079</v>
      </c>
      <c r="O49" s="34" t="n">
        <v>0.8670463931095626</v>
      </c>
      <c r="P49" s="34" t="n">
        <v>0.1329536068904374</v>
      </c>
      <c r="Q49" s="33" t="n">
        <v>4</v>
      </c>
      <c r="R49" s="33" t="n">
        <v>1</v>
      </c>
      <c r="S49" s="31">
        <f>IF(OR(Q49="",R49=""),"[APOSTAR] LOCAL",IF(Q49&gt;R49,"[GANADA] LOCAL","[PERDIDA] LOCAL"))</f>
        <v/>
      </c>
      <c r="T49" s="31" t="inlineStr">
        <is>
          <t>[PASAR] Overlap Riesgo (1X2 Priorizado)</t>
        </is>
      </c>
      <c r="U49" s="35" t="n">
        <v>883.88</v>
      </c>
      <c r="V49" s="35" t="n">
        <v>0</v>
      </c>
      <c r="W49" s="31">
        <f>IF(L49="","",IF((MAX(L49,M49,N49)-MEDIAN(L49,M49,N49))&gt;0.05,IF(OR(Q49="",R49=""),"[PREDICCION] "&amp;IF(L49=MAX(L49,M49,N49),"LOCAL",IF(M49=MAX(L49,M49,N49),"EMPATE","VISITA")),IF(L49=MAX(L49,M49,N49),IF(Q49&gt;R49,"[ACIERTO]","[FALLO]"),IF(M49=MAX(L49,M49,N49),IF(Q49=R49,"[ACIERTO]","[FALLO]"),IF(Q49&lt;R49,"[ACIERTO]","[FALLO]")))),"[PASAR] Margen Insuf"))</f>
        <v/>
      </c>
      <c r="X49" s="35">
        <f>IFERROR(IF(U49=0,0,IF(ISNUMBER(SEARCH("[GANADA]",S49)),U49*(IF(ISNUMBER(SEARCH("LOCAL",S49)),F49,IF(ISNUMBER(SEARCH("EMPATE",S49)),G49,H49))-1),IF(ISNUMBER(SEARCH("[PERDIDA]",S49)),-U49,0))),0)+IFERROR(IF(V49=0,0,IF(ISNUMBER(SEARCH("[GANADA]",T49)),V49*(IF(ISNUMBER(SEARCH("OVER",T49)),I49,J49)-1),IF(ISNUMBER(SEARCH("[PERDIDA]",T49)),-V49,0))),0)</f>
        <v/>
      </c>
      <c r="Y49" s="35">
        <f>Y48+X49</f>
        <v/>
      </c>
      <c r="Z49" s="36">
        <f>IF(OR(Q49="",R49=""),"",(L49-IF(Q49&gt;R49,1,0))^2+(M49-IF(Q49=R49,1,0))^2+(N49-IF(Q49&lt;R49,1,0))^2)</f>
        <v/>
      </c>
      <c r="AA49" s="36">
        <f>IF(OR(Q49="",R49="",F49="",F49=0,G49="",G49=0,H49="",H49=0),"",((1/F49/(1/F49+1/G49+1/H49))-IF(Q49&gt;R49,1,0))^2+((1/G49/(1/F49+1/G49+1/H49))-IF(Q49=R49,1,0))^2+((1/H49/(1/F49+1/G49+1/H49))-IF(Q49&lt;R49,1,0))^2)</f>
        <v/>
      </c>
      <c r="AB49" s="37" t="n">
        <v>1.1624</v>
      </c>
      <c r="AC49" s="33" t="inlineStr">
        <is>
          <t>NO</t>
        </is>
      </c>
    </row>
    <row r="50">
      <c r="A50" s="30" t="n">
        <v>46103</v>
      </c>
      <c r="B50" s="31" t="inlineStr">
        <is>
          <t>2026-03-22rosenborgvalerenga</t>
        </is>
      </c>
      <c r="C50" s="31" t="inlineStr">
        <is>
          <t>Rosenborg vs Valerenga</t>
        </is>
      </c>
      <c r="D50" s="31" t="inlineStr">
        <is>
          <t>Rosenborg</t>
        </is>
      </c>
      <c r="E50" s="31" t="inlineStr">
        <is>
          <t>Valerenga</t>
        </is>
      </c>
      <c r="F50" s="32" t="n">
        <v>2.26</v>
      </c>
      <c r="G50" s="32" t="n">
        <v>3.85</v>
      </c>
      <c r="H50" s="32" t="n">
        <v>3.25</v>
      </c>
      <c r="I50" s="32" t="n">
        <v>1.58</v>
      </c>
      <c r="J50" s="32" t="n">
        <v>2.33</v>
      </c>
      <c r="K50" s="33" t="inlineStr">
        <is>
          <t>Noruega</t>
        </is>
      </c>
      <c r="L50" s="34" t="n">
        <v>0.488638</v>
      </c>
      <c r="M50" s="34" t="n">
        <v>0.174034</v>
      </c>
      <c r="N50" s="34" t="n">
        <v>0.337328</v>
      </c>
      <c r="O50" s="34" t="n">
        <v>0.905433144594896</v>
      </c>
      <c r="P50" s="34" t="n">
        <v>0.09456685540510398</v>
      </c>
      <c r="Q50" s="33" t="n">
        <v>0</v>
      </c>
      <c r="R50" s="33" t="n">
        <v>2</v>
      </c>
      <c r="S50" s="31" t="inlineStr">
        <is>
          <t>[PASAR] Overlap Riesgo (O/U Priorizado)</t>
        </is>
      </c>
      <c r="T50" s="31">
        <f>IF(OR(Q50="",R50=""),"[APOSTAR] OVER 2.5",IF((Q50+R50)&gt;2.5,"[GANADA] OVER 2.5","[PERDIDA] OVER 2.5"))</f>
        <v/>
      </c>
      <c r="U50" s="35" t="n">
        <v>0</v>
      </c>
      <c r="V50" s="35" t="n">
        <v>1250</v>
      </c>
      <c r="W50" s="31">
        <f>IF(L50="","",IF((MAX(L50,M50,N50)-MEDIAN(L50,M50,N50))&gt;0.05,IF(OR(Q50="",R50=""),"[PREDICCION] "&amp;IF(L50=MAX(L50,M50,N50),"LOCAL",IF(M50=MAX(L50,M50,N50),"EMPATE","VISITA")),IF(L50=MAX(L50,M50,N50),IF(Q50&gt;R50,"[ACIERTO]","[FALLO]"),IF(M50=MAX(L50,M50,N50),IF(Q50=R50,"[ACIERTO]","[FALLO]"),IF(Q50&lt;R50,"[ACIERTO]","[FALLO]")))),"[PASAR] Margen Insuf"))</f>
        <v/>
      </c>
      <c r="X50" s="35">
        <f>IFERROR(IF(U50=0,0,IF(ISNUMBER(SEARCH("[GANADA]",S50)),U50*(IF(ISNUMBER(SEARCH("LOCAL",S50)),F50,IF(ISNUMBER(SEARCH("EMPATE",S50)),G50,H50))-1),IF(ISNUMBER(SEARCH("[PERDIDA]",S50)),-U50,0))),0)+IFERROR(IF(V50=0,0,IF(ISNUMBER(SEARCH("[GANADA]",T50)),V50*(IF(ISNUMBER(SEARCH("OVER",T50)),I50,J50)-1),IF(ISNUMBER(SEARCH("[PERDIDA]",T50)),-V50,0))),0)</f>
        <v/>
      </c>
      <c r="Y50" s="35">
        <f>Y49+X50</f>
        <v/>
      </c>
      <c r="Z50" s="36">
        <f>IF(OR(Q50="",R50=""),"",(L50-IF(Q50&gt;R50,1,0))^2+(M50-IF(Q50=R50,1,0))^2+(N50-IF(Q50&lt;R50,1,0))^2)</f>
        <v/>
      </c>
      <c r="AA50" s="36">
        <f>IF(OR(Q50="",R50="",F50="",F50=0,G50="",G50=0,H50="",H50=0),"",((1/F50/(1/F50+1/G50+1/H50))-IF(Q50&gt;R50,1,0))^2+((1/G50/(1/F50+1/G50+1/H50))-IF(Q50=R50,1,0))^2+((1/H50/(1/F50+1/G50+1/H50))-IF(Q50&lt;R50,1,0))^2)</f>
        <v/>
      </c>
      <c r="AB50" s="37" t="n">
        <v>1.8098</v>
      </c>
      <c r="AC50" s="33" t="inlineStr">
        <is>
          <t>NO</t>
        </is>
      </c>
    </row>
    <row r="51">
      <c r="A51" s="30" t="n">
        <v>46103</v>
      </c>
      <c r="B51" s="31" t="inlineStr">
        <is>
          <t>2026-03-22sandefjordsarpsborgfk</t>
        </is>
      </c>
      <c r="C51" s="31" t="inlineStr">
        <is>
          <t>Sandefjord vs Sarpsborg fk</t>
        </is>
      </c>
      <c r="D51" s="31" t="inlineStr">
        <is>
          <t>Sandefjord</t>
        </is>
      </c>
      <c r="E51" s="31" t="inlineStr">
        <is>
          <t>Sarpsborg fk</t>
        </is>
      </c>
      <c r="F51" s="32" t="n">
        <v>2.1</v>
      </c>
      <c r="G51" s="32" t="n">
        <v>4.25</v>
      </c>
      <c r="H51" s="32" t="n">
        <v>3.15</v>
      </c>
      <c r="I51" s="32" t="n">
        <v>1.4</v>
      </c>
      <c r="J51" s="32" t="n">
        <v>2.7</v>
      </c>
      <c r="K51" s="33" t="inlineStr">
        <is>
          <t>Noruega</t>
        </is>
      </c>
      <c r="L51" s="34" t="n">
        <v>0.445716</v>
      </c>
      <c r="M51" s="34" t="n">
        <v>0.175622</v>
      </c>
      <c r="N51" s="34" t="n">
        <v>0.378662</v>
      </c>
      <c r="O51" s="34" t="n">
        <v>0.9055076819692618</v>
      </c>
      <c r="P51" s="34" t="n">
        <v>0.09449231803073818</v>
      </c>
      <c r="Q51" s="33" t="n">
        <v>0</v>
      </c>
      <c r="R51" s="33" t="n">
        <v>2</v>
      </c>
      <c r="S51" s="31" t="inlineStr">
        <is>
          <t>[PASAR] Overlap Riesgo (O/U Priorizado)</t>
        </is>
      </c>
      <c r="T51" s="31">
        <f>IF(OR(Q51="",R51=""),"[APOSTAR] OVER 2.5",IF((Q51+R51)&gt;2.5,"[GANADA] OVER 2.5","[PERDIDA] OVER 2.5"))</f>
        <v/>
      </c>
      <c r="U51" s="35" t="n">
        <v>0</v>
      </c>
      <c r="V51" s="35" t="n">
        <v>1250</v>
      </c>
      <c r="W51" s="31">
        <f>IF(L51="","",IF((MAX(L51,M51,N51)-MEDIAN(L51,M51,N51))&gt;0.05,IF(OR(Q51="",R51=""),"[PREDICCION] "&amp;IF(L51=MAX(L51,M51,N51),"LOCAL",IF(M51=MAX(L51,M51,N51),"EMPATE","VISITA")),IF(L51=MAX(L51,M51,N51),IF(Q51&gt;R51,"[ACIERTO]","[FALLO]"),IF(M51=MAX(L51,M51,N51),IF(Q51=R51,"[ACIERTO]","[FALLO]"),IF(Q51&lt;R51,"[ACIERTO]","[FALLO]")))),"[PASAR] Margen Insuf"))</f>
        <v/>
      </c>
      <c r="X51" s="35">
        <f>IFERROR(IF(U51=0,0,IF(ISNUMBER(SEARCH("[GANADA]",S51)),U51*(IF(ISNUMBER(SEARCH("LOCAL",S51)),F51,IF(ISNUMBER(SEARCH("EMPATE",S51)),G51,H51))-1),IF(ISNUMBER(SEARCH("[PERDIDA]",S51)),-U51,0))),0)+IFERROR(IF(V51=0,0,IF(ISNUMBER(SEARCH("[GANADA]",T51)),V51*(IF(ISNUMBER(SEARCH("OVER",T51)),I51,J51)-1),IF(ISNUMBER(SEARCH("[PERDIDA]",T51)),-V51,0))),0)</f>
        <v/>
      </c>
      <c r="Y51" s="35">
        <f>Y50+X51</f>
        <v/>
      </c>
      <c r="Z51" s="36">
        <f>IF(OR(Q51="",R51=""),"",(L51-IF(Q51&gt;R51,1,0))^2+(M51-IF(Q51=R51,1,0))^2+(N51-IF(Q51&lt;R51,1,0))^2)</f>
        <v/>
      </c>
      <c r="AA51" s="36">
        <f>IF(OR(Q51="",R51="",F51="",F51=0,G51="",G51=0,H51="",H51=0),"",((1/F51/(1/F51+1/G51+1/H51))-IF(Q51&gt;R51,1,0))^2+((1/G51/(1/F51+1/G51+1/H51))-IF(Q51=R51,1,0))^2+((1/H51/(1/F51+1/G51+1/H51))-IF(Q51&lt;R51,1,0))^2)</f>
        <v/>
      </c>
      <c r="AB51" s="37" t="n">
        <v>1.489</v>
      </c>
      <c r="AC51" s="33" t="inlineStr">
        <is>
          <t>NO</t>
        </is>
      </c>
    </row>
    <row r="52">
      <c r="A52" s="30" t="n">
        <v>46103</v>
      </c>
      <c r="B52" s="31" t="inlineStr">
        <is>
          <t>2026-03-22saopaulopalmeiras</t>
        </is>
      </c>
      <c r="C52" s="31" t="inlineStr">
        <is>
          <t>São Paulo vs Palmeiras</t>
        </is>
      </c>
      <c r="D52" s="31" t="inlineStr">
        <is>
          <t>São Paulo</t>
        </is>
      </c>
      <c r="E52" s="31" t="inlineStr">
        <is>
          <t>Palmeiras</t>
        </is>
      </c>
      <c r="F52" s="32" t="n">
        <v>3.01</v>
      </c>
      <c r="G52" s="32" t="n">
        <v>3.25</v>
      </c>
      <c r="H52" s="32" t="n">
        <v>2.77</v>
      </c>
      <c r="I52" s="32" t="n">
        <v>2.12</v>
      </c>
      <c r="J52" s="32" t="n">
        <v>1.76</v>
      </c>
      <c r="K52" s="33" t="inlineStr">
        <is>
          <t>Brasil</t>
        </is>
      </c>
      <c r="L52" s="34" t="n">
        <v>0.432306</v>
      </c>
      <c r="M52" s="34" t="n">
        <v>0.189518</v>
      </c>
      <c r="N52" s="34" t="n">
        <v>0.378176</v>
      </c>
      <c r="O52" s="34" t="n">
        <v>0.8268852038868197</v>
      </c>
      <c r="P52" s="34" t="n">
        <v>0.1731147961131802</v>
      </c>
      <c r="Q52" s="33" t="n">
        <v>0</v>
      </c>
      <c r="R52" s="33" t="n">
        <v>1</v>
      </c>
      <c r="S52" s="31" t="inlineStr">
        <is>
          <t>[PASAR] Overlap Riesgo (O/U Priorizado)</t>
        </is>
      </c>
      <c r="T52" s="31">
        <f>IF(OR(Q52="",R52=""),"[APOSTAR] OVER 2.5",IF((Q52+R52)&gt;2.5,"[GANADA] OVER 2.5","[PERDIDA] OVER 2.5"))</f>
        <v/>
      </c>
      <c r="U52" s="35" t="n">
        <v>0</v>
      </c>
      <c r="V52" s="35" t="n">
        <v>883.88</v>
      </c>
      <c r="W52" s="31">
        <f>IF(L52="","",IF((MAX(L52,M52,N52)-MEDIAN(L52,M52,N52))&gt;0.05,IF(OR(Q52="",R52=""),"[PREDICCION] "&amp;IF(L52=MAX(L52,M52,N52),"LOCAL",IF(M52=MAX(L52,M52,N52),"EMPATE","VISITA")),IF(L52=MAX(L52,M52,N52),IF(Q52&gt;R52,"[ACIERTO]","[FALLO]"),IF(M52=MAX(L52,M52,N52),IF(Q52=R52,"[ACIERTO]","[FALLO]"),IF(Q52&lt;R52,"[ACIERTO]","[FALLO]")))),"[PASAR] Margen Insuf"))</f>
        <v/>
      </c>
      <c r="X52" s="35">
        <f>IFERROR(IF(U52=0,0,IF(ISNUMBER(SEARCH("[GANADA]",S52)),U52*(IF(ISNUMBER(SEARCH("LOCAL",S52)),F52,IF(ISNUMBER(SEARCH("EMPATE",S52)),G52,H52))-1),IF(ISNUMBER(SEARCH("[PERDIDA]",S52)),-U52,0))),0)+IFERROR(IF(V52=0,0,IF(ISNUMBER(SEARCH("[GANADA]",T52)),V52*(IF(ISNUMBER(SEARCH("OVER",T52)),I52,J52)-1),IF(ISNUMBER(SEARCH("[PERDIDA]",T52)),-V52,0))),0)</f>
        <v/>
      </c>
      <c r="Y52" s="35">
        <f>Y51+X52</f>
        <v/>
      </c>
      <c r="Z52" s="36">
        <f>IF(OR(Q52="",R52=""),"",(L52-IF(Q52&gt;R52,1,0))^2+(M52-IF(Q52=R52,1,0))^2+(N52-IF(Q52&lt;R52,1,0))^2)</f>
        <v/>
      </c>
      <c r="AA52" s="36">
        <f>IF(OR(Q52="",R52="",F52="",F52=0,G52="",G52=0,H52="",H52=0),"",((1/F52/(1/F52+1/G52+1/H52))-IF(Q52&gt;R52,1,0))^2+((1/G52/(1/F52+1/G52+1/H52))-IF(Q52=R52,1,0))^2+((1/H52/(1/F52+1/G52+1/H52))-IF(Q52&lt;R52,1,0))^2)</f>
        <v/>
      </c>
      <c r="AB52" s="37" t="n">
        <v>1.2128</v>
      </c>
      <c r="AC52" s="33" t="inlineStr">
        <is>
          <t>NO</t>
        </is>
      </c>
    </row>
    <row r="53">
      <c r="A53" s="30" t="n">
        <v>46103</v>
      </c>
      <c r="B53" s="31" t="inlineStr">
        <is>
          <t>2026-03-22sarmientojuninaldosivi</t>
        </is>
      </c>
      <c r="C53" s="31" t="inlineStr">
        <is>
          <t>Sarmiento (junín) vs Aldosivi</t>
        </is>
      </c>
      <c r="D53" s="31" t="inlineStr">
        <is>
          <t>Sarmiento (junín)</t>
        </is>
      </c>
      <c r="E53" s="31" t="inlineStr">
        <is>
          <t>Aldosivi</t>
        </is>
      </c>
      <c r="F53" s="32" t="n">
        <v>2.26</v>
      </c>
      <c r="G53" s="32" t="n">
        <v>3</v>
      </c>
      <c r="H53" s="32" t="n">
        <v>4</v>
      </c>
      <c r="I53" s="32" t="n">
        <v>3.15</v>
      </c>
      <c r="J53" s="32" t="n">
        <v>1.35</v>
      </c>
      <c r="K53" s="33" t="inlineStr">
        <is>
          <t>Argentina</t>
        </is>
      </c>
      <c r="L53" s="34" t="n">
        <v>0.438684</v>
      </c>
      <c r="M53" s="34" t="n">
        <v>0.228006</v>
      </c>
      <c r="N53" s="34" t="n">
        <v>0.33331</v>
      </c>
      <c r="O53" s="34" t="n">
        <v>0.6708339200603624</v>
      </c>
      <c r="P53" s="34" t="n">
        <v>0.3291660799396376</v>
      </c>
      <c r="Q53" s="33" t="n">
        <v>2</v>
      </c>
      <c r="R53" s="33" t="n">
        <v>0</v>
      </c>
      <c r="S53" s="31" t="inlineStr">
        <is>
          <t>[PASAR] Overlap Riesgo (O/U Priorizado)</t>
        </is>
      </c>
      <c r="T53" s="31">
        <f>IF(OR(Q53="",R53=""),"[APOSTAR] OVER 2.5",IF((Q53+R53)&gt;2.5,"[GANADA] OVER 2.5","[PERDIDA] OVER 2.5"))</f>
        <v/>
      </c>
      <c r="U53" s="35" t="n">
        <v>0</v>
      </c>
      <c r="V53" s="35" t="n">
        <v>1250</v>
      </c>
      <c r="W53" s="31">
        <f>IF(L53="","",IF((MAX(L53,M53,N53)-MEDIAN(L53,M53,N53))&gt;0.05,IF(OR(Q53="",R53=""),"[PREDICCION] "&amp;IF(L53=MAX(L53,M53,N53),"LOCAL",IF(M53=MAX(L53,M53,N53),"EMPATE","VISITA")),IF(L53=MAX(L53,M53,N53),IF(Q53&gt;R53,"[ACIERTO]","[FALLO]"),IF(M53=MAX(L53,M53,N53),IF(Q53=R53,"[ACIERTO]","[FALLO]"),IF(Q53&lt;R53,"[ACIERTO]","[FALLO]")))),"[PASAR] Margen Insuf"))</f>
        <v/>
      </c>
      <c r="X53" s="35">
        <f>IFERROR(IF(U53=0,0,IF(ISNUMBER(SEARCH("[GANADA]",S53)),U53*(IF(ISNUMBER(SEARCH("LOCAL",S53)),F53,IF(ISNUMBER(SEARCH("EMPATE",S53)),G53,H53))-1),IF(ISNUMBER(SEARCH("[PERDIDA]",S53)),-U53,0))),0)+IFERROR(IF(V53=0,0,IF(ISNUMBER(SEARCH("[GANADA]",T53)),V53*(IF(ISNUMBER(SEARCH("OVER",T53)),I53,J53)-1),IF(ISNUMBER(SEARCH("[PERDIDA]",T53)),-V53,0))),0)</f>
        <v/>
      </c>
      <c r="Y53" s="35">
        <f>Y52+X53</f>
        <v/>
      </c>
      <c r="Z53" s="36">
        <f>IF(OR(Q53="",R53=""),"",(L53-IF(Q53&gt;R53,1,0))^2+(M53-IF(Q53=R53,1,0))^2+(N53-IF(Q53&lt;R53,1,0))^2)</f>
        <v/>
      </c>
      <c r="AA53" s="36">
        <f>IF(OR(Q53="",R53="",F53="",F53=0,G53="",G53=0,H53="",H53=0),"",((1/F53/(1/F53+1/G53+1/H53))-IF(Q53&gt;R53,1,0))^2+((1/G53/(1/F53+1/G53+1/H53))-IF(Q53=R53,1,0))^2+((1/H53/(1/F53+1/G53+1/H53))-IF(Q53&lt;R53,1,0))^2)</f>
        <v/>
      </c>
      <c r="AB53" s="37" t="n">
        <v>0.8947000000000001</v>
      </c>
      <c r="AC53" s="33" t="inlineStr">
        <is>
          <t>NO</t>
        </is>
      </c>
    </row>
    <row r="54">
      <c r="A54" s="30" t="n">
        <v>46103</v>
      </c>
      <c r="B54" s="31" t="inlineStr">
        <is>
          <t>2026-03-22skbranntromso</t>
        </is>
      </c>
      <c r="C54" s="31" t="inlineStr">
        <is>
          <t>Sk Brann vs Tromso</t>
        </is>
      </c>
      <c r="D54" s="31" t="inlineStr">
        <is>
          <t>Sk Brann</t>
        </is>
      </c>
      <c r="E54" s="31" t="inlineStr">
        <is>
          <t>Tromso</t>
        </is>
      </c>
      <c r="F54" s="32" t="n">
        <v>2.15</v>
      </c>
      <c r="G54" s="32" t="n">
        <v>3.65</v>
      </c>
      <c r="H54" s="32" t="n">
        <v>3.4</v>
      </c>
      <c r="I54" s="32" t="n">
        <v>1.77</v>
      </c>
      <c r="J54" s="32" t="n">
        <v>2.12</v>
      </c>
      <c r="K54" s="33" t="inlineStr">
        <is>
          <t>Noruega</t>
        </is>
      </c>
      <c r="L54" s="34" t="n">
        <v>0.471744</v>
      </c>
      <c r="M54" s="34" t="n">
        <v>0.179653</v>
      </c>
      <c r="N54" s="34" t="n">
        <v>0.348603</v>
      </c>
      <c r="O54" s="34" t="n">
        <v>0.889287248387998</v>
      </c>
      <c r="P54" s="34" t="n">
        <v>0.1107127516120019</v>
      </c>
      <c r="Q54" s="33" t="n">
        <v>1</v>
      </c>
      <c r="R54" s="33" t="n">
        <v>2</v>
      </c>
      <c r="S54" s="31" t="inlineStr">
        <is>
          <t>[PASAR] Overlap Riesgo (O/U Priorizado)</t>
        </is>
      </c>
      <c r="T54" s="31">
        <f>IF(OR(Q54="",R54=""),"[APOSTAR] OVER 2.5",IF((Q54+R54)&gt;2.5,"[GANADA] OVER 2.5","[PERDIDA] OVER 2.5"))</f>
        <v/>
      </c>
      <c r="U54" s="35" t="n">
        <v>0</v>
      </c>
      <c r="V54" s="35" t="n">
        <v>1250</v>
      </c>
      <c r="W54" s="31">
        <f>IF(L54="","",IF((MAX(L54,M54,N54)-MEDIAN(L54,M54,N54))&gt;0.05,IF(OR(Q54="",R54=""),"[PREDICCION] "&amp;IF(L54=MAX(L54,M54,N54),"LOCAL",IF(M54=MAX(L54,M54,N54),"EMPATE","VISITA")),IF(L54=MAX(L54,M54,N54),IF(Q54&gt;R54,"[ACIERTO]","[FALLO]"),IF(M54=MAX(L54,M54,N54),IF(Q54=R54,"[ACIERTO]","[FALLO]"),IF(Q54&lt;R54,"[ACIERTO]","[FALLO]")))),"[PASAR] Margen Insuf"))</f>
        <v/>
      </c>
      <c r="X54" s="35">
        <f>IFERROR(IF(U54=0,0,IF(ISNUMBER(SEARCH("[GANADA]",S54)),U54*(IF(ISNUMBER(SEARCH("LOCAL",S54)),F54,IF(ISNUMBER(SEARCH("EMPATE",S54)),G54,H54))-1),IF(ISNUMBER(SEARCH("[PERDIDA]",S54)),-U54,0))),0)+IFERROR(IF(V54=0,0,IF(ISNUMBER(SEARCH("[GANADA]",T54)),V54*(IF(ISNUMBER(SEARCH("OVER",T54)),I54,J54)-1),IF(ISNUMBER(SEARCH("[PERDIDA]",T54)),-V54,0))),0)</f>
        <v/>
      </c>
      <c r="Y54" s="35">
        <f>Y53+X54</f>
        <v/>
      </c>
      <c r="Z54" s="36">
        <f>IF(OR(Q54="",R54=""),"",(L54-IF(Q54&gt;R54,1,0))^2+(M54-IF(Q54=R54,1,0))^2+(N54-IF(Q54&lt;R54,1,0))^2)</f>
        <v/>
      </c>
      <c r="AA54" s="36">
        <f>IF(OR(Q54="",R54="",F54="",F54=0,G54="",G54=0,H54="",H54=0),"",((1/F54/(1/F54+1/G54+1/H54))-IF(Q54&gt;R54,1,0))^2+((1/G54/(1/F54+1/G54+1/H54))-IF(Q54=R54,1,0))^2+((1/H54/(1/F54+1/G54+1/H54))-IF(Q54&lt;R54,1,0))^2)</f>
        <v/>
      </c>
      <c r="AB54" s="37" t="n">
        <v>1.645</v>
      </c>
      <c r="AC54" s="33" t="inlineStr">
        <is>
          <t>NO</t>
        </is>
      </c>
    </row>
    <row r="55">
      <c r="A55" s="30" t="n">
        <v>46103</v>
      </c>
      <c r="B55" s="31" t="inlineStr">
        <is>
          <t>2026-03-22tottenhamhotspurnottinghamforest</t>
        </is>
      </c>
      <c r="C55" s="31" t="inlineStr">
        <is>
          <t>Tottenham Hotspur vs Nottingham Forest</t>
        </is>
      </c>
      <c r="D55" s="31" t="inlineStr">
        <is>
          <t>Tottenham Hotspur</t>
        </is>
      </c>
      <c r="E55" s="31" t="inlineStr">
        <is>
          <t>Nottingham Forest</t>
        </is>
      </c>
      <c r="F55" s="32" t="n">
        <v>2.36</v>
      </c>
      <c r="G55" s="32" t="n">
        <v>3.5</v>
      </c>
      <c r="H55" s="32" t="n">
        <v>3.4</v>
      </c>
      <c r="I55" s="32" t="n">
        <v>1.97</v>
      </c>
      <c r="J55" s="32" t="n">
        <v>2.02</v>
      </c>
      <c r="K55" s="33" t="inlineStr">
        <is>
          <t>Inglaterra</t>
        </is>
      </c>
      <c r="L55" s="34" t="n">
        <v>0.358263</v>
      </c>
      <c r="M55" s="34" t="n">
        <v>0.177253</v>
      </c>
      <c r="N55" s="34" t="n">
        <v>0.464484</v>
      </c>
      <c r="O55" s="34" t="n">
        <v>0.8786023326952193</v>
      </c>
      <c r="P55" s="34" t="n">
        <v>0.1213976673047807</v>
      </c>
      <c r="Q55" s="33" t="n">
        <v>0</v>
      </c>
      <c r="R55" s="33" t="n">
        <v>3</v>
      </c>
      <c r="S55" s="31" t="inlineStr">
        <is>
          <t>[PASAR] Overlap Riesgo (O/U Priorizado)</t>
        </is>
      </c>
      <c r="T55" s="31">
        <f>IF(OR(Q55="",R55=""),"[APOSTAR] OVER 2.5",IF((Q55+R55)&gt;2.5,"[GANADA] OVER 2.5","[PERDIDA] OVER 2.5"))</f>
        <v/>
      </c>
      <c r="U55" s="35" t="n">
        <v>0</v>
      </c>
      <c r="V55" s="35" t="n">
        <v>1443.38</v>
      </c>
      <c r="W55" s="31">
        <f>IF(L55="","",IF((MAX(L55,M55,N55)-MEDIAN(L55,M55,N55))&gt;0.05,IF(OR(Q55="",R55=""),"[PREDICCION] "&amp;IF(L55=MAX(L55,M55,N55),"LOCAL",IF(M55=MAX(L55,M55,N55),"EMPATE","VISITA")),IF(L55=MAX(L55,M55,N55),IF(Q55&gt;R55,"[ACIERTO]","[FALLO]"),IF(M55=MAX(L55,M55,N55),IF(Q55=R55,"[ACIERTO]","[FALLO]"),IF(Q55&lt;R55,"[ACIERTO]","[FALLO]")))),"[PASAR] Margen Insuf"))</f>
        <v/>
      </c>
      <c r="X55" s="35">
        <f>IFERROR(IF(U55=0,0,IF(ISNUMBER(SEARCH("[GANADA]",S55)),U55*(IF(ISNUMBER(SEARCH("LOCAL",S55)),F55,IF(ISNUMBER(SEARCH("EMPATE",S55)),G55,H55))-1),IF(ISNUMBER(SEARCH("[PERDIDA]",S55)),-U55,0))),0)+IFERROR(IF(V55=0,0,IF(ISNUMBER(SEARCH("[GANADA]",T55)),V55*(IF(ISNUMBER(SEARCH("OVER",T55)),I55,J55)-1),IF(ISNUMBER(SEARCH("[PERDIDA]",T55)),-V55,0))),0)</f>
        <v/>
      </c>
      <c r="Y55" s="35">
        <f>Y54+X55</f>
        <v/>
      </c>
      <c r="Z55" s="36">
        <f>IF(OR(Q55="",R55=""),"",(L55-IF(Q55&gt;R55,1,0))^2+(M55-IF(Q55=R55,1,0))^2+(N55-IF(Q55&lt;R55,1,0))^2)</f>
        <v/>
      </c>
      <c r="AA55" s="36">
        <f>IF(OR(Q55="",R55="",F55="",F55=0,G55="",G55=0,H55="",H55=0),"",((1/F55/(1/F55+1/G55+1/H55))-IF(Q55&gt;R55,1,0))^2+((1/G55/(1/F55+1/G55+1/H55))-IF(Q55=R55,1,0))^2+((1/H55/(1/F55+1/G55+1/H55))-IF(Q55&lt;R55,1,0))^2)</f>
        <v/>
      </c>
      <c r="AB55" s="37" t="n">
        <v>1.2442</v>
      </c>
      <c r="AC55" s="33" t="inlineStr">
        <is>
          <t>NO</t>
        </is>
      </c>
    </row>
    <row r="56">
      <c r="A56" s="30" t="n">
        <v>46103</v>
      </c>
      <c r="B56" s="31" t="inlineStr">
        <is>
          <t>2026-03-22vascodagamagremio</t>
        </is>
      </c>
      <c r="C56" s="31" t="inlineStr">
        <is>
          <t>Vasco da Gama vs Grêmio</t>
        </is>
      </c>
      <c r="D56" s="31" t="inlineStr">
        <is>
          <t>Vasco da Gama</t>
        </is>
      </c>
      <c r="E56" s="31" t="inlineStr">
        <is>
          <t>Grêmio</t>
        </is>
      </c>
      <c r="F56" s="32" t="n">
        <v>2.08</v>
      </c>
      <c r="G56" s="32" t="n">
        <v>3.6</v>
      </c>
      <c r="H56" s="32" t="n">
        <v>3.9</v>
      </c>
      <c r="I56" s="32" t="n">
        <v>2</v>
      </c>
      <c r="J56" s="32" t="n">
        <v>1.94</v>
      </c>
      <c r="K56" s="33" t="inlineStr">
        <is>
          <t>Brasil</t>
        </is>
      </c>
      <c r="L56" s="34" t="n">
        <v>0.431107</v>
      </c>
      <c r="M56" s="34" t="n">
        <v>0.187817</v>
      </c>
      <c r="N56" s="34" t="n">
        <v>0.381076</v>
      </c>
      <c r="O56" s="34" t="n">
        <v>0.8348536092852887</v>
      </c>
      <c r="P56" s="34" t="n">
        <v>0.1651463907147113</v>
      </c>
      <c r="Q56" s="33" t="n">
        <v>2</v>
      </c>
      <c r="R56" s="33" t="n">
        <v>1</v>
      </c>
      <c r="S56" s="31" t="inlineStr">
        <is>
          <t>[PASAR] Overlap Riesgo (O/U Priorizado)</t>
        </is>
      </c>
      <c r="T56" s="31">
        <f>IF(OR(Q56="",R56=""),"[APOSTAR] OVER 2.5",IF((Q56+R56)&gt;2.5,"[GANADA] OVER 2.5","[PERDIDA] OVER 2.5"))</f>
        <v/>
      </c>
      <c r="U56" s="35" t="n">
        <v>0</v>
      </c>
      <c r="V56" s="35" t="n">
        <v>883.88</v>
      </c>
      <c r="W56" s="31">
        <f>IF(L56="","",IF((MAX(L56,M56,N56)-MEDIAN(L56,M56,N56))&gt;0.05,IF(OR(Q56="",R56=""),"[PREDICCION] "&amp;IF(L56=MAX(L56,M56,N56),"LOCAL",IF(M56=MAX(L56,M56,N56),"EMPATE","VISITA")),IF(L56=MAX(L56,M56,N56),IF(Q56&gt;R56,"[ACIERTO]","[FALLO]"),IF(M56=MAX(L56,M56,N56),IF(Q56=R56,"[ACIERTO]","[FALLO]"),IF(Q56&lt;R56,"[ACIERTO]","[FALLO]")))),"[PASAR] Margen Insuf"))</f>
        <v/>
      </c>
      <c r="X56" s="35">
        <f>IFERROR(IF(U56=0,0,IF(ISNUMBER(SEARCH("[GANADA]",S56)),U56*(IF(ISNUMBER(SEARCH("LOCAL",S56)),F56,IF(ISNUMBER(SEARCH("EMPATE",S56)),G56,H56))-1),IF(ISNUMBER(SEARCH("[PERDIDA]",S56)),-U56,0))),0)+IFERROR(IF(V56=0,0,IF(ISNUMBER(SEARCH("[GANADA]",T56)),V56*(IF(ISNUMBER(SEARCH("OVER",T56)),I56,J56)-1),IF(ISNUMBER(SEARCH("[PERDIDA]",T56)),-V56,0))),0)</f>
        <v/>
      </c>
      <c r="Y56" s="35">
        <f>Y55+X56</f>
        <v/>
      </c>
      <c r="Z56" s="36">
        <f>IF(OR(Q56="",R56=""),"",(L56-IF(Q56&gt;R56,1,0))^2+(M56-IF(Q56=R56,1,0))^2+(N56-IF(Q56&lt;R56,1,0))^2)</f>
        <v/>
      </c>
      <c r="AA56" s="36">
        <f>IF(OR(Q56="",R56="",F56="",F56=0,G56="",G56=0,H56="",H56=0),"",((1/F56/(1/F56+1/G56+1/H56))-IF(Q56&gt;R56,1,0))^2+((1/G56/(1/F56+1/G56+1/H56))-IF(Q56=R56,1,0))^2+((1/H56/(1/F56+1/G56+1/H56))-IF(Q56&lt;R56,1,0))^2)</f>
        <v/>
      </c>
      <c r="AB56" s="37" t="n">
        <v>1.0964</v>
      </c>
      <c r="AC56" s="33" t="inlineStr">
        <is>
          <t>NO</t>
        </is>
      </c>
    </row>
    <row r="57">
      <c r="A57" s="30" t="n">
        <v>46103</v>
      </c>
      <c r="B57" s="31" t="inlineStr">
        <is>
          <t>2026-03-22vitoriamirassol</t>
        </is>
      </c>
      <c r="C57" s="31" t="inlineStr">
        <is>
          <t>Vitória vs Mirassol</t>
        </is>
      </c>
      <c r="D57" s="31" t="inlineStr">
        <is>
          <t>Vitória</t>
        </is>
      </c>
      <c r="E57" s="31" t="inlineStr">
        <is>
          <t>Mirassol</t>
        </is>
      </c>
      <c r="F57" s="32" t="n">
        <v>2.55</v>
      </c>
      <c r="G57" s="32" t="n">
        <v>3.4</v>
      </c>
      <c r="H57" s="32" t="n">
        <v>3.03</v>
      </c>
      <c r="I57" s="32" t="n">
        <v>2.07</v>
      </c>
      <c r="J57" s="32" t="n">
        <v>1.81</v>
      </c>
      <c r="K57" s="33" t="inlineStr">
        <is>
          <t>Brasil</t>
        </is>
      </c>
      <c r="L57" s="34" t="n">
        <v>0.466681</v>
      </c>
      <c r="M57" s="34" t="n">
        <v>0.189065</v>
      </c>
      <c r="N57" s="34" t="n">
        <v>0.344254</v>
      </c>
      <c r="O57" s="34" t="n">
        <v>0.8243997832457766</v>
      </c>
      <c r="P57" s="34" t="n">
        <v>0.1756002167542235</v>
      </c>
      <c r="Q57" s="33" t="n">
        <v>1</v>
      </c>
      <c r="R57" s="33" t="n">
        <v>0</v>
      </c>
      <c r="S57" s="31" t="inlineStr">
        <is>
          <t>[PASAR] Overlap Riesgo (O/U Priorizado)</t>
        </is>
      </c>
      <c r="T57" s="31">
        <f>IF(OR(Q57="",R57=""),"[APOSTAR] OVER 2.5",IF((Q57+R57)&gt;2.5,"[GANADA] OVER 2.5","[PERDIDA] OVER 2.5"))</f>
        <v/>
      </c>
      <c r="U57" s="35" t="n">
        <v>0</v>
      </c>
      <c r="V57" s="35" t="n">
        <v>883.88</v>
      </c>
      <c r="W57" s="31">
        <f>IF(L57="","",IF((MAX(L57,M57,N57)-MEDIAN(L57,M57,N57))&gt;0.05,IF(OR(Q57="",R57=""),"[PREDICCION] "&amp;IF(L57=MAX(L57,M57,N57),"LOCAL",IF(M57=MAX(L57,M57,N57),"EMPATE","VISITA")),IF(L57=MAX(L57,M57,N57),IF(Q57&gt;R57,"[ACIERTO]","[FALLO]"),IF(M57=MAX(L57,M57,N57),IF(Q57=R57,"[ACIERTO]","[FALLO]"),IF(Q57&lt;R57,"[ACIERTO]","[FALLO]")))),"[PASAR] Margen Insuf"))</f>
        <v/>
      </c>
      <c r="X57" s="35">
        <f>IFERROR(IF(U57=0,0,IF(ISNUMBER(SEARCH("[GANADA]",S57)),U57*(IF(ISNUMBER(SEARCH("LOCAL",S57)),F57,IF(ISNUMBER(SEARCH("EMPATE",S57)),G57,H57))-1),IF(ISNUMBER(SEARCH("[PERDIDA]",S57)),-U57,0))),0)+IFERROR(IF(V57=0,0,IF(ISNUMBER(SEARCH("[GANADA]",T57)),V57*(IF(ISNUMBER(SEARCH("OVER",T57)),I57,J57)-1),IF(ISNUMBER(SEARCH("[PERDIDA]",T57)),-V57,0))),0)</f>
        <v/>
      </c>
      <c r="Y57" s="35">
        <f>Y56+X57</f>
        <v/>
      </c>
      <c r="Z57" s="36">
        <f>IF(OR(Q57="",R57=""),"",(L57-IF(Q57&gt;R57,1,0))^2+(M57-IF(Q57=R57,1,0))^2+(N57-IF(Q57&lt;R57,1,0))^2)</f>
        <v/>
      </c>
      <c r="AA57" s="36">
        <f>IF(OR(Q57="",R57="",F57="",F57=0,G57="",G57=0,H57="",H57=0),"",((1/F57/(1/F57+1/G57+1/H57))-IF(Q57&gt;R57,1,0))^2+((1/G57/(1/F57+1/G57+1/H57))-IF(Q57=R57,1,0))^2+((1/H57/(1/F57+1/G57+1/H57))-IF(Q57&lt;R57,1,0))^2)</f>
        <v/>
      </c>
      <c r="AB57" s="37" t="n">
        <v>1.1647</v>
      </c>
      <c r="AC57" s="33" t="inlineStr">
        <is>
          <t>NO</t>
        </is>
      </c>
    </row>
    <row r="58">
      <c r="A58" s="30" t="n">
        <v>46104</v>
      </c>
      <c r="B58" s="31" t="inlineStr">
        <is>
          <t>2026-03-23argentinosjuniorsplatense</t>
        </is>
      </c>
      <c r="C58" s="31" t="inlineStr">
        <is>
          <t>Argentinos Juniors vs Platense</t>
        </is>
      </c>
      <c r="D58" s="31" t="inlineStr">
        <is>
          <t>Argentinos Juniors</t>
        </is>
      </c>
      <c r="E58" s="31" t="inlineStr">
        <is>
          <t>Platense</t>
        </is>
      </c>
      <c r="F58" s="32" t="n">
        <v>1.79</v>
      </c>
      <c r="G58" s="32" t="n">
        <v>3.4</v>
      </c>
      <c r="H58" s="32" t="n">
        <v>5.95</v>
      </c>
      <c r="I58" s="32" t="n">
        <v>2.72</v>
      </c>
      <c r="J58" s="32" t="n">
        <v>1.44</v>
      </c>
      <c r="K58" s="33" t="inlineStr">
        <is>
          <t>Argentina</t>
        </is>
      </c>
      <c r="L58" s="34" t="n">
        <v>0.435806</v>
      </c>
      <c r="M58" s="34" t="n">
        <v>0.229499</v>
      </c>
      <c r="N58" s="34" t="n">
        <v>0.334695</v>
      </c>
      <c r="O58" s="34" t="n">
        <v>0.6642844500495885</v>
      </c>
      <c r="P58" s="34" t="n">
        <v>0.3357155499504115</v>
      </c>
      <c r="Q58" s="33" t="n">
        <v>1</v>
      </c>
      <c r="R58" s="33" t="n">
        <v>0</v>
      </c>
      <c r="S58" s="31" t="inlineStr">
        <is>
          <t>[PASAR] Riesgo/Beneficio</t>
        </is>
      </c>
      <c r="T58" s="31">
        <f>IF(OR(Q58="",R58=""),"[APOSTAR] OVER 2.5",IF((Q58+R58)&gt;2.5,"[GANADA] OVER 2.5","[PERDIDA] OVER 2.5"))</f>
        <v/>
      </c>
      <c r="U58" s="35" t="n">
        <v>0</v>
      </c>
      <c r="V58" s="35" t="n">
        <v>1443.38</v>
      </c>
      <c r="W58" s="31">
        <f>IF(L58="","",IF((MAX(L58,M58,N58)-MEDIAN(L58,M58,N58))&gt;0.05,IF(OR(Q58="",R58=""),"[PREDICCION] "&amp;IF(L58=MAX(L58,M58,N58),"LOCAL",IF(M58=MAX(L58,M58,N58),"EMPATE","VISITA")),IF(L58=MAX(L58,M58,N58),IF(Q58&gt;R58,"[ACIERTO]","[FALLO]"),IF(M58=MAX(L58,M58,N58),IF(Q58=R58,"[ACIERTO]","[FALLO]"),IF(Q58&lt;R58,"[ACIERTO]","[FALLO]")))),"[PASAR] Margen Insuf"))</f>
        <v/>
      </c>
      <c r="X58" s="35">
        <f>IFERROR(IF(U58=0,0,IF(ISNUMBER(SEARCH("[GANADA]",S58)),U58*(IF(ISNUMBER(SEARCH("LOCAL",S58)),F58,IF(ISNUMBER(SEARCH("EMPATE",S58)),G58,H58))-1),IF(ISNUMBER(SEARCH("[PERDIDA]",S58)),-U58,0))),0)+IFERROR(IF(V58=0,0,IF(ISNUMBER(SEARCH("[GANADA]",T58)),V58*(IF(ISNUMBER(SEARCH("OVER",T58)),I58,J58)-1),IF(ISNUMBER(SEARCH("[PERDIDA]",T58)),-V58,0))),0)</f>
        <v/>
      </c>
      <c r="Y58" s="35">
        <f>Y57+X58</f>
        <v/>
      </c>
      <c r="Z58" s="36">
        <f>IF(OR(Q58="",R58=""),"",(L58-IF(Q58&gt;R58,1,0))^2+(M58-IF(Q58=R58,1,0))^2+(N58-IF(Q58&lt;R58,1,0))^2)</f>
        <v/>
      </c>
      <c r="AA58" s="36">
        <f>IF(OR(Q58="",R58="",F58="",F58=0,G58="",G58=0,H58="",H58=0),"",((1/F58/(1/F58+1/G58+1/H58))-IF(Q58&gt;R58,1,0))^2+((1/G58/(1/F58+1/G58+1/H58))-IF(Q58=R58,1,0))^2+((1/H58/(1/F58+1/G58+1/H58))-IF(Q58&lt;R58,1,0))^2)</f>
        <v/>
      </c>
      <c r="AB58" s="37" t="n">
        <v>0.9829</v>
      </c>
      <c r="AC58" s="33" t="inlineStr">
        <is>
          <t>NO</t>
        </is>
      </c>
    </row>
    <row r="59">
      <c r="A59" s="30" t="n">
        <v>46104</v>
      </c>
      <c r="B59" s="31" t="inlineStr">
        <is>
          <t>2026-03-23estudiantesdelaplatacentralcordobasantiagodelestero</t>
        </is>
      </c>
      <c r="C59" s="31" t="inlineStr">
        <is>
          <t>Estudiantes de la Plata vs Central Córdoba (santiago del Estero)</t>
        </is>
      </c>
      <c r="D59" s="31" t="inlineStr">
        <is>
          <t>Estudiantes de la Plata</t>
        </is>
      </c>
      <c r="E59" s="31" t="inlineStr">
        <is>
          <t>Central Córdoba (santiago del Estero)</t>
        </is>
      </c>
      <c r="F59" s="32" t="n">
        <v>1.56</v>
      </c>
      <c r="G59" s="32" t="n">
        <v>4.05</v>
      </c>
      <c r="H59" s="32" t="n">
        <v>7.4</v>
      </c>
      <c r="I59" s="32" t="n">
        <v>2.52</v>
      </c>
      <c r="J59" s="32" t="n">
        <v>1.55</v>
      </c>
      <c r="K59" s="33" t="inlineStr">
        <is>
          <t>Argentina</t>
        </is>
      </c>
      <c r="L59" s="34" t="n">
        <v>0.514096</v>
      </c>
      <c r="M59" s="34" t="n">
        <v>0.210545</v>
      </c>
      <c r="N59" s="34" t="n">
        <v>0.275359</v>
      </c>
      <c r="O59" s="34" t="n">
        <v>0.7248856060553114</v>
      </c>
      <c r="P59" s="34" t="n">
        <v>0.2751143939446887</v>
      </c>
      <c r="Q59" s="33" t="n">
        <v>5</v>
      </c>
      <c r="R59" s="33" t="n">
        <v>0</v>
      </c>
      <c r="S59" s="31" t="inlineStr">
        <is>
          <t>[PASAR] Riesgo/Beneficio</t>
        </is>
      </c>
      <c r="T59" s="31">
        <f>IF(OR(Q59="",R59=""),"[APOSTAR] OVER 2.5",IF((Q59+R59)&gt;2.5,"[GANADA] OVER 2.5","[PERDIDA] OVER 2.5"))</f>
        <v/>
      </c>
      <c r="U59" s="35" t="n">
        <v>0</v>
      </c>
      <c r="V59" s="35" t="n">
        <v>1443.38</v>
      </c>
      <c r="W59" s="31">
        <f>IF(L59="","",IF((MAX(L59,M59,N59)-MEDIAN(L59,M59,N59))&gt;0.05,IF(OR(Q59="",R59=""),"[PREDICCION] "&amp;IF(L59=MAX(L59,M59,N59),"LOCAL",IF(M59=MAX(L59,M59,N59),"EMPATE","VISITA")),IF(L59=MAX(L59,M59,N59),IF(Q59&gt;R59,"[ACIERTO]","[FALLO]"),IF(M59=MAX(L59,M59,N59),IF(Q59=R59,"[ACIERTO]","[FALLO]"),IF(Q59&lt;R59,"[ACIERTO]","[FALLO]")))),"[PASAR] Margen Insuf"))</f>
        <v/>
      </c>
      <c r="X59" s="35">
        <f>IFERROR(IF(U59=0,0,IF(ISNUMBER(SEARCH("[GANADA]",S59)),U59*(IF(ISNUMBER(SEARCH("LOCAL",S59)),F59,IF(ISNUMBER(SEARCH("EMPATE",S59)),G59,H59))-1),IF(ISNUMBER(SEARCH("[PERDIDA]",S59)),-U59,0))),0)+IFERROR(IF(V59=0,0,IF(ISNUMBER(SEARCH("[GANADA]",T59)),V59*(IF(ISNUMBER(SEARCH("OVER",T59)),I59,J59)-1),IF(ISNUMBER(SEARCH("[PERDIDA]",T59)),-V59,0))),0)</f>
        <v/>
      </c>
      <c r="Y59" s="35">
        <f>Y58+X59</f>
        <v/>
      </c>
      <c r="Z59" s="36">
        <f>IF(OR(Q59="",R59=""),"",(L59-IF(Q59&gt;R59,1,0))^2+(M59-IF(Q59=R59,1,0))^2+(N59-IF(Q59&lt;R59,1,0))^2)</f>
        <v/>
      </c>
      <c r="AA59" s="36">
        <f>IF(OR(Q59="",R59="",F59="",F59=0,G59="",G59=0,H59="",H59=0),"",((1/F59/(1/F59+1/G59+1/H59))-IF(Q59&gt;R59,1,0))^2+((1/G59/(1/F59+1/G59+1/H59))-IF(Q59=R59,1,0))^2+((1/H59/(1/F59+1/G59+1/H59))-IF(Q59&lt;R59,1,0))^2)</f>
        <v/>
      </c>
      <c r="AB59" s="37" t="n">
        <v>1.2555</v>
      </c>
      <c r="AC59" s="33" t="inlineStr">
        <is>
          <t>NO</t>
        </is>
      </c>
    </row>
    <row r="60">
      <c r="A60" s="30" t="n">
        <v>46104</v>
      </c>
      <c r="B60" s="31" t="inlineStr">
        <is>
          <t>2026-03-23independienterivadaviarosariocentral</t>
        </is>
      </c>
      <c r="C60" s="31" t="inlineStr">
        <is>
          <t>Independiente Rivadavia vs Rosario Central</t>
        </is>
      </c>
      <c r="D60" s="31" t="inlineStr">
        <is>
          <t>Independiente Rivadavia</t>
        </is>
      </c>
      <c r="E60" s="31" t="inlineStr">
        <is>
          <t>Rosario Central</t>
        </is>
      </c>
      <c r="F60" s="32" t="n">
        <v>2.75</v>
      </c>
      <c r="G60" s="32" t="n">
        <v>3.1</v>
      </c>
      <c r="H60" s="32" t="n">
        <v>3.25</v>
      </c>
      <c r="I60" s="32" t="n">
        <v>2.42</v>
      </c>
      <c r="J60" s="32" t="n">
        <v>1.55</v>
      </c>
      <c r="K60" s="33" t="inlineStr">
        <is>
          <t>Argentina</t>
        </is>
      </c>
      <c r="L60" s="34" t="n">
        <v>0.428903</v>
      </c>
      <c r="M60" s="34" t="n">
        <v>0.224949</v>
      </c>
      <c r="N60" s="34" t="n">
        <v>0.346148</v>
      </c>
      <c r="O60" s="34" t="n">
        <v>0.6871126506588848</v>
      </c>
      <c r="P60" s="34" t="n">
        <v>0.3128873493411152</v>
      </c>
      <c r="Q60" s="33" t="n">
        <v>2</v>
      </c>
      <c r="R60" s="33" t="n">
        <v>0</v>
      </c>
      <c r="S60" s="31" t="inlineStr">
        <is>
          <t>[PASAR] Overlap Riesgo (O/U Priorizado)</t>
        </is>
      </c>
      <c r="T60" s="31">
        <f>IF(OR(Q60="",R60=""),"[APOSTAR] OVER 2.5",IF((Q60+R60)&gt;2.5,"[GANADA] OVER 2.5","[PERDIDA] OVER 2.5"))</f>
        <v/>
      </c>
      <c r="U60" s="35" t="n">
        <v>0</v>
      </c>
      <c r="V60" s="35" t="n">
        <v>1443.38</v>
      </c>
      <c r="W60" s="31">
        <f>IF(L60="","",IF((MAX(L60,M60,N60)-MEDIAN(L60,M60,N60))&gt;0.05,IF(OR(Q60="",R60=""),"[PREDICCION] "&amp;IF(L60=MAX(L60,M60,N60),"LOCAL",IF(M60=MAX(L60,M60,N60),"EMPATE","VISITA")),IF(L60=MAX(L60,M60,N60),IF(Q60&gt;R60,"[ACIERTO]","[FALLO]"),IF(M60=MAX(L60,M60,N60),IF(Q60=R60,"[ACIERTO]","[FALLO]"),IF(Q60&lt;R60,"[ACIERTO]","[FALLO]")))),"[PASAR] Margen Insuf"))</f>
        <v/>
      </c>
      <c r="X60" s="35">
        <f>IFERROR(IF(U60=0,0,IF(ISNUMBER(SEARCH("[GANADA]",S60)),U60*(IF(ISNUMBER(SEARCH("LOCAL",S60)),F60,IF(ISNUMBER(SEARCH("EMPATE",S60)),G60,H60))-1),IF(ISNUMBER(SEARCH("[PERDIDA]",S60)),-U60,0))),0)+IFERROR(IF(V60=0,0,IF(ISNUMBER(SEARCH("[GANADA]",T60)),V60*(IF(ISNUMBER(SEARCH("OVER",T60)),I60,J60)-1),IF(ISNUMBER(SEARCH("[PERDIDA]",T60)),-V60,0))),0)</f>
        <v/>
      </c>
      <c r="Y60" s="35">
        <f>Y59+X60</f>
        <v/>
      </c>
      <c r="Z60" s="36">
        <f>IF(OR(Q60="",R60=""),"",(L60-IF(Q60&gt;R60,1,0))^2+(M60-IF(Q60=R60,1,0))^2+(N60-IF(Q60&lt;R60,1,0))^2)</f>
        <v/>
      </c>
      <c r="AA60" s="36">
        <f>IF(OR(Q60="",R60="",F60="",F60=0,G60="",G60=0,H60="",H60=0),"",((1/F60/(1/F60+1/G60+1/H60))-IF(Q60&gt;R60,1,0))^2+((1/G60/(1/F60+1/G60+1/H60))-IF(Q60=R60,1,0))^2+((1/H60/(1/F60+1/G60+1/H60))-IF(Q60&lt;R60,1,0))^2)</f>
        <v/>
      </c>
      <c r="AB60" s="37" t="n">
        <v>0.7765</v>
      </c>
      <c r="AC60" s="33" t="inlineStr">
        <is>
          <t>NO</t>
        </is>
      </c>
    </row>
    <row r="61">
      <c r="A61" s="30" t="n">
        <v>46105</v>
      </c>
      <c r="B61" s="31" t="inlineStr">
        <is>
          <t>2026-03-24huracanbarracascentral</t>
        </is>
      </c>
      <c r="C61" s="31" t="inlineStr">
        <is>
          <t>Huracán vs Barracas Central</t>
        </is>
      </c>
      <c r="D61" s="31" t="inlineStr">
        <is>
          <t>Huracán</t>
        </is>
      </c>
      <c r="E61" s="31" t="inlineStr">
        <is>
          <t>Barracas Central</t>
        </is>
      </c>
      <c r="F61" s="32" t="n">
        <v>1.83</v>
      </c>
      <c r="G61" s="32" t="n">
        <v>3.18</v>
      </c>
      <c r="H61" s="32" t="n">
        <v>5.9</v>
      </c>
      <c r="I61" s="32" t="n">
        <v>3.05</v>
      </c>
      <c r="J61" s="32" t="n">
        <v>1.37</v>
      </c>
      <c r="K61" s="33" t="inlineStr">
        <is>
          <t>Argentina</t>
        </is>
      </c>
      <c r="L61" s="34" t="n">
        <v>0.433132</v>
      </c>
      <c r="M61" s="34" t="n">
        <v>0.226334</v>
      </c>
      <c r="N61" s="34" t="n">
        <v>0.340534</v>
      </c>
      <c r="O61" s="34" t="n">
        <v>0.6798816771154758</v>
      </c>
      <c r="P61" s="34" t="n">
        <v>0.3201183228845242</v>
      </c>
      <c r="Q61" s="33" t="n">
        <v>0</v>
      </c>
      <c r="R61" s="33" t="n">
        <v>0</v>
      </c>
      <c r="S61" s="31" t="inlineStr">
        <is>
          <t>[PASAR] Riesgo/Beneficio</t>
        </is>
      </c>
      <c r="T61" s="31">
        <f>IF(OR(Q61="",R61=""),"[APOSTAR] OVER 2.5",IF((Q61+R61)&gt;2.5,"[GANADA] OVER 2.5","[PERDIDA] OVER 2.5"))</f>
        <v/>
      </c>
      <c r="U61" s="35" t="n">
        <v>0</v>
      </c>
      <c r="V61" s="35" t="n">
        <v>2500</v>
      </c>
      <c r="W61" s="31">
        <f>IF(L61="","",IF((MAX(L61,M61,N61)-MEDIAN(L61,M61,N61))&gt;0.05,IF(OR(Q61="",R61=""),"[PREDICCION] "&amp;IF(L61=MAX(L61,M61,N61),"LOCAL",IF(M61=MAX(L61,M61,N61),"EMPATE","VISITA")),IF(L61=MAX(L61,M61,N61),IF(Q61&gt;R61,"[ACIERTO]","[FALLO]"),IF(M61=MAX(L61,M61,N61),IF(Q61=R61,"[ACIERTO]","[FALLO]"),IF(Q61&lt;R61,"[ACIERTO]","[FALLO]")))),"[PASAR] Margen Insuf"))</f>
        <v/>
      </c>
      <c r="X61" s="35">
        <f>IFERROR(IF(U61=0,0,IF(ISNUMBER(SEARCH("[GANADA]",S61)),U61*(IF(ISNUMBER(SEARCH("LOCAL",S61)),F61,IF(ISNUMBER(SEARCH("EMPATE",S61)),G61,H61))-1),IF(ISNUMBER(SEARCH("[PERDIDA]",S61)),-U61,0))),0)+IFERROR(IF(V61=0,0,IF(ISNUMBER(SEARCH("[GANADA]",T61)),V61*(IF(ISNUMBER(SEARCH("OVER",T61)),I61,J61)-1),IF(ISNUMBER(SEARCH("[PERDIDA]",T61)),-V61,0))),0)</f>
        <v/>
      </c>
      <c r="Y61" s="35">
        <f>Y60+X61</f>
        <v/>
      </c>
      <c r="Z61" s="36">
        <f>IF(OR(Q61="",R61=""),"",(L61-IF(Q61&gt;R61,1,0))^2+(M61-IF(Q61=R61,1,0))^2+(N61-IF(Q61&lt;R61,1,0))^2)</f>
        <v/>
      </c>
      <c r="AA61" s="36">
        <f>IF(OR(Q61="",R61="",F61="",F61=0,G61="",G61=0,H61="",H61=0),"",((1/F61/(1/F61+1/G61+1/H61))-IF(Q61&gt;R61,1,0))^2+((1/G61/(1/F61+1/G61+1/H61))-IF(Q61=R61,1,0))^2+((1/H61/(1/F61+1/G61+1/H61))-IF(Q61&lt;R61,1,0))^2)</f>
        <v/>
      </c>
      <c r="AB61" s="37" t="n">
        <v>0.9232</v>
      </c>
      <c r="AC61" s="33" t="inlineStr">
        <is>
          <t>NO</t>
        </is>
      </c>
    </row>
    <row r="62">
      <c r="A62" s="30" t="n">
        <v>46106</v>
      </c>
      <c r="B62" s="31" t="inlineStr">
        <is>
          <t>2026-03-25deportivoriestrasanlorenzo</t>
        </is>
      </c>
      <c r="C62" s="31" t="inlineStr">
        <is>
          <t>Deportivo Riestra vs San Lorenzo</t>
        </is>
      </c>
      <c r="D62" s="31" t="inlineStr">
        <is>
          <t>Deportivo Riestra</t>
        </is>
      </c>
      <c r="E62" s="31" t="inlineStr">
        <is>
          <t>San Lorenzo</t>
        </is>
      </c>
      <c r="F62" s="32" t="n">
        <v>2.55</v>
      </c>
      <c r="G62" s="32" t="n">
        <v>2.75</v>
      </c>
      <c r="H62" s="32" t="n">
        <v>3.66</v>
      </c>
      <c r="I62" s="32" t="n">
        <v>3.55</v>
      </c>
      <c r="J62" s="32" t="n">
        <v>1.29</v>
      </c>
      <c r="K62" s="33" t="inlineStr">
        <is>
          <t>Argentina</t>
        </is>
      </c>
      <c r="L62" s="34" t="n">
        <v>0.3894608078112375</v>
      </c>
      <c r="M62" s="34" t="n">
        <v>0.2426121308626986</v>
      </c>
      <c r="N62" s="34" t="n">
        <v>0.3679270613260638</v>
      </c>
      <c r="O62" s="34" t="n">
        <v>0.6513935760302454</v>
      </c>
      <c r="P62" s="34" t="n">
        <v>0.3486064239697547</v>
      </c>
      <c r="Q62" s="33" t="n">
        <v>1</v>
      </c>
      <c r="R62" s="33" t="n">
        <v>1</v>
      </c>
      <c r="S62" s="31" t="inlineStr">
        <is>
          <t>[PASAR] Margen Predictivo Insuficiente (&lt;5%)</t>
        </is>
      </c>
      <c r="T62" s="31">
        <f>IF(OR(Q62="",R62=""),"[APOSTAR] OVER 2.5",IF((Q62+R62)&gt;2.5,"[GANADA] OVER 2.5","[PERDIDA] OVER 2.5"))</f>
        <v/>
      </c>
      <c r="U62" s="35" t="n">
        <v>0</v>
      </c>
      <c r="V62" s="35" t="n">
        <v>2500</v>
      </c>
      <c r="W62" s="31">
        <f>IF(L62="","",IF((MAX(L62,M62,N62)-MEDIAN(L62,M62,N62))&gt;0.05,IF(OR(Q62="",R62=""),"[PREDICCION] "&amp;IF(L62=MAX(L62,M62,N62),"LOCAL",IF(M62=MAX(L62,M62,N62),"EMPATE","VISITA")),IF(L62=MAX(L62,M62,N62),IF(Q62&gt;R62,"[ACIERTO]","[FALLO]"),IF(M62=MAX(L62,M62,N62),IF(Q62=R62,"[ACIERTO]","[FALLO]"),IF(Q62&lt;R62,"[ACIERTO]","[FALLO]")))),"[PASAR] Margen Insuf"))</f>
        <v/>
      </c>
      <c r="X62" s="35">
        <f>IFERROR(IF(U62=0,0,IF(ISNUMBER(SEARCH("[GANADA]",S62)),U62*(IF(ISNUMBER(SEARCH("LOCAL",S62)),F62,IF(ISNUMBER(SEARCH("EMPATE",S62)),G62,H62))-1),IF(ISNUMBER(SEARCH("[PERDIDA]",S62)),-U62,0))),0)+IFERROR(IF(V62=0,0,IF(ISNUMBER(SEARCH("[GANADA]",T62)),V62*(IF(ISNUMBER(SEARCH("OVER",T62)),I62,J62)-1),IF(ISNUMBER(SEARCH("[PERDIDA]",T62)),-V62,0))),0)</f>
        <v/>
      </c>
      <c r="Y62" s="35">
        <f>Y61+X62</f>
        <v/>
      </c>
      <c r="Z62" s="36">
        <f>IF(OR(Q62="",R62=""),"",(L62-IF(Q62&gt;R62,1,0))^2+(M62-IF(Q62=R62,1,0))^2+(N62-IF(Q62&lt;R62,1,0))^2)</f>
        <v/>
      </c>
      <c r="AA62" s="36">
        <f>IF(OR(Q62="",R62="",F62="",F62=0,G62="",G62=0,H62="",H62=0),"",((1/F62/(1/F62+1/G62+1/H62))-IF(Q62&gt;R62,1,0))^2+((1/G62/(1/F62+1/G62+1/H62))-IF(Q62=R62,1,0))^2+((1/H62/(1/F62+1/G62+1/H62))-IF(Q62&lt;R62,1,0))^2)</f>
        <v/>
      </c>
      <c r="AB62" s="37" t="n">
        <v>0.9004</v>
      </c>
      <c r="AC62" s="33" t="inlineStr">
        <is>
          <t>NO</t>
        </is>
      </c>
    </row>
    <row r="63">
      <c r="A63" s="30" t="n">
        <v>46107</v>
      </c>
      <c r="B63" s="31" t="inlineStr">
        <is>
          <t>2026-03-26argentinosjuniorslanus</t>
        </is>
      </c>
      <c r="C63" s="31" t="inlineStr">
        <is>
          <t>Argentinos Juniors vs Lanus</t>
        </is>
      </c>
      <c r="D63" s="31" t="inlineStr">
        <is>
          <t>Argentinos Juniors</t>
        </is>
      </c>
      <c r="E63" s="31" t="inlineStr">
        <is>
          <t>Lanus</t>
        </is>
      </c>
      <c r="F63" s="32" t="n"/>
      <c r="G63" s="32" t="n"/>
      <c r="H63" s="32" t="n"/>
      <c r="I63" s="32" t="n"/>
      <c r="J63" s="32" t="n"/>
      <c r="K63" s="33" t="inlineStr">
        <is>
          <t>Argentina</t>
        </is>
      </c>
      <c r="L63" s="34" t="n">
        <v>0.440973</v>
      </c>
      <c r="M63" s="34" t="n">
        <v>0.222668</v>
      </c>
      <c r="N63" s="34" t="n">
        <v>0.336359</v>
      </c>
      <c r="O63" s="34" t="n">
        <v>0.6959106749065054</v>
      </c>
      <c r="P63" s="34" t="n">
        <v>0.3040893250934946</v>
      </c>
      <c r="Q63" s="33" t="n">
        <v>2</v>
      </c>
      <c r="R63" s="33" t="n">
        <v>1</v>
      </c>
      <c r="S63" s="31" t="inlineStr">
        <is>
          <t>[PASAR] Sin Cuotas</t>
        </is>
      </c>
      <c r="T63" s="31" t="inlineStr">
        <is>
          <t>[PASAR] Sin Cuotas</t>
        </is>
      </c>
      <c r="U63" s="35" t="n">
        <v>0</v>
      </c>
      <c r="V63" s="35" t="n">
        <v>0</v>
      </c>
      <c r="W63" s="31">
        <f>IF(L63="","",IF((MAX(L63,M63,N63)-MEDIAN(L63,M63,N63))&gt;0.05,IF(OR(Q63="",R63=""),"[PREDICCION] "&amp;IF(L63=MAX(L63,M63,N63),"LOCAL",IF(M63=MAX(L63,M63,N63),"EMPATE","VISITA")),IF(L63=MAX(L63,M63,N63),IF(Q63&gt;R63,"[ACIERTO]","[FALLO]"),IF(M63=MAX(L63,M63,N63),IF(Q63=R63,"[ACIERTO]","[FALLO]"),IF(Q63&lt;R63,"[ACIERTO]","[FALLO]")))),"[PASAR] Margen Insuf"))</f>
        <v/>
      </c>
      <c r="X63" s="35">
        <f>IFERROR(IF(U63=0,0,IF(ISNUMBER(SEARCH("[GANADA]",S63)),U63*(IF(ISNUMBER(SEARCH("LOCAL",S63)),F63,IF(ISNUMBER(SEARCH("EMPATE",S63)),G63,H63))-1),IF(ISNUMBER(SEARCH("[PERDIDA]",S63)),-U63,0))),0)+IFERROR(IF(V63=0,0,IF(ISNUMBER(SEARCH("[GANADA]",T63)),V63*(IF(ISNUMBER(SEARCH("OVER",T63)),I63,J63)-1),IF(ISNUMBER(SEARCH("[PERDIDA]",T63)),-V63,0))),0)</f>
        <v/>
      </c>
      <c r="Y63" s="35">
        <f>Y62+X63</f>
        <v/>
      </c>
      <c r="Z63" s="36">
        <f>IF(OR(Q63="",R63=""),"",(L63-IF(Q63&gt;R63,1,0))^2+(M63-IF(Q63=R63,1,0))^2+(N63-IF(Q63&lt;R63,1,0))^2)</f>
        <v/>
      </c>
      <c r="AA63" s="36">
        <f>IF(OR(Q63="",R63="",F63="",F63=0,G63="",G63=0,H63="",H63=0),"",((1/F63/(1/F63+1/G63+1/H63))-IF(Q63&gt;R63,1,0))^2+((1/G63/(1/F63+1/G63+1/H63))-IF(Q63=R63,1,0))^2+((1/H63/(1/F63+1/G63+1/H63))-IF(Q63&lt;R63,1,0))^2)</f>
        <v/>
      </c>
      <c r="AB63" s="37" t="n">
        <v>0.842</v>
      </c>
      <c r="AC63" s="33" t="inlineStr">
        <is>
          <t>NO</t>
        </is>
      </c>
    </row>
    <row r="64">
      <c r="A64" s="30" t="n">
        <v>46110</v>
      </c>
      <c r="B64" s="31" t="inlineStr">
        <is>
          <t>2026-03-29athleticoparanaensebotafogo</t>
        </is>
      </c>
      <c r="C64" s="31" t="inlineStr">
        <is>
          <t>Athletico Paranaense vs Botafogo</t>
        </is>
      </c>
      <c r="D64" s="31" t="inlineStr">
        <is>
          <t>Athletico Paranaense</t>
        </is>
      </c>
      <c r="E64" s="31" t="inlineStr">
        <is>
          <t>Botafogo</t>
        </is>
      </c>
      <c r="F64" s="32" t="n">
        <v>2</v>
      </c>
      <c r="G64" s="32" t="n">
        <v>3.38</v>
      </c>
      <c r="H64" s="32" t="n">
        <v>4.1</v>
      </c>
      <c r="I64" s="32" t="n"/>
      <c r="J64" s="32" t="n"/>
      <c r="K64" s="33" t="inlineStr">
        <is>
          <t>Brasil</t>
        </is>
      </c>
      <c r="L64" s="34" t="n">
        <v>0.456521</v>
      </c>
      <c r="M64" s="34" t="n">
        <v>0.180348</v>
      </c>
      <c r="N64" s="34" t="n">
        <v>0.363131</v>
      </c>
      <c r="O64" s="34" t="n">
        <v>0.8664252637727672</v>
      </c>
      <c r="P64" s="34" t="n">
        <v>0.1335747362272328</v>
      </c>
      <c r="Q64" s="33" t="n">
        <v>4</v>
      </c>
      <c r="R64" s="33" t="n">
        <v>1</v>
      </c>
      <c r="S64" s="31">
        <f>IF(OR(Q64="",R64=""),"[APOSTAR] VISITA",IF(Q64&lt;R64,"[GANADA] VISITA","[PERDIDA] VISITA"))</f>
        <v/>
      </c>
      <c r="T64" s="31" t="inlineStr">
        <is>
          <t>[PASAR] Sin Cuotas</t>
        </is>
      </c>
      <c r="U64" s="35" t="n">
        <v>2500</v>
      </c>
      <c r="V64" s="35" t="n">
        <v>0</v>
      </c>
      <c r="W64" s="31">
        <f>IF(L64="","",IF((MAX(L64,M64,N64)-MEDIAN(L64,M64,N64))&gt;0.05,IF(OR(Q64="",R64=""),"[PREDICCION] "&amp;IF(L64=MAX(L64,M64,N64),"LOCAL",IF(M64=MAX(L64,M64,N64),"EMPATE","VISITA")),IF(L64=MAX(L64,M64,N64),IF(Q64&gt;R64,"[ACIERTO]","[FALLO]"),IF(M64=MAX(L64,M64,N64),IF(Q64=R64,"[ACIERTO]","[FALLO]"),IF(Q64&lt;R64,"[ACIERTO]","[FALLO]")))),"[PASAR] Margen Insuf"))</f>
        <v/>
      </c>
      <c r="X64" s="35">
        <f>IFERROR(IF(U64=0,0,IF(ISNUMBER(SEARCH("[GANADA]",S64)),U64*(IF(ISNUMBER(SEARCH("LOCAL",S64)),F64,IF(ISNUMBER(SEARCH("EMPATE",S64)),G64,H64))-1),IF(ISNUMBER(SEARCH("[PERDIDA]",S64)),-U64,0))),0)+IFERROR(IF(V64=0,0,IF(ISNUMBER(SEARCH("[GANADA]",T64)),V64*(IF(ISNUMBER(SEARCH("OVER",T64)),I64,J64)-1),IF(ISNUMBER(SEARCH("[PERDIDA]",T64)),-V64,0))),0)</f>
        <v/>
      </c>
      <c r="Y64" s="35">
        <f>Y63+X64</f>
        <v/>
      </c>
      <c r="Z64" s="36">
        <f>IF(OR(Q64="",R64=""),"",(L64-IF(Q64&gt;R64,1,0))^2+(M64-IF(Q64=R64,1,0))^2+(N64-IF(Q64&lt;R64,1,0))^2)</f>
        <v/>
      </c>
      <c r="AA64" s="36">
        <f>IF(OR(Q64="",R64="",F64="",F64=0,G64="",G64=0,H64="",H64=0),"",((1/F64/(1/F64+1/G64+1/H64))-IF(Q64&gt;R64,1,0))^2+((1/G64/(1/F64+1/G64+1/H64))-IF(Q64=R64,1,0))^2+((1/H64/(1/F64+1/G64+1/H64))-IF(Q64&lt;R64,1,0))^2)</f>
        <v/>
      </c>
      <c r="AB64" s="37" t="n">
        <v>1.182</v>
      </c>
      <c r="AC64" s="33" t="inlineStr">
        <is>
          <t>NO</t>
        </is>
      </c>
    </row>
    <row r="65">
      <c r="A65" s="30" t="n">
        <v>46112</v>
      </c>
      <c r="B65" s="31" t="inlineStr">
        <is>
          <t>2026-03-31aldosiviargentinosjuniors</t>
        </is>
      </c>
      <c r="C65" s="31" t="inlineStr">
        <is>
          <t>Aldosivi vs Argentinos Juniors</t>
        </is>
      </c>
      <c r="D65" s="31" t="inlineStr">
        <is>
          <t>Aldosivi</t>
        </is>
      </c>
      <c r="E65" s="31" t="inlineStr">
        <is>
          <t>Argentinos Juniors</t>
        </is>
      </c>
      <c r="F65" s="32" t="n">
        <v>4.68</v>
      </c>
      <c r="G65" s="32" t="n">
        <v>3.12</v>
      </c>
      <c r="H65" s="32" t="n">
        <v>1.97</v>
      </c>
      <c r="I65" s="32" t="n">
        <v>2.38</v>
      </c>
      <c r="J65" s="32" t="n">
        <v>1.56</v>
      </c>
      <c r="K65" s="33" t="inlineStr">
        <is>
          <t>Argentina</t>
        </is>
      </c>
      <c r="L65" s="34" t="n">
        <v>0.3725631670708457</v>
      </c>
      <c r="M65" s="34" t="n">
        <v>0.2370021194785258</v>
      </c>
      <c r="N65" s="34" t="n">
        <v>0.3904347134506285</v>
      </c>
      <c r="O65" s="34" t="n">
        <v>0.6766390084005716</v>
      </c>
      <c r="P65" s="34" t="n">
        <v>0.3233609915994285</v>
      </c>
      <c r="Q65" s="33" t="n">
        <v>0</v>
      </c>
      <c r="R65" s="33" t="n">
        <v>2</v>
      </c>
      <c r="S65" s="31" t="inlineStr">
        <is>
          <t>[PASAR] Margen Predictivo Insuficiente (&lt;5%)</t>
        </is>
      </c>
      <c r="T65" s="31">
        <f>IF(OR(Q65="",R65=""),"[APOSTAR] OVER 2.5",IF((Q65+R65)&gt;2.5,"[GANADA] OVER 2.5","[PERDIDA] OVER 2.5"))</f>
        <v/>
      </c>
      <c r="U65" s="35" t="n">
        <v>0</v>
      </c>
      <c r="V65" s="35" t="n">
        <v>2500</v>
      </c>
      <c r="W65" s="31">
        <f>IF(L65="","",IF((MAX(L65,M65,N65)-MEDIAN(L65,M65,N65))&gt;0.05,IF(OR(Q65="",R65=""),"[PREDICCION] "&amp;IF(L65=MAX(L65,M65,N65),"LOCAL",IF(M65=MAX(L65,M65,N65),"EMPATE","VISITA")),IF(L65=MAX(L65,M65,N65),IF(Q65&gt;R65,"[ACIERTO]","[FALLO]"),IF(M65=MAX(L65,M65,N65),IF(Q65=R65,"[ACIERTO]","[FALLO]"),IF(Q65&lt;R65,"[ACIERTO]","[FALLO]")))),"[PASAR] Margen Insuf"))</f>
        <v/>
      </c>
      <c r="X65" s="35">
        <f>IFERROR(IF(U65=0,0,IF(ISNUMBER(SEARCH("[GANADA]",S65)),U65*(IF(ISNUMBER(SEARCH("LOCAL",S65)),F65,IF(ISNUMBER(SEARCH("EMPATE",S65)),G65,H65))-1),IF(ISNUMBER(SEARCH("[PERDIDA]",S65)),-U65,0))),0)+IFERROR(IF(V65=0,0,IF(ISNUMBER(SEARCH("[GANADA]",T65)),V65*(IF(ISNUMBER(SEARCH("OVER",T65)),I65,J65)-1),IF(ISNUMBER(SEARCH("[PERDIDA]",T65)),-V65,0))),0)</f>
        <v/>
      </c>
      <c r="Y65" s="35">
        <f>Y64+X65</f>
        <v/>
      </c>
      <c r="Z65" s="36">
        <f>IF(OR(Q65="",R65=""),"",(L65-IF(Q65&gt;R65,1,0))^2+(M65-IF(Q65=R65,1,0))^2+(N65-IF(Q65&lt;R65,1,0))^2)</f>
        <v/>
      </c>
      <c r="AA65" s="36">
        <f>IF(OR(Q65="",R65="",F65="",F65=0,G65="",G65=0,H65="",H65=0),"",((1/F65/(1/F65+1/G65+1/H65))-IF(Q65&gt;R65,1,0))^2+((1/G65/(1/F65+1/G65+1/H65))-IF(Q65=R65,1,0))^2+((1/H65/(1/F65+1/G65+1/H65))-IF(Q65&lt;R65,1,0))^2)</f>
        <v/>
      </c>
      <c r="AB65" s="37" t="n">
        <v>0.8509</v>
      </c>
      <c r="AC65" s="33" t="inlineStr">
        <is>
          <t>NO</t>
        </is>
      </c>
    </row>
    <row r="66">
      <c r="A66" s="30" t="n">
        <v>46113</v>
      </c>
      <c r="B66" s="31" t="inlineStr">
        <is>
          <t>2026-04-01bahiaathleticoparanaense</t>
        </is>
      </c>
      <c r="C66" s="31" t="inlineStr">
        <is>
          <t>Bahia vs Athletico Paranaense</t>
        </is>
      </c>
      <c r="D66" s="31" t="inlineStr">
        <is>
          <t>Bahia</t>
        </is>
      </c>
      <c r="E66" s="31" t="inlineStr">
        <is>
          <t>Athletico Paranaense</t>
        </is>
      </c>
      <c r="F66" s="32" t="n">
        <v>4.56</v>
      </c>
      <c r="G66" s="32" t="n">
        <v>3.64</v>
      </c>
      <c r="H66" s="32" t="n">
        <v>1.85</v>
      </c>
      <c r="I66" s="32" t="n">
        <v>2.01</v>
      </c>
      <c r="J66" s="32" t="n">
        <v>1.83</v>
      </c>
      <c r="K66" s="33" t="inlineStr">
        <is>
          <t>Brasil</t>
        </is>
      </c>
      <c r="L66" s="34" t="n">
        <v>0.458564</v>
      </c>
      <c r="M66" s="34" t="n">
        <v>0.182152</v>
      </c>
      <c r="N66" s="34" t="n">
        <v>0.359284</v>
      </c>
      <c r="O66" s="34" t="n">
        <v>0.8581575739170583</v>
      </c>
      <c r="P66" s="34" t="n">
        <v>0.1418424260829417</v>
      </c>
      <c r="Q66" s="33" t="n">
        <v>3</v>
      </c>
      <c r="R66" s="33" t="n">
        <v>0</v>
      </c>
      <c r="S66" s="31" t="inlineStr">
        <is>
          <t>[GANADA] LOCAL</t>
        </is>
      </c>
      <c r="T66" s="31" t="inlineStr">
        <is>
          <t>[PASAR] Sin Valor</t>
        </is>
      </c>
      <c r="U66" s="35" t="n">
        <v>1020.62</v>
      </c>
      <c r="V66" s="35" t="n">
        <v>0</v>
      </c>
      <c r="W66" s="31">
        <f>IF(L66="","",IF((MAX(L66,M66,N66)-MEDIAN(L66,M66,N66))&gt;0.05,IF(OR(Q66="",R66=""),"[PREDICCION] "&amp;IF(L66=MAX(L66,M66,N66),"LOCAL",IF(M66=MAX(L66,M66,N66),"EMPATE","VISITA")),IF(L66=MAX(L66,M66,N66),IF(Q66&gt;R66,"[ACIERTO]","[FALLO]"),IF(M66=MAX(L66,M66,N66),IF(Q66=R66,"[ACIERTO]","[FALLO]"),IF(Q66&lt;R66,"[ACIERTO]","[FALLO]")))),"[PASAR] Margen Insuf"))</f>
        <v/>
      </c>
      <c r="X66" s="35">
        <f>IFERROR(IF(U66=0,0,IF(ISNUMBER(SEARCH("[GANADA]",S66)),U66*(IF(ISNUMBER(SEARCH("LOCAL",S66)),F66,IF(ISNUMBER(SEARCH("EMPATE",S66)),G66,H66))-1),IF(ISNUMBER(SEARCH("[PERDIDA]",S66)),-U66,0))),0)+IFERROR(IF(V66=0,0,IF(ISNUMBER(SEARCH("[GANADA]",T66)),V66*(IF(ISNUMBER(SEARCH("OVER",T66)),I66,J66)-1),IF(ISNUMBER(SEARCH("[PERDIDA]",T66)),-V66,0))),0)</f>
        <v/>
      </c>
      <c r="Y66" s="35">
        <f>Y65+X66</f>
        <v/>
      </c>
      <c r="Z66" s="36">
        <f>IF(OR(Q66="",R66=""),"",(L66-IF(Q66&gt;R66,1,0))^2+(M66-IF(Q66=R66,1,0))^2+(N66-IF(Q66&lt;R66,1,0))^2)</f>
        <v/>
      </c>
      <c r="AA66" s="36">
        <f>IF(OR(Q66="",R66="",F66="",F66=0,G66="",G66=0,H66="",H66=0),"",((1/F66/(1/F66+1/G66+1/H66))-IF(Q66&gt;R66,1,0))^2+((1/G66/(1/F66+1/G66+1/H66))-IF(Q66=R66,1,0))^2+((1/H66/(1/F66+1/G66+1/H66))-IF(Q66&lt;R66,1,0))^2)</f>
        <v/>
      </c>
      <c r="AB66" s="37" t="n">
        <v>1.0587</v>
      </c>
      <c r="AC66" s="33" t="inlineStr">
        <is>
          <t>NO</t>
        </is>
      </c>
    </row>
    <row r="67">
      <c r="A67" s="30" t="n">
        <v>46113</v>
      </c>
      <c r="B67" s="31" t="inlineStr">
        <is>
          <t>2026-04-01botafogomirassol</t>
        </is>
      </c>
      <c r="C67" s="31" t="inlineStr">
        <is>
          <t>Botafogo vs Mirassol</t>
        </is>
      </c>
      <c r="D67" s="31" t="inlineStr">
        <is>
          <t>Botafogo</t>
        </is>
      </c>
      <c r="E67" s="31" t="inlineStr">
        <is>
          <t>Mirassol</t>
        </is>
      </c>
      <c r="F67" s="32" t="n">
        <v>2.51</v>
      </c>
      <c r="G67" s="32" t="n">
        <v>3.13</v>
      </c>
      <c r="H67" s="32" t="n">
        <v>2.95</v>
      </c>
      <c r="I67" s="32" t="n">
        <v>2.21</v>
      </c>
      <c r="J67" s="32" t="n">
        <v>1.7</v>
      </c>
      <c r="K67" s="33" t="inlineStr">
        <is>
          <t>Brasil</t>
        </is>
      </c>
      <c r="L67" s="34" t="n">
        <v>0.448649</v>
      </c>
      <c r="M67" s="34" t="n">
        <v>0.186555</v>
      </c>
      <c r="N67" s="34" t="n">
        <v>0.364797</v>
      </c>
      <c r="O67" s="34" t="n">
        <v>0.8394274845811672</v>
      </c>
      <c r="P67" s="34" t="n">
        <v>0.1605725154188328</v>
      </c>
      <c r="Q67" s="33" t="n">
        <v>3</v>
      </c>
      <c r="R67" s="33" t="n">
        <v>2</v>
      </c>
      <c r="S67" s="31" t="inlineStr">
        <is>
          <t>[GANADA] LOCAL</t>
        </is>
      </c>
      <c r="T67" s="31" t="inlineStr">
        <is>
          <t>[PASAR] Sin Valor</t>
        </is>
      </c>
      <c r="U67" s="35" t="n">
        <v>1020.62</v>
      </c>
      <c r="V67" s="35" t="n">
        <v>0</v>
      </c>
      <c r="W67" s="31">
        <f>IF(L67="","",IF((MAX(L67,M67,N67)-MEDIAN(L67,M67,N67))&gt;0.05,IF(OR(Q67="",R67=""),"[PREDICCION] "&amp;IF(L67=MAX(L67,M67,N67),"LOCAL",IF(M67=MAX(L67,M67,N67),"EMPATE","VISITA")),IF(L67=MAX(L67,M67,N67),IF(Q67&gt;R67,"[ACIERTO]","[FALLO]"),IF(M67=MAX(L67,M67,N67),IF(Q67=R67,"[ACIERTO]","[FALLO]"),IF(Q67&lt;R67,"[ACIERTO]","[FALLO]")))),"[PASAR] Margen Insuf"))</f>
        <v/>
      </c>
      <c r="X67" s="35">
        <f>IFERROR(IF(U67=0,0,IF(ISNUMBER(SEARCH("[GANADA]",S67)),U67*(IF(ISNUMBER(SEARCH("LOCAL",S67)),F67,IF(ISNUMBER(SEARCH("EMPATE",S67)),G67,H67))-1),IF(ISNUMBER(SEARCH("[PERDIDA]",S67)),-U67,0))),0)+IFERROR(IF(V67=0,0,IF(ISNUMBER(SEARCH("[GANADA]",T67)),V67*(IF(ISNUMBER(SEARCH("OVER",T67)),I67,J67)-1),IF(ISNUMBER(SEARCH("[PERDIDA]",T67)),-V67,0))),0)</f>
        <v/>
      </c>
      <c r="Y67" s="35">
        <f>Y66+X67</f>
        <v/>
      </c>
      <c r="Z67" s="36">
        <f>IF(OR(Q67="",R67=""),"",(L67-IF(Q67&gt;R67,1,0))^2+(M67-IF(Q67=R67,1,0))^2+(N67-IF(Q67&lt;R67,1,0))^2)</f>
        <v/>
      </c>
      <c r="AA67" s="36">
        <f>IF(OR(Q67="",R67="",F67="",F67=0,G67="",G67=0,H67="",H67=0),"",((1/F67/(1/F67+1/G67+1/H67))-IF(Q67&gt;R67,1,0))^2+((1/G67/(1/F67+1/G67+1/H67))-IF(Q67=R67,1,0))^2+((1/H67/(1/F67+1/G67+1/H67))-IF(Q67&lt;R67,1,0))^2)</f>
        <v/>
      </c>
      <c r="AB67" s="37" t="n">
        <v>1.0526</v>
      </c>
      <c r="AC67" s="33" t="inlineStr">
        <is>
          <t>NO</t>
        </is>
      </c>
    </row>
    <row r="68">
      <c r="A68" s="30" t="n">
        <v>46113</v>
      </c>
      <c r="B68" s="31" t="inlineStr">
        <is>
          <t>2026-04-01coritibavascodagama</t>
        </is>
      </c>
      <c r="C68" s="31" t="inlineStr">
        <is>
          <t>Coritiba vs Vasco da Gama</t>
        </is>
      </c>
      <c r="D68" s="31" t="inlineStr">
        <is>
          <t>Coritiba</t>
        </is>
      </c>
      <c r="E68" s="31" t="inlineStr">
        <is>
          <t>Vasco da Gama</t>
        </is>
      </c>
      <c r="F68" s="32" t="n">
        <v>2.7</v>
      </c>
      <c r="G68" s="32" t="n">
        <v>3.07</v>
      </c>
      <c r="H68" s="32" t="n">
        <v>2.95</v>
      </c>
      <c r="I68" s="32" t="n">
        <v>2.23</v>
      </c>
      <c r="J68" s="32" t="n">
        <v>1.68</v>
      </c>
      <c r="K68" s="33" t="inlineStr">
        <is>
          <t>Brasil</t>
        </is>
      </c>
      <c r="L68" s="34" t="n">
        <v>0.441395</v>
      </c>
      <c r="M68" s="34" t="n">
        <v>0.183587</v>
      </c>
      <c r="N68" s="34" t="n">
        <v>0.375018</v>
      </c>
      <c r="O68" s="34" t="n">
        <v>0.8536168707468915</v>
      </c>
      <c r="P68" s="34" t="n">
        <v>0.1463831292531085</v>
      </c>
      <c r="Q68" s="33" t="n">
        <v>1</v>
      </c>
      <c r="R68" s="33" t="n">
        <v>1</v>
      </c>
      <c r="S68" s="31" t="inlineStr">
        <is>
          <t>[PERDIDA] LOCAL</t>
        </is>
      </c>
      <c r="T68" s="31" t="inlineStr">
        <is>
          <t>[PASAR] Sin Valor</t>
        </is>
      </c>
      <c r="U68" s="35" t="n">
        <v>1020.62</v>
      </c>
      <c r="V68" s="35" t="n">
        <v>0</v>
      </c>
      <c r="W68" s="31">
        <f>IF(L68="","",IF((MAX(L68,M68,N68)-MEDIAN(L68,M68,N68))&gt;0.05,IF(OR(Q68="",R68=""),"[PREDICCION] "&amp;IF(L68=MAX(L68,M68,N68),"LOCAL",IF(M68=MAX(L68,M68,N68),"EMPATE","VISITA")),IF(L68=MAX(L68,M68,N68),IF(Q68&gt;R68,"[ACIERTO]","[FALLO]"),IF(M68=MAX(L68,M68,N68),IF(Q68=R68,"[ACIERTO]","[FALLO]"),IF(Q68&lt;R68,"[ACIERTO]","[FALLO]")))),"[PASAR] Margen Insuf"))</f>
        <v/>
      </c>
      <c r="X68" s="35">
        <f>IFERROR(IF(U68=0,0,IF(ISNUMBER(SEARCH("[GANADA]",S68)),U68*(IF(ISNUMBER(SEARCH("LOCAL",S68)),F68,IF(ISNUMBER(SEARCH("EMPATE",S68)),G68,H68))-1),IF(ISNUMBER(SEARCH("[PERDIDA]",S68)),-U68,0))),0)+IFERROR(IF(V68=0,0,IF(ISNUMBER(SEARCH("[GANADA]",T68)),V68*(IF(ISNUMBER(SEARCH("OVER",T68)),I68,J68)-1),IF(ISNUMBER(SEARCH("[PERDIDA]",T68)),-V68,0))),0)</f>
        <v/>
      </c>
      <c r="Y68" s="35">
        <f>Y67+X68</f>
        <v/>
      </c>
      <c r="Z68" s="36">
        <f>IF(OR(Q68="",R68=""),"",(L68-IF(Q68&gt;R68,1,0))^2+(M68-IF(Q68=R68,1,0))^2+(N68-IF(Q68&lt;R68,1,0))^2)</f>
        <v/>
      </c>
      <c r="AA68" s="36">
        <f>IF(OR(Q68="",R68="",F68="",F68=0,G68="",G68=0,H68="",H68=0),"",((1/F68/(1/F68+1/G68+1/H68))-IF(Q68&gt;R68,1,0))^2+((1/G68/(1/F68+1/G68+1/H68))-IF(Q68=R68,1,0))^2+((1/H68/(1/F68+1/G68+1/H68))-IF(Q68&lt;R68,1,0))^2)</f>
        <v/>
      </c>
      <c r="AB68" s="37" t="n">
        <v>1.3713</v>
      </c>
      <c r="AC68" s="33" t="inlineStr">
        <is>
          <t>NO</t>
        </is>
      </c>
    </row>
    <row r="69">
      <c r="A69" s="30" t="n">
        <v>46113</v>
      </c>
      <c r="B69" s="31" t="inlineStr">
        <is>
          <t>2026-04-01cruzeirovitoria</t>
        </is>
      </c>
      <c r="C69" s="31" t="inlineStr">
        <is>
          <t>Cruzeiro vs Vitória</t>
        </is>
      </c>
      <c r="D69" s="31" t="inlineStr">
        <is>
          <t>Cruzeiro</t>
        </is>
      </c>
      <c r="E69" s="31" t="inlineStr">
        <is>
          <t>Vitória</t>
        </is>
      </c>
      <c r="F69" s="32" t="n">
        <v>1.53</v>
      </c>
      <c r="G69" s="32" t="n">
        <v>4.1</v>
      </c>
      <c r="H69" s="32" t="n">
        <v>7.19</v>
      </c>
      <c r="I69" s="32" t="n">
        <v>2.04</v>
      </c>
      <c r="J69" s="32" t="n">
        <v>1.85</v>
      </c>
      <c r="K69" s="33" t="inlineStr">
        <is>
          <t>Brasil</t>
        </is>
      </c>
      <c r="L69" s="34" t="n">
        <v>0.473666</v>
      </c>
      <c r="M69" s="34" t="n">
        <v>0.187166</v>
      </c>
      <c r="N69" s="34" t="n">
        <v>0.339168</v>
      </c>
      <c r="O69" s="34" t="n">
        <v>0.8318102809884802</v>
      </c>
      <c r="P69" s="34" t="n">
        <v>0.1681897190115198</v>
      </c>
      <c r="Q69" s="33" t="n">
        <v>3</v>
      </c>
      <c r="R69" s="33" t="n">
        <v>0</v>
      </c>
      <c r="S69" s="31" t="inlineStr">
        <is>
          <t>[PASAR] Riesgo/Beneficio</t>
        </is>
      </c>
      <c r="T69" s="31" t="inlineStr">
        <is>
          <t>[PASAR] Sin Valor</t>
        </is>
      </c>
      <c r="U69" s="35" t="n">
        <v>0</v>
      </c>
      <c r="V69" s="35" t="n">
        <v>0</v>
      </c>
      <c r="W69" s="31">
        <f>IF(L69="","",IF((MAX(L69,M69,N69)-MEDIAN(L69,M69,N69))&gt;0.05,IF(OR(Q69="",R69=""),"[PREDICCION] "&amp;IF(L69=MAX(L69,M69,N69),"LOCAL",IF(M69=MAX(L69,M69,N69),"EMPATE","VISITA")),IF(L69=MAX(L69,M69,N69),IF(Q69&gt;R69,"[ACIERTO]","[FALLO]"),IF(M69=MAX(L69,M69,N69),IF(Q69=R69,"[ACIERTO]","[FALLO]"),IF(Q69&lt;R69,"[ACIERTO]","[FALLO]")))),"[PASAR] Margen Insuf"))</f>
        <v/>
      </c>
      <c r="X69" s="35">
        <f>IFERROR(IF(U69=0,0,IF(ISNUMBER(SEARCH("[GANADA]",S69)),U69*(IF(ISNUMBER(SEARCH("LOCAL",S69)),F69,IF(ISNUMBER(SEARCH("EMPATE",S69)),G69,H69))-1),IF(ISNUMBER(SEARCH("[PERDIDA]",S69)),-U69,0))),0)+IFERROR(IF(V69=0,0,IF(ISNUMBER(SEARCH("[GANADA]",T69)),V69*(IF(ISNUMBER(SEARCH("OVER",T69)),I69,J69)-1),IF(ISNUMBER(SEARCH("[PERDIDA]",T69)),-V69,0))),0)</f>
        <v/>
      </c>
      <c r="Y69" s="35">
        <f>Y68+X69</f>
        <v/>
      </c>
      <c r="Z69" s="36">
        <f>IF(OR(Q69="",R69=""),"",(L69-IF(Q69&gt;R69,1,0))^2+(M69-IF(Q69=R69,1,0))^2+(N69-IF(Q69&lt;R69,1,0))^2)</f>
        <v/>
      </c>
      <c r="AA69" s="36">
        <f>IF(OR(Q69="",R69="",F69="",F69=0,G69="",G69=0,H69="",H69=0),"",((1/F69/(1/F69+1/G69+1/H69))-IF(Q69&gt;R69,1,0))^2+((1/G69/(1/F69+1/G69+1/H69))-IF(Q69=R69,1,0))^2+((1/H69/(1/F69+1/G69+1/H69))-IF(Q69&lt;R69,1,0))^2)</f>
        <v/>
      </c>
      <c r="AB69" s="37" t="n">
        <v>1.282</v>
      </c>
      <c r="AC69" s="33" t="inlineStr">
        <is>
          <t>NO</t>
        </is>
      </c>
    </row>
    <row r="70">
      <c r="A70" s="30" t="n">
        <v>46113</v>
      </c>
      <c r="B70" s="31" t="inlineStr">
        <is>
          <t>2026-04-01fluminensecorinthians</t>
        </is>
      </c>
      <c r="C70" s="31" t="inlineStr">
        <is>
          <t>Fluminense vs Corinthians</t>
        </is>
      </c>
      <c r="D70" s="31" t="inlineStr">
        <is>
          <t>Fluminense</t>
        </is>
      </c>
      <c r="E70" s="31" t="inlineStr">
        <is>
          <t>Corinthians</t>
        </is>
      </c>
      <c r="F70" s="32" t="n">
        <v>5.83</v>
      </c>
      <c r="G70" s="32" t="n">
        <v>3.57</v>
      </c>
      <c r="H70" s="32" t="n">
        <v>1.71</v>
      </c>
      <c r="I70" s="32" t="n">
        <v>2.33</v>
      </c>
      <c r="J70" s="32" t="n">
        <v>1.63</v>
      </c>
      <c r="K70" s="33" t="inlineStr">
        <is>
          <t>Brasil</t>
        </is>
      </c>
      <c r="L70" s="34" t="n">
        <v>0.498617</v>
      </c>
      <c r="M70" s="34" t="n">
        <v>0.183129</v>
      </c>
      <c r="N70" s="34" t="n">
        <v>0.318255</v>
      </c>
      <c r="O70" s="34" t="n">
        <v>0.8431118198075197</v>
      </c>
      <c r="P70" s="34" t="n">
        <v>0.1568881801924803</v>
      </c>
      <c r="Q70" s="33" t="n">
        <v>3</v>
      </c>
      <c r="R70" s="33" t="n">
        <v>1</v>
      </c>
      <c r="S70" s="31" t="inlineStr">
        <is>
          <t>[GANADA] LOCAL</t>
        </is>
      </c>
      <c r="T70" s="31" t="inlineStr">
        <is>
          <t>[PASAR] Sin Valor</t>
        </is>
      </c>
      <c r="U70" s="35" t="n">
        <v>1020.62</v>
      </c>
      <c r="V70" s="35" t="n">
        <v>0</v>
      </c>
      <c r="W70" s="31">
        <f>IF(L70="","",IF((MAX(L70,M70,N70)-MEDIAN(L70,M70,N70))&gt;0.05,IF(OR(Q70="",R70=""),"[PREDICCION] "&amp;IF(L70=MAX(L70,M70,N70),"LOCAL",IF(M70=MAX(L70,M70,N70),"EMPATE","VISITA")),IF(L70=MAX(L70,M70,N70),IF(Q70&gt;R70,"[ACIERTO]","[FALLO]"),IF(M70=MAX(L70,M70,N70),IF(Q70=R70,"[ACIERTO]","[FALLO]"),IF(Q70&lt;R70,"[ACIERTO]","[FALLO]")))),"[PASAR] Margen Insuf"))</f>
        <v/>
      </c>
      <c r="X70" s="35">
        <f>IFERROR(IF(U70=0,0,IF(ISNUMBER(SEARCH("[GANADA]",S70)),U70*(IF(ISNUMBER(SEARCH("LOCAL",S70)),F70,IF(ISNUMBER(SEARCH("EMPATE",S70)),G70,H70))-1),IF(ISNUMBER(SEARCH("[PERDIDA]",S70)),-U70,0))),0)+IFERROR(IF(V70=0,0,IF(ISNUMBER(SEARCH("[GANADA]",T70)),V70*(IF(ISNUMBER(SEARCH("OVER",T70)),I70,J70)-1),IF(ISNUMBER(SEARCH("[PERDIDA]",T70)),-V70,0))),0)</f>
        <v/>
      </c>
      <c r="Y70" s="35">
        <f>Y69+X70</f>
        <v/>
      </c>
      <c r="Z70" s="36">
        <f>IF(OR(Q70="",R70=""),"",(L70-IF(Q70&gt;R70,1,0))^2+(M70-IF(Q70=R70,1,0))^2+(N70-IF(Q70&lt;R70,1,0))^2)</f>
        <v/>
      </c>
      <c r="AA70" s="36">
        <f>IF(OR(Q70="",R70="",F70="",F70=0,G70="",G70=0,H70="",H70=0),"",((1/F70/(1/F70+1/G70+1/H70))-IF(Q70&gt;R70,1,0))^2+((1/G70/(1/F70+1/G70+1/H70))-IF(Q70=R70,1,0))^2+((1/H70/(1/F70+1/G70+1/H70))-IF(Q70&lt;R70,1,0))^2)</f>
        <v/>
      </c>
      <c r="AB70" s="37" t="n">
        <v>1.249</v>
      </c>
      <c r="AC70" s="33" t="inlineStr">
        <is>
          <t>NO</t>
        </is>
      </c>
    </row>
    <row r="71">
      <c r="A71" s="30" t="n">
        <v>46113</v>
      </c>
      <c r="B71" s="31" t="inlineStr">
        <is>
          <t>2026-04-01internacionalsaopaulo</t>
        </is>
      </c>
      <c r="C71" s="31" t="inlineStr">
        <is>
          <t>Internacional vs São Paulo</t>
        </is>
      </c>
      <c r="D71" s="31" t="inlineStr">
        <is>
          <t>Internacional</t>
        </is>
      </c>
      <c r="E71" s="31" t="inlineStr">
        <is>
          <t>São Paulo</t>
        </is>
      </c>
      <c r="F71" s="32" t="n">
        <v>2.31</v>
      </c>
      <c r="G71" s="32" t="n">
        <v>3.01</v>
      </c>
      <c r="H71" s="32" t="n">
        <v>3.44</v>
      </c>
      <c r="I71" s="32" t="n">
        <v>2.17</v>
      </c>
      <c r="J71" s="32" t="n">
        <v>1.72</v>
      </c>
      <c r="K71" s="33" t="inlineStr">
        <is>
          <t>Brasil</t>
        </is>
      </c>
      <c r="L71" s="34" t="n">
        <v>0.444581</v>
      </c>
      <c r="M71" s="34" t="n">
        <v>0.193547</v>
      </c>
      <c r="N71" s="34" t="n">
        <v>0.361872</v>
      </c>
      <c r="O71" s="34" t="n">
        <v>0.8065900598229211</v>
      </c>
      <c r="P71" s="34" t="n">
        <v>0.1934099401770789</v>
      </c>
      <c r="Q71" s="33" t="n">
        <v>1</v>
      </c>
      <c r="R71" s="33" t="n">
        <v>1</v>
      </c>
      <c r="S71" s="31" t="inlineStr">
        <is>
          <t>[PERDIDA] VISITA</t>
        </is>
      </c>
      <c r="T71" s="31" t="inlineStr">
        <is>
          <t>[PASAR] Sin Valor</t>
        </is>
      </c>
      <c r="U71" s="35" t="n">
        <v>1020.62</v>
      </c>
      <c r="V71" s="35" t="n">
        <v>0</v>
      </c>
      <c r="W71" s="31">
        <f>IF(L71="","",IF((MAX(L71,M71,N71)-MEDIAN(L71,M71,N71))&gt;0.05,IF(OR(Q71="",R71=""),"[PREDICCION] "&amp;IF(L71=MAX(L71,M71,N71),"LOCAL",IF(M71=MAX(L71,M71,N71),"EMPATE","VISITA")),IF(L71=MAX(L71,M71,N71),IF(Q71&gt;R71,"[ACIERTO]","[FALLO]"),IF(M71=MAX(L71,M71,N71),IF(Q71=R71,"[ACIERTO]","[FALLO]"),IF(Q71&lt;R71,"[ACIERTO]","[FALLO]")))),"[PASAR] Margen Insuf"))</f>
        <v/>
      </c>
      <c r="X71" s="35">
        <f>IFERROR(IF(U71=0,0,IF(ISNUMBER(SEARCH("[GANADA]",S71)),U71*(IF(ISNUMBER(SEARCH("LOCAL",S71)),F71,IF(ISNUMBER(SEARCH("EMPATE",S71)),G71,H71))-1),IF(ISNUMBER(SEARCH("[PERDIDA]",S71)),-U71,0))),0)+IFERROR(IF(V71=0,0,IF(ISNUMBER(SEARCH("[GANADA]",T71)),V71*(IF(ISNUMBER(SEARCH("OVER",T71)),I71,J71)-1),IF(ISNUMBER(SEARCH("[PERDIDA]",T71)),-V71,0))),0)</f>
        <v/>
      </c>
      <c r="Y71" s="35">
        <f>Y70+X71</f>
        <v/>
      </c>
      <c r="Z71" s="36">
        <f>IF(OR(Q71="",R71=""),"",(L71-IF(Q71&gt;R71,1,0))^2+(M71-IF(Q71=R71,1,0))^2+(N71-IF(Q71&lt;R71,1,0))^2)</f>
        <v/>
      </c>
      <c r="AA71" s="36">
        <f>IF(OR(Q71="",R71="",F71="",F71=0,G71="",G71=0,H71="",H71=0),"",((1/F71/(1/F71+1/G71+1/H71))-IF(Q71&gt;R71,1,0))^2+((1/G71/(1/F71+1/G71+1/H71))-IF(Q71=R71,1,0))^2+((1/H71/(1/F71+1/G71+1/H71))-IF(Q71&lt;R71,1,0))^2)</f>
        <v/>
      </c>
      <c r="AB71" s="37" t="n">
        <v>1.3423</v>
      </c>
      <c r="AC71" s="33" t="inlineStr">
        <is>
          <t>NO</t>
        </is>
      </c>
    </row>
    <row r="72">
      <c r="A72" s="30" t="n">
        <v>46113</v>
      </c>
      <c r="B72" s="31" t="inlineStr">
        <is>
          <t>2026-04-01lanusplatense</t>
        </is>
      </c>
      <c r="C72" s="31" t="inlineStr">
        <is>
          <t>Lanús vs Platense</t>
        </is>
      </c>
      <c r="D72" s="31" t="inlineStr">
        <is>
          <t>Lanús</t>
        </is>
      </c>
      <c r="E72" s="31" t="inlineStr">
        <is>
          <t>Platense</t>
        </is>
      </c>
      <c r="F72" s="32" t="n">
        <v>2.24</v>
      </c>
      <c r="G72" s="32" t="n">
        <v>2.94</v>
      </c>
      <c r="H72" s="32" t="n">
        <v>4.04</v>
      </c>
      <c r="I72" s="32" t="n"/>
      <c r="J72" s="32" t="n"/>
      <c r="K72" s="33" t="inlineStr">
        <is>
          <t>Argentina</t>
        </is>
      </c>
      <c r="L72" s="34" t="n">
        <v>0.3990407246144262</v>
      </c>
      <c r="M72" s="34" t="n">
        <v>0.2439174902548115</v>
      </c>
      <c r="N72" s="34" t="n">
        <v>0.3570417851307622</v>
      </c>
      <c r="O72" s="34" t="n">
        <v>0.6445671304852654</v>
      </c>
      <c r="P72" s="34" t="n">
        <v>0.3554328695147346</v>
      </c>
      <c r="Q72" s="33" t="n">
        <v>0</v>
      </c>
      <c r="R72" s="33" t="n">
        <v>0</v>
      </c>
      <c r="S72" s="31" t="inlineStr">
        <is>
          <t>[PERDIDA] VISITA</t>
        </is>
      </c>
      <c r="T72" s="31" t="inlineStr">
        <is>
          <t>[PASAR] Sin Cuotas</t>
        </is>
      </c>
      <c r="U72" s="35" t="n">
        <v>2500</v>
      </c>
      <c r="V72" s="35" t="n">
        <v>0</v>
      </c>
      <c r="W72" s="31">
        <f>IF(L72="","",IF((MAX(L72,M72,N72)-MEDIAN(L72,M72,N72))&gt;0.05,IF(OR(Q72="",R72=""),"[PREDICCION] "&amp;IF(L72=MAX(L72,M72,N72),"LOCAL",IF(M72=MAX(L72,M72,N72),"EMPATE","VISITA")),IF(L72=MAX(L72,M72,N72),IF(Q72&gt;R72,"[ACIERTO]","[FALLO]"),IF(M72=MAX(L72,M72,N72),IF(Q72=R72,"[ACIERTO]","[FALLO]"),IF(Q72&lt;R72,"[ACIERTO]","[FALLO]")))),"[PASAR] Margen Insuf"))</f>
        <v/>
      </c>
      <c r="X72" s="35">
        <f>IFERROR(IF(U72=0,0,IF(ISNUMBER(SEARCH("[GANADA]",S72)),U72*(IF(ISNUMBER(SEARCH("LOCAL",S72)),F72,IF(ISNUMBER(SEARCH("EMPATE",S72)),G72,H72))-1),IF(ISNUMBER(SEARCH("[PERDIDA]",S72)),-U72,0))),0)+IFERROR(IF(V72=0,0,IF(ISNUMBER(SEARCH("[GANADA]",T72)),V72*(IF(ISNUMBER(SEARCH("OVER",T72)),I72,J72)-1),IF(ISNUMBER(SEARCH("[PERDIDA]",T72)),-V72,0))),0)</f>
        <v/>
      </c>
      <c r="Y72" s="35">
        <f>Y71+X72</f>
        <v/>
      </c>
      <c r="Z72" s="36">
        <f>IF(OR(Q72="",R72=""),"",(L72-IF(Q72&gt;R72,1,0))^2+(M72-IF(Q72=R72,1,0))^2+(N72-IF(Q72&lt;R72,1,0))^2)</f>
        <v/>
      </c>
      <c r="AA72" s="36">
        <f>IF(OR(Q72="",R72="",F72="",F72=0,G72="",G72=0,H72="",H72=0),"",((1/F72/(1/F72+1/G72+1/H72))-IF(Q72&gt;R72,1,0))^2+((1/G72/(1/F72+1/G72+1/H72))-IF(Q72=R72,1,0))^2+((1/H72/(1/F72+1/G72+1/H72))-IF(Q72&lt;R72,1,0))^2)</f>
        <v/>
      </c>
      <c r="AB72" s="37" t="n">
        <v>1.08</v>
      </c>
      <c r="AC72" s="33" t="inlineStr">
        <is>
          <t>NO</t>
        </is>
      </c>
    </row>
    <row r="73">
      <c r="A73" s="30" t="n">
        <v>46114</v>
      </c>
      <c r="B73" s="31" t="inlineStr">
        <is>
          <t>2026-04-02barracascentralsarmientojunin</t>
        </is>
      </c>
      <c r="C73" s="31" t="inlineStr">
        <is>
          <t>Barracas Central vs Sarmiento (junin)</t>
        </is>
      </c>
      <c r="D73" s="31" t="inlineStr">
        <is>
          <t>Barracas Central</t>
        </is>
      </c>
      <c r="E73" s="31" t="inlineStr">
        <is>
          <t>Sarmiento (junin)</t>
        </is>
      </c>
      <c r="F73" s="32" t="n">
        <v>2.67</v>
      </c>
      <c r="G73" s="32" t="n">
        <v>2.84</v>
      </c>
      <c r="H73" s="32" t="n">
        <v>3.27</v>
      </c>
      <c r="I73" s="32" t="n"/>
      <c r="J73" s="32" t="n"/>
      <c r="K73" s="33" t="inlineStr">
        <is>
          <t>Argentina</t>
        </is>
      </c>
      <c r="L73" s="34" t="n">
        <v>0.428196</v>
      </c>
      <c r="M73" s="34" t="n">
        <v>0.22432</v>
      </c>
      <c r="N73" s="34" t="n">
        <v>0.347484</v>
      </c>
      <c r="O73" s="34" t="n">
        <v>0.6901866789251802</v>
      </c>
      <c r="P73" s="34" t="n">
        <v>0.3098133210748198</v>
      </c>
      <c r="Q73" s="33" t="n">
        <v>1</v>
      </c>
      <c r="R73" s="33" t="n">
        <v>2</v>
      </c>
      <c r="S73" s="31" t="inlineStr">
        <is>
          <t>[PERDIDA] LOCAL</t>
        </is>
      </c>
      <c r="T73" s="31" t="inlineStr">
        <is>
          <t>[PASAR] Sin Cuotas</t>
        </is>
      </c>
      <c r="U73" s="35" t="n">
        <v>2500</v>
      </c>
      <c r="V73" s="35" t="n">
        <v>0</v>
      </c>
      <c r="W73" s="31">
        <f>IF(L73="","",IF((MAX(L73,M73,N73)-MEDIAN(L73,M73,N73))&gt;0.05,IF(OR(Q73="",R73=""),"[PREDICCION] "&amp;IF(L73=MAX(L73,M73,N73),"LOCAL",IF(M73=MAX(L73,M73,N73),"EMPATE","VISITA")),IF(L73=MAX(L73,M73,N73),IF(Q73&gt;R73,"[ACIERTO]","[FALLO]"),IF(M73=MAX(L73,M73,N73),IF(Q73=R73,"[ACIERTO]","[FALLO]"),IF(Q73&lt;R73,"[ACIERTO]","[FALLO]")))),"[PASAR] Margen Insuf"))</f>
        <v/>
      </c>
      <c r="X73" s="35">
        <f>IFERROR(IF(U73=0,0,IF(ISNUMBER(SEARCH("[GANADA]",S73)),U73*(IF(ISNUMBER(SEARCH("LOCAL",S73)),F73,IF(ISNUMBER(SEARCH("EMPATE",S73)),G73,H73))-1),IF(ISNUMBER(SEARCH("[PERDIDA]",S73)),-U73,0))),0)+IFERROR(IF(V73=0,0,IF(ISNUMBER(SEARCH("[GANADA]",T73)),V73*(IF(ISNUMBER(SEARCH("OVER",T73)),I73,J73)-1),IF(ISNUMBER(SEARCH("[PERDIDA]",T73)),-V73,0))),0)</f>
        <v/>
      </c>
      <c r="Y73" s="35">
        <f>Y72+X73</f>
        <v/>
      </c>
      <c r="Z73" s="36">
        <f>IF(OR(Q73="",R73=""),"",(L73-IF(Q73&gt;R73,1,0))^2+(M73-IF(Q73=R73,1,0))^2+(N73-IF(Q73&lt;R73,1,0))^2)</f>
        <v/>
      </c>
      <c r="AA73" s="36">
        <f>IF(OR(Q73="",R73="",F73="",F73=0,G73="",G73=0,H73="",H73=0),"",((1/F73/(1/F73+1/G73+1/H73))-IF(Q73&gt;R73,1,0))^2+((1/G73/(1/F73+1/G73+1/H73))-IF(Q73=R73,1,0))^2+((1/H73/(1/F73+1/G73+1/H73))-IF(Q73&lt;R73,1,0))^2)</f>
        <v/>
      </c>
      <c r="AB73" s="37" t="n">
        <v>0.8416</v>
      </c>
      <c r="AC73" s="33" t="inlineStr">
        <is>
          <t>NO</t>
        </is>
      </c>
    </row>
    <row r="74">
      <c r="A74" s="30" t="n">
        <v>46114</v>
      </c>
      <c r="B74" s="31" t="inlineStr">
        <is>
          <t>2026-04-02chapecoenseatleticomg</t>
        </is>
      </c>
      <c r="C74" s="31" t="inlineStr">
        <is>
          <t>Chapecoense vs Atlético-mg</t>
        </is>
      </c>
      <c r="D74" s="31" t="inlineStr">
        <is>
          <t>Chapecoense</t>
        </is>
      </c>
      <c r="E74" s="31" t="inlineStr">
        <is>
          <t>Atlético-mg</t>
        </is>
      </c>
      <c r="F74" s="32" t="n">
        <v>2.47</v>
      </c>
      <c r="G74" s="32" t="n">
        <v>3.4</v>
      </c>
      <c r="H74" s="32" t="n">
        <v>2.87</v>
      </c>
      <c r="I74" s="32" t="n"/>
      <c r="J74" s="32" t="n"/>
      <c r="K74" s="33" t="inlineStr">
        <is>
          <t>Brasil</t>
        </is>
      </c>
      <c r="L74" s="34" t="n">
        <v>0.355938</v>
      </c>
      <c r="M74" s="34" t="n">
        <v>0.180519</v>
      </c>
      <c r="N74" s="34" t="n">
        <v>0.463543</v>
      </c>
      <c r="O74" s="34" t="n">
        <v>0.8646247668090318</v>
      </c>
      <c r="P74" s="34" t="n">
        <v>0.1353752331909683</v>
      </c>
      <c r="Q74" s="33" t="n">
        <v>0</v>
      </c>
      <c r="R74" s="33" t="n">
        <v>4</v>
      </c>
      <c r="S74" s="31" t="inlineStr">
        <is>
          <t>[GANADA] VISITA</t>
        </is>
      </c>
      <c r="T74" s="31" t="inlineStr">
        <is>
          <t>[PASAR] Sin Cuotas</t>
        </is>
      </c>
      <c r="U74" s="35" t="n">
        <v>1118.03</v>
      </c>
      <c r="V74" s="35" t="n">
        <v>0</v>
      </c>
      <c r="W74" s="31">
        <f>IF(L74="","",IF((MAX(L74,M74,N74)-MEDIAN(L74,M74,N74))&gt;0.05,IF(OR(Q74="",R74=""),"[PREDICCION] "&amp;IF(L74=MAX(L74,M74,N74),"LOCAL",IF(M74=MAX(L74,M74,N74),"EMPATE","VISITA")),IF(L74=MAX(L74,M74,N74),IF(Q74&gt;R74,"[ACIERTO]","[FALLO]"),IF(M74=MAX(L74,M74,N74),IF(Q74=R74,"[ACIERTO]","[FALLO]"),IF(Q74&lt;R74,"[ACIERTO]","[FALLO]")))),"[PASAR] Margen Insuf"))</f>
        <v/>
      </c>
      <c r="X74" s="35">
        <f>IFERROR(IF(U74=0,0,IF(ISNUMBER(SEARCH("[GANADA]",S74)),U74*(IF(ISNUMBER(SEARCH("LOCAL",S74)),F74,IF(ISNUMBER(SEARCH("EMPATE",S74)),G74,H74))-1),IF(ISNUMBER(SEARCH("[PERDIDA]",S74)),-U74,0))),0)+IFERROR(IF(V74=0,0,IF(ISNUMBER(SEARCH("[GANADA]",T74)),V74*(IF(ISNUMBER(SEARCH("OVER",T74)),I74,J74)-1),IF(ISNUMBER(SEARCH("[PERDIDA]",T74)),-V74,0))),0)</f>
        <v/>
      </c>
      <c r="Y74" s="35">
        <f>Y73+X74</f>
        <v/>
      </c>
      <c r="Z74" s="36">
        <f>IF(OR(Q74="",R74=""),"",(L74-IF(Q74&gt;R74,1,0))^2+(M74-IF(Q74=R74,1,0))^2+(N74-IF(Q74&lt;R74,1,0))^2)</f>
        <v/>
      </c>
      <c r="AA74" s="36">
        <f>IF(OR(Q74="",R74="",F74="",F74=0,G74="",G74=0,H74="",H74=0),"",((1/F74/(1/F74+1/G74+1/H74))-IF(Q74&gt;R74,1,0))^2+((1/G74/(1/F74+1/G74+1/H74))-IF(Q74=R74,1,0))^2+((1/H74/(1/F74+1/G74+1/H74))-IF(Q74&lt;R74,1,0))^2)</f>
        <v/>
      </c>
      <c r="AB74" s="37" t="n">
        <v>1.2452</v>
      </c>
      <c r="AC74" s="33" t="inlineStr">
        <is>
          <t>NO</t>
        </is>
      </c>
    </row>
    <row r="75">
      <c r="A75" s="30" t="n">
        <v>46113</v>
      </c>
      <c r="B75" s="31" t="inlineStr">
        <is>
          <t>2026-04-02fluminensecorinthians</t>
        </is>
      </c>
      <c r="C75" s="31" t="inlineStr">
        <is>
          <t>Fluminense vs Corinthians</t>
        </is>
      </c>
      <c r="D75" s="31" t="inlineStr">
        <is>
          <t>Fluminense</t>
        </is>
      </c>
      <c r="E75" s="31" t="inlineStr">
        <is>
          <t>Corinthians</t>
        </is>
      </c>
      <c r="F75" s="32" t="n">
        <v>5.83</v>
      </c>
      <c r="G75" s="32" t="n">
        <v>3.57</v>
      </c>
      <c r="H75" s="32" t="n">
        <v>1.71</v>
      </c>
      <c r="I75" s="32" t="n"/>
      <c r="J75" s="32" t="n"/>
      <c r="K75" s="33" t="inlineStr">
        <is>
          <t>Brasil</t>
        </is>
      </c>
      <c r="L75" s="34" t="n">
        <v>0.498617</v>
      </c>
      <c r="M75" s="34" t="n">
        <v>0.183129</v>
      </c>
      <c r="N75" s="34" t="n">
        <v>0.318255</v>
      </c>
      <c r="O75" s="34" t="n">
        <v>0.8431118198075197</v>
      </c>
      <c r="P75" s="34" t="n">
        <v>0.1568881801924803</v>
      </c>
      <c r="Q75" s="33" t="n">
        <v>3</v>
      </c>
      <c r="R75" s="33" t="n">
        <v>1</v>
      </c>
      <c r="S75" s="31">
        <f>IF(OR(Q75="",R75=""),"[APOSTAR] LOCAL",IF(Q75&gt;R75,"[GANADA] LOCAL","[PERDIDA] LOCAL"))</f>
        <v/>
      </c>
      <c r="T75" s="31" t="inlineStr">
        <is>
          <t>[PASAR] Sin Cuotas</t>
        </is>
      </c>
      <c r="U75" s="35" t="n">
        <v>2500</v>
      </c>
      <c r="V75" s="35" t="n">
        <v>0</v>
      </c>
      <c r="W75" s="31">
        <f>IF(L75="","",IF((MAX(L75,M75,N75)-MEDIAN(L75,M75,N75))&gt;0.05,IF(OR(Q75="",R75=""),"[PREDICCION] "&amp;IF(L75=MAX(L75,M75,N75),"LOCAL",IF(M75=MAX(L75,M75,N75),"EMPATE","VISITA")),IF(L75=MAX(L75,M75,N75),IF(Q75&gt;R75,"[ACIERTO]","[FALLO]"),IF(M75=MAX(L75,M75,N75),IF(Q75=R75,"[ACIERTO]","[FALLO]"),IF(Q75&lt;R75,"[ACIERTO]","[FALLO]")))),"[PASAR] Margen Insuf"))</f>
        <v/>
      </c>
      <c r="X75" s="35">
        <f>IFERROR(IF(U75=0,0,IF(ISNUMBER(SEARCH("[GANADA]",S75)),U75*(IF(ISNUMBER(SEARCH("LOCAL",S75)),F75,IF(ISNUMBER(SEARCH("EMPATE",S75)),G75,H75))-1),IF(ISNUMBER(SEARCH("[PERDIDA]",S75)),-U75,0))),0)+IFERROR(IF(V75=0,0,IF(ISNUMBER(SEARCH("[GANADA]",T75)),V75*(IF(ISNUMBER(SEARCH("OVER",T75)),I75,J75)-1),IF(ISNUMBER(SEARCH("[PERDIDA]",T75)),-V75,0))),0)</f>
        <v/>
      </c>
      <c r="Y75" s="35">
        <f>Y74+X75</f>
        <v/>
      </c>
      <c r="Z75" s="36">
        <f>IF(OR(Q75="",R75=""),"",(L75-IF(Q75&gt;R75,1,0))^2+(M75-IF(Q75=R75,1,0))^2+(N75-IF(Q75&lt;R75,1,0))^2)</f>
        <v/>
      </c>
      <c r="AA75" s="36">
        <f>IF(OR(Q75="",R75="",F75="",F75=0,G75="",G75=0,H75="",H75=0),"",((1/F75/(1/F75+1/G75+1/H75))-IF(Q75&gt;R75,1,0))^2+((1/G75/(1/F75+1/G75+1/H75))-IF(Q75=R75,1,0))^2+((1/H75/(1/F75+1/G75+1/H75))-IF(Q75&lt;R75,1,0))^2)</f>
        <v/>
      </c>
      <c r="AB75" s="37" t="n">
        <v>1.249</v>
      </c>
      <c r="AC75" s="33" t="inlineStr">
        <is>
          <t>NO</t>
        </is>
      </c>
    </row>
    <row r="76">
      <c r="A76" s="30" t="n">
        <v>46114</v>
      </c>
      <c r="B76" s="31" t="inlineStr">
        <is>
          <t>2026-04-02palmeirasgremio</t>
        </is>
      </c>
      <c r="C76" s="31" t="inlineStr">
        <is>
          <t>Palmeiras vs Grêmio</t>
        </is>
      </c>
      <c r="D76" s="31" t="inlineStr">
        <is>
          <t>Palmeiras</t>
        </is>
      </c>
      <c r="E76" s="31" t="inlineStr">
        <is>
          <t>Grêmio</t>
        </is>
      </c>
      <c r="F76" s="32" t="n">
        <v>6.03</v>
      </c>
      <c r="G76" s="32" t="n">
        <v>4.24</v>
      </c>
      <c r="H76" s="32" t="n">
        <v>1.54</v>
      </c>
      <c r="I76" s="32" t="n">
        <v>1.86</v>
      </c>
      <c r="J76" s="32" t="n">
        <v>2</v>
      </c>
      <c r="K76" s="33" t="inlineStr">
        <is>
          <t>Brasil</t>
        </is>
      </c>
      <c r="L76" s="34" t="n">
        <v>0.451681</v>
      </c>
      <c r="M76" s="34" t="n">
        <v>0.189482</v>
      </c>
      <c r="N76" s="34" t="n">
        <v>0.358837</v>
      </c>
      <c r="O76" s="34" t="n">
        <v>0.8252512877803759</v>
      </c>
      <c r="P76" s="34" t="n">
        <v>0.1747487122196241</v>
      </c>
      <c r="Q76" s="33" t="n">
        <v>2</v>
      </c>
      <c r="R76" s="33" t="n">
        <v>1</v>
      </c>
      <c r="S76" s="31" t="inlineStr">
        <is>
          <t>[GANADA] LOCAL</t>
        </is>
      </c>
      <c r="T76" s="31" t="inlineStr">
        <is>
          <t>[PASAR] Sin Valor</t>
        </is>
      </c>
      <c r="U76" s="35" t="n">
        <v>1118.03</v>
      </c>
      <c r="V76" s="35" t="n">
        <v>0</v>
      </c>
      <c r="W76" s="31">
        <f>IF(L76="","",IF((MAX(L76,M76,N76)-MEDIAN(L76,M76,N76))&gt;0.05,IF(OR(Q76="",R76=""),"[PREDICCION] "&amp;IF(L76=MAX(L76,M76,N76),"LOCAL",IF(M76=MAX(L76,M76,N76),"EMPATE","VISITA")),IF(L76=MAX(L76,M76,N76),IF(Q76&gt;R76,"[ACIERTO]","[FALLO]"),IF(M76=MAX(L76,M76,N76),IF(Q76=R76,"[ACIERTO]","[FALLO]"),IF(Q76&lt;R76,"[ACIERTO]","[FALLO]")))),"[PASAR] Margen Insuf"))</f>
        <v/>
      </c>
      <c r="X76" s="35">
        <f>IFERROR(IF(U76=0,0,IF(ISNUMBER(SEARCH("[GANADA]",S76)),U76*(IF(ISNUMBER(SEARCH("LOCAL",S76)),F76,IF(ISNUMBER(SEARCH("EMPATE",S76)),G76,H76))-1),IF(ISNUMBER(SEARCH("[PERDIDA]",S76)),-U76,0))),0)+IFERROR(IF(V76=0,0,IF(ISNUMBER(SEARCH("[GANADA]",T76)),V76*(IF(ISNUMBER(SEARCH("OVER",T76)),I76,J76)-1),IF(ISNUMBER(SEARCH("[PERDIDA]",T76)),-V76,0))),0)</f>
        <v/>
      </c>
      <c r="Y76" s="35">
        <f>Y75+X76</f>
        <v/>
      </c>
      <c r="Z76" s="36">
        <f>IF(OR(Q76="",R76=""),"",(L76-IF(Q76&gt;R76,1,0))^2+(M76-IF(Q76=R76,1,0))^2+(N76-IF(Q76&lt;R76,1,0))^2)</f>
        <v/>
      </c>
      <c r="AA76" s="36">
        <f>IF(OR(Q76="",R76="",F76="",F76=0,G76="",G76=0,H76="",H76=0),"",((1/F76/(1/F76+1/G76+1/H76))-IF(Q76&gt;R76,1,0))^2+((1/G76/(1/F76+1/G76+1/H76))-IF(Q76=R76,1,0))^2+((1/H76/(1/F76+1/G76+1/H76))-IF(Q76&lt;R76,1,0))^2)</f>
        <v/>
      </c>
      <c r="AB76" s="37" t="n">
        <v>1.1985</v>
      </c>
      <c r="AC76" s="33" t="inlineStr">
        <is>
          <t>NO</t>
        </is>
      </c>
    </row>
    <row r="77">
      <c r="A77" s="30" t="n">
        <v>46114</v>
      </c>
      <c r="B77" s="31" t="inlineStr">
        <is>
          <t>2026-04-02redbullbragantinoflamengo</t>
        </is>
      </c>
      <c r="C77" s="31" t="inlineStr">
        <is>
          <t>Red Bull Bragantino vs Flamengo</t>
        </is>
      </c>
      <c r="D77" s="31" t="inlineStr">
        <is>
          <t>Red Bull Bragantino</t>
        </is>
      </c>
      <c r="E77" s="31" t="inlineStr">
        <is>
          <t>Flamengo</t>
        </is>
      </c>
      <c r="F77" s="32" t="n">
        <v>4.42</v>
      </c>
      <c r="G77" s="32" t="n">
        <v>3.41</v>
      </c>
      <c r="H77" s="32" t="n">
        <v>1.88</v>
      </c>
      <c r="I77" s="32" t="n"/>
      <c r="J77" s="32" t="n"/>
      <c r="K77" s="33" t="inlineStr">
        <is>
          <t>Brasil</t>
        </is>
      </c>
      <c r="L77" s="34" t="n">
        <v>0.47256</v>
      </c>
      <c r="M77" s="34" t="n">
        <v>0.190986</v>
      </c>
      <c r="N77" s="34" t="n">
        <v>0.336454</v>
      </c>
      <c r="O77" s="34" t="n">
        <v>0.813505742420057</v>
      </c>
      <c r="P77" s="34" t="n">
        <v>0.186494257579943</v>
      </c>
      <c r="Q77" s="33" t="n">
        <v>3</v>
      </c>
      <c r="R77" s="33" t="n">
        <v>0</v>
      </c>
      <c r="S77" s="31" t="inlineStr">
        <is>
          <t>[GANADA] LOCAL</t>
        </is>
      </c>
      <c r="T77" s="31" t="inlineStr">
        <is>
          <t>[PASAR] Sin Cuotas</t>
        </is>
      </c>
      <c r="U77" s="35" t="n">
        <v>1118.03</v>
      </c>
      <c r="V77" s="35" t="n">
        <v>0</v>
      </c>
      <c r="W77" s="31">
        <f>IF(L77="","",IF((MAX(L77,M77,N77)-MEDIAN(L77,M77,N77))&gt;0.05,IF(OR(Q77="",R77=""),"[PREDICCION] "&amp;IF(L77=MAX(L77,M77,N77),"LOCAL",IF(M77=MAX(L77,M77,N77),"EMPATE","VISITA")),IF(L77=MAX(L77,M77,N77),IF(Q77&gt;R77,"[ACIERTO]","[FALLO]"),IF(M77=MAX(L77,M77,N77),IF(Q77=R77,"[ACIERTO]","[FALLO]"),IF(Q77&lt;R77,"[ACIERTO]","[FALLO]")))),"[PASAR] Margen Insuf"))</f>
        <v/>
      </c>
      <c r="X77" s="35">
        <f>IFERROR(IF(U77=0,0,IF(ISNUMBER(SEARCH("[GANADA]",S77)),U77*(IF(ISNUMBER(SEARCH("LOCAL",S77)),F77,IF(ISNUMBER(SEARCH("EMPATE",S77)),G77,H77))-1),IF(ISNUMBER(SEARCH("[PERDIDA]",S77)),-U77,0))),0)+IFERROR(IF(V77=0,0,IF(ISNUMBER(SEARCH("[GANADA]",T77)),V77*(IF(ISNUMBER(SEARCH("OVER",T77)),I77,J77)-1),IF(ISNUMBER(SEARCH("[PERDIDA]",T77)),-V77,0))),0)</f>
        <v/>
      </c>
      <c r="Y77" s="35">
        <f>Y76+X77</f>
        <v/>
      </c>
      <c r="Z77" s="36">
        <f>IF(OR(Q77="",R77=""),"",(L77-IF(Q77&gt;R77,1,0))^2+(M77-IF(Q77=R77,1,0))^2+(N77-IF(Q77&lt;R77,1,0))^2)</f>
        <v/>
      </c>
      <c r="AA77" s="36">
        <f>IF(OR(Q77="",R77="",F77="",F77=0,G77="",G77=0,H77="",H77=0),"",((1/F77/(1/F77+1/G77+1/H77))-IF(Q77&gt;R77,1,0))^2+((1/G77/(1/F77+1/G77+1/H77))-IF(Q77=R77,1,0))^2+((1/H77/(1/F77+1/G77+1/H77))-IF(Q77&lt;R77,1,0))^2)</f>
        <v/>
      </c>
      <c r="AB77" s="37" t="n">
        <v>1.2987</v>
      </c>
      <c r="AC77" s="33" t="inlineStr">
        <is>
          <t>NO</t>
        </is>
      </c>
    </row>
    <row r="78">
      <c r="A78" s="30" t="n">
        <v>46114</v>
      </c>
      <c r="B78" s="31" t="inlineStr">
        <is>
          <t>2026-04-02santosremo</t>
        </is>
      </c>
      <c r="C78" s="31" t="inlineStr">
        <is>
          <t>Santos vs Remo</t>
        </is>
      </c>
      <c r="D78" s="31" t="inlineStr">
        <is>
          <t>Santos</t>
        </is>
      </c>
      <c r="E78" s="31" t="inlineStr">
        <is>
          <t>Remo</t>
        </is>
      </c>
      <c r="F78" s="32" t="n">
        <v>6.05</v>
      </c>
      <c r="G78" s="32" t="n">
        <v>3.87</v>
      </c>
      <c r="H78" s="32" t="n">
        <v>1.63</v>
      </c>
      <c r="I78" s="32" t="n">
        <v>1.98</v>
      </c>
      <c r="J78" s="32" t="n">
        <v>1.9</v>
      </c>
      <c r="K78" s="33" t="inlineStr">
        <is>
          <t>Brasil</t>
        </is>
      </c>
      <c r="L78" s="34" t="n">
        <v>0.427965</v>
      </c>
      <c r="M78" s="34" t="n">
        <v>0.188204</v>
      </c>
      <c r="N78" s="34" t="n">
        <v>0.383831</v>
      </c>
      <c r="O78" s="34" t="n">
        <v>0.833122861752444</v>
      </c>
      <c r="P78" s="34" t="n">
        <v>0.166877138247556</v>
      </c>
      <c r="Q78" s="33" t="n">
        <v>2</v>
      </c>
      <c r="R78" s="33" t="n">
        <v>0</v>
      </c>
      <c r="S78" s="31" t="inlineStr">
        <is>
          <t>[GANADA] LOCAL</t>
        </is>
      </c>
      <c r="T78" s="31" t="inlineStr">
        <is>
          <t>[PASAR] Sin Valor</t>
        </is>
      </c>
      <c r="U78" s="35" t="n">
        <v>1118.03</v>
      </c>
      <c r="V78" s="35" t="n">
        <v>0</v>
      </c>
      <c r="W78" s="31">
        <f>IF(L78="","",IF((MAX(L78,M78,N78)-MEDIAN(L78,M78,N78))&gt;0.05,IF(OR(Q78="",R78=""),"[PREDICCION] "&amp;IF(L78=MAX(L78,M78,N78),"LOCAL",IF(M78=MAX(L78,M78,N78),"EMPATE","VISITA")),IF(L78=MAX(L78,M78,N78),IF(Q78&gt;R78,"[ACIERTO]","[FALLO]"),IF(M78=MAX(L78,M78,N78),IF(Q78=R78,"[ACIERTO]","[FALLO]"),IF(Q78&lt;R78,"[ACIERTO]","[FALLO]")))),"[PASAR] Margen Insuf"))</f>
        <v/>
      </c>
      <c r="X78" s="35">
        <f>IFERROR(IF(U78=0,0,IF(ISNUMBER(SEARCH("[GANADA]",S78)),U78*(IF(ISNUMBER(SEARCH("LOCAL",S78)),F78,IF(ISNUMBER(SEARCH("EMPATE",S78)),G78,H78))-1),IF(ISNUMBER(SEARCH("[PERDIDA]",S78)),-U78,0))),0)+IFERROR(IF(V78=0,0,IF(ISNUMBER(SEARCH("[GANADA]",T78)),V78*(IF(ISNUMBER(SEARCH("OVER",T78)),I78,J78)-1),IF(ISNUMBER(SEARCH("[PERDIDA]",T78)),-V78,0))),0)</f>
        <v/>
      </c>
      <c r="Y78" s="35">
        <f>Y77+X78</f>
        <v/>
      </c>
      <c r="Z78" s="36">
        <f>IF(OR(Q78="",R78=""),"",(L78-IF(Q78&gt;R78,1,0))^2+(M78-IF(Q78=R78,1,0))^2+(N78-IF(Q78&lt;R78,1,0))^2)</f>
        <v/>
      </c>
      <c r="AA78" s="36">
        <f>IF(OR(Q78="",R78="",F78="",F78=0,G78="",G78=0,H78="",H78=0),"",((1/F78/(1/F78+1/G78+1/H78))-IF(Q78&gt;R78,1,0))^2+((1/G78/(1/F78+1/G78+1/H78))-IF(Q78=R78,1,0))^2+((1/H78/(1/F78+1/G78+1/H78))-IF(Q78&lt;R78,1,0))^2)</f>
        <v/>
      </c>
      <c r="AB78" s="37" t="n">
        <v>1.2846</v>
      </c>
      <c r="AC78" s="33" t="inlineStr">
        <is>
          <t>NO</t>
        </is>
      </c>
    </row>
    <row r="79">
      <c r="A79" s="30" t="n">
        <v>46114</v>
      </c>
      <c r="B79" s="31" t="inlineStr">
        <is>
          <t>2026-04-02tallerescordobabocajuniors</t>
        </is>
      </c>
      <c r="C79" s="31" t="inlineStr">
        <is>
          <t>Talleres (córdoba) vs Boca Juniors</t>
        </is>
      </c>
      <c r="D79" s="31" t="inlineStr">
        <is>
          <t>Talleres (córdoba)</t>
        </is>
      </c>
      <c r="E79" s="31" t="inlineStr">
        <is>
          <t>Boca Juniors</t>
        </is>
      </c>
      <c r="F79" s="32" t="n"/>
      <c r="G79" s="32" t="n"/>
      <c r="H79" s="32" t="n"/>
      <c r="I79" s="32" t="n"/>
      <c r="J79" s="32" t="n"/>
      <c r="K79" s="33" t="inlineStr">
        <is>
          <t>Argentina</t>
        </is>
      </c>
      <c r="L79" s="34" t="n">
        <v>0.367604367201233</v>
      </c>
      <c r="M79" s="34" t="n">
        <v>0.2376192707141383</v>
      </c>
      <c r="N79" s="34" t="n">
        <v>0.3947763620846287</v>
      </c>
      <c r="O79" s="34" t="n">
        <v>0.6735589546858669</v>
      </c>
      <c r="P79" s="34" t="n">
        <v>0.3264410453141331</v>
      </c>
      <c r="Q79" s="33" t="n">
        <v>0</v>
      </c>
      <c r="R79" s="33" t="n">
        <v>1</v>
      </c>
      <c r="S79" s="31" t="inlineStr">
        <is>
          <t>[PASAR] Sin Cuotas</t>
        </is>
      </c>
      <c r="T79" s="31" t="inlineStr">
        <is>
          <t>[PASAR] Sin Cuotas</t>
        </is>
      </c>
      <c r="U79" s="35" t="n">
        <v>0</v>
      </c>
      <c r="V79" s="35" t="n">
        <v>0</v>
      </c>
      <c r="W79" s="31">
        <f>IF(L79="","",IF((MAX(L79,M79,N79)-MEDIAN(L79,M79,N79))&gt;0.05,IF(OR(Q79="",R79=""),"[PREDICCION] "&amp;IF(L79=MAX(L79,M79,N79),"LOCAL",IF(M79=MAX(L79,M79,N79),"EMPATE","VISITA")),IF(L79=MAX(L79,M79,N79),IF(Q79&gt;R79,"[ACIERTO]","[FALLO]"),IF(M79=MAX(L79,M79,N79),IF(Q79=R79,"[ACIERTO]","[FALLO]"),IF(Q79&lt;R79,"[ACIERTO]","[FALLO]")))),"[PASAR] Margen Insuf"))</f>
        <v/>
      </c>
      <c r="X79" s="35">
        <f>IFERROR(IF(U79=0,0,IF(ISNUMBER(SEARCH("[GANADA]",S79)),U79*(IF(ISNUMBER(SEARCH("LOCAL",S79)),F79,IF(ISNUMBER(SEARCH("EMPATE",S79)),G79,H79))-1),IF(ISNUMBER(SEARCH("[PERDIDA]",S79)),-U79,0))),0)+IFERROR(IF(V79=0,0,IF(ISNUMBER(SEARCH("[GANADA]",T79)),V79*(IF(ISNUMBER(SEARCH("OVER",T79)),I79,J79)-1),IF(ISNUMBER(SEARCH("[PERDIDA]",T79)),-V79,0))),0)</f>
        <v/>
      </c>
      <c r="Y79" s="35">
        <f>Y78+X79</f>
        <v/>
      </c>
      <c r="Z79" s="36">
        <f>IF(OR(Q79="",R79=""),"",(L79-IF(Q79&gt;R79,1,0))^2+(M79-IF(Q79=R79,1,0))^2+(N79-IF(Q79&lt;R79,1,0))^2)</f>
        <v/>
      </c>
      <c r="AA79" s="36">
        <f>IF(OR(Q79="",R79="",F79="",F79=0,G79="",G79=0,H79="",H79=0),"",((1/F79/(1/F79+1/G79+1/H79))-IF(Q79&gt;R79,1,0))^2+((1/G79/(1/F79+1/G79+1/H79))-IF(Q79=R79,1,0))^2+((1/H79/(1/F79+1/G79+1/H79))-IF(Q79&lt;R79,1,0))^2)</f>
        <v/>
      </c>
      <c r="AB79" s="37" t="n">
        <v>0.8414</v>
      </c>
      <c r="AC79" s="33" t="inlineStr">
        <is>
          <t>NO</t>
        </is>
      </c>
    </row>
    <row r="80">
      <c r="A80" s="30" t="n">
        <v>46114</v>
      </c>
      <c r="B80" s="31" t="inlineStr">
        <is>
          <t>2026-04-02tigreindependienterivadavia</t>
        </is>
      </c>
      <c r="C80" s="31" t="inlineStr">
        <is>
          <t>Tigre vs Independiente Rivadavia</t>
        </is>
      </c>
      <c r="D80" s="31" t="inlineStr">
        <is>
          <t>Tigre</t>
        </is>
      </c>
      <c r="E80" s="31" t="inlineStr">
        <is>
          <t>Independiente Rivadavia</t>
        </is>
      </c>
      <c r="F80" s="32" t="n">
        <v>2.25</v>
      </c>
      <c r="G80" s="32" t="n">
        <v>3.07</v>
      </c>
      <c r="H80" s="32" t="n">
        <v>3.8</v>
      </c>
      <c r="I80" s="32" t="n"/>
      <c r="J80" s="32" t="n"/>
      <c r="K80" s="33" t="inlineStr">
        <is>
          <t>Argentina</t>
        </is>
      </c>
      <c r="L80" s="34" t="n">
        <v>0.3756120991971785</v>
      </c>
      <c r="M80" s="34" t="n">
        <v>0.2331520117794182</v>
      </c>
      <c r="N80" s="34" t="n">
        <v>0.3912358890234033</v>
      </c>
      <c r="O80" s="34" t="n">
        <v>0.6939527085074921</v>
      </c>
      <c r="P80" s="34" t="n">
        <v>0.3060472914925078</v>
      </c>
      <c r="Q80" s="33" t="n">
        <v>0</v>
      </c>
      <c r="R80" s="33" t="n">
        <v>2</v>
      </c>
      <c r="S80" s="31" t="inlineStr">
        <is>
          <t>[PASAR] Margen Predictivo Insuficiente (&lt;5%)</t>
        </is>
      </c>
      <c r="T80" s="31" t="inlineStr">
        <is>
          <t>[PASAR] Sin Cuotas</t>
        </is>
      </c>
      <c r="U80" s="35" t="n">
        <v>0</v>
      </c>
      <c r="V80" s="35" t="n">
        <v>0</v>
      </c>
      <c r="W80" s="31">
        <f>IF(L80="","",IF((MAX(L80,M80,N80)-MEDIAN(L80,M80,N80))&gt;0.05,IF(OR(Q80="",R80=""),"[PREDICCION] "&amp;IF(L80=MAX(L80,M80,N80),"LOCAL",IF(M80=MAX(L80,M80,N80),"EMPATE","VISITA")),IF(L80=MAX(L80,M80,N80),IF(Q80&gt;R80,"[ACIERTO]","[FALLO]"),IF(M80=MAX(L80,M80,N80),IF(Q80=R80,"[ACIERTO]","[FALLO]"),IF(Q80&lt;R80,"[ACIERTO]","[FALLO]")))),"[PASAR] Margen Insuf"))</f>
        <v/>
      </c>
      <c r="X80" s="35">
        <f>IFERROR(IF(U80=0,0,IF(ISNUMBER(SEARCH("[GANADA]",S80)),U80*(IF(ISNUMBER(SEARCH("LOCAL",S80)),F80,IF(ISNUMBER(SEARCH("EMPATE",S80)),G80,H80))-1),IF(ISNUMBER(SEARCH("[PERDIDA]",S80)),-U80,0))),0)+IFERROR(IF(V80=0,0,IF(ISNUMBER(SEARCH("[GANADA]",T80)),V80*(IF(ISNUMBER(SEARCH("OVER",T80)),I80,J80)-1),IF(ISNUMBER(SEARCH("[PERDIDA]",T80)),-V80,0))),0)</f>
        <v/>
      </c>
      <c r="Y80" s="35">
        <f>Y79+X80</f>
        <v/>
      </c>
      <c r="Z80" s="36">
        <f>IF(OR(Q80="",R80=""),"",(L80-IF(Q80&gt;R80,1,0))^2+(M80-IF(Q80=R80,1,0))^2+(N80-IF(Q80&lt;R80,1,0))^2)</f>
        <v/>
      </c>
      <c r="AA80" s="36">
        <f>IF(OR(Q80="",R80="",F80="",F80=0,G80="",G80=0,H80="",H80=0),"",((1/F80/(1/F80+1/G80+1/H80))-IF(Q80&gt;R80,1,0))^2+((1/G80/(1/F80+1/G80+1/H80))-IF(Q80=R80,1,0))^2+((1/H80/(1/F80+1/G80+1/H80))-IF(Q80&lt;R80,1,0))^2)</f>
        <v/>
      </c>
      <c r="AB80" s="37" t="n">
        <v>0.7625999999999999</v>
      </c>
      <c r="AC80" s="33" t="inlineStr">
        <is>
          <t>NO</t>
        </is>
      </c>
    </row>
    <row r="81">
      <c r="A81" s="30" t="n">
        <v>46115</v>
      </c>
      <c r="B81" s="31" t="inlineStr">
        <is>
          <t>2026-04-03gimnasiamendozavelezsarsfield</t>
        </is>
      </c>
      <c r="C81" s="31" t="inlineStr">
        <is>
          <t>Gimnasia Mendoza vs Velez Sarsfield</t>
        </is>
      </c>
      <c r="D81" s="31" t="inlineStr">
        <is>
          <t>Gimnasia Mendoza</t>
        </is>
      </c>
      <c r="E81" s="31" t="inlineStr">
        <is>
          <t>Velez Sarsfield</t>
        </is>
      </c>
      <c r="F81" s="32" t="n">
        <v>4.1</v>
      </c>
      <c r="G81" s="32" t="n">
        <v>2.91</v>
      </c>
      <c r="H81" s="32" t="n">
        <v>2.24</v>
      </c>
      <c r="I81" s="32" t="n"/>
      <c r="J81" s="32" t="n"/>
      <c r="K81" s="33" t="inlineStr">
        <is>
          <t>Argentina</t>
        </is>
      </c>
      <c r="L81" s="34" t="n">
        <v>0.430845</v>
      </c>
      <c r="M81" s="34" t="n">
        <v>0.216426</v>
      </c>
      <c r="N81" s="34" t="n">
        <v>0.352729</v>
      </c>
      <c r="O81" s="34" t="n">
        <v>0.7271070910572388</v>
      </c>
      <c r="P81" s="34" t="n">
        <v>0.2728929089427611</v>
      </c>
      <c r="Q81" s="33" t="n">
        <v>3</v>
      </c>
      <c r="R81" s="33" t="n">
        <v>2</v>
      </c>
      <c r="S81" s="31" t="inlineStr">
        <is>
          <t>[GANADA] LOCAL</t>
        </is>
      </c>
      <c r="T81" s="31" t="inlineStr">
        <is>
          <t>[PASAR] Sin Cuotas</t>
        </is>
      </c>
      <c r="U81" s="35" t="n">
        <v>2500</v>
      </c>
      <c r="V81" s="35" t="n">
        <v>0</v>
      </c>
      <c r="W81" s="31">
        <f>IF(L81="","",IF((MAX(L81,M81,N81)-MEDIAN(L81,M81,N81))&gt;0.05,IF(OR(Q81="",R81=""),"[PREDICCION] "&amp;IF(L81=MAX(L81,M81,N81),"LOCAL",IF(M81=MAX(L81,M81,N81),"EMPATE","VISITA")),IF(L81=MAX(L81,M81,N81),IF(Q81&gt;R81,"[ACIERTO]","[FALLO]"),IF(M81=MAX(L81,M81,N81),IF(Q81=R81,"[ACIERTO]","[FALLO]"),IF(Q81&lt;R81,"[ACIERTO]","[FALLO]")))),"[PASAR] Margen Insuf"))</f>
        <v/>
      </c>
      <c r="X81" s="35">
        <f>IFERROR(IF(U81=0,0,IF(ISNUMBER(SEARCH("[GANADA]",S81)),U81*(IF(ISNUMBER(SEARCH("LOCAL",S81)),F81,IF(ISNUMBER(SEARCH("EMPATE",S81)),G81,H81))-1),IF(ISNUMBER(SEARCH("[PERDIDA]",S81)),-U81,0))),0)+IFERROR(IF(V81=0,0,IF(ISNUMBER(SEARCH("[GANADA]",T81)),V81*(IF(ISNUMBER(SEARCH("OVER",T81)),I81,J81)-1),IF(ISNUMBER(SEARCH("[PERDIDA]",T81)),-V81,0))),0)</f>
        <v/>
      </c>
      <c r="Y81" s="35">
        <f>Y80+X81</f>
        <v/>
      </c>
      <c r="Z81" s="36">
        <f>IF(OR(Q81="",R81=""),"",(L81-IF(Q81&gt;R81,1,0))^2+(M81-IF(Q81=R81,1,0))^2+(N81-IF(Q81&lt;R81,1,0))^2)</f>
        <v/>
      </c>
      <c r="AA81" s="36">
        <f>IF(OR(Q81="",R81="",F81="",F81=0,G81="",G81=0,H81="",H81=0),"",((1/F81/(1/F81+1/G81+1/H81))-IF(Q81&gt;R81,1,0))^2+((1/G81/(1/F81+1/G81+1/H81))-IF(Q81=R81,1,0))^2+((1/H81/(1/F81+1/G81+1/H81))-IF(Q81&lt;R81,1,0))^2)</f>
        <v/>
      </c>
      <c r="AB81" s="37" t="n">
        <v>0.7794</v>
      </c>
      <c r="AC81" s="33" t="inlineStr">
        <is>
          <t>NO</t>
        </is>
      </c>
    </row>
    <row r="82">
      <c r="A82" s="30" t="n">
        <v>46114</v>
      </c>
      <c r="B82" s="31" t="inlineStr">
        <is>
          <t>2026-04-03palmeirasgremio</t>
        </is>
      </c>
      <c r="C82" s="31" t="inlineStr">
        <is>
          <t>Palmeiras vs Gremio</t>
        </is>
      </c>
      <c r="D82" s="31" t="inlineStr">
        <is>
          <t>Palmeiras</t>
        </is>
      </c>
      <c r="E82" s="31" t="inlineStr">
        <is>
          <t>Gremio</t>
        </is>
      </c>
      <c r="F82" s="32" t="n">
        <v>6.52</v>
      </c>
      <c r="G82" s="32" t="n">
        <v>4.53</v>
      </c>
      <c r="H82" s="32" t="n">
        <v>1.51</v>
      </c>
      <c r="I82" s="32" t="n">
        <v>1.86</v>
      </c>
      <c r="J82" s="32" t="n">
        <v>2</v>
      </c>
      <c r="K82" s="33" t="inlineStr">
        <is>
          <t>Brasil</t>
        </is>
      </c>
      <c r="L82" s="34" t="n">
        <v>0.451681</v>
      </c>
      <c r="M82" s="34" t="n">
        <v>0.189482</v>
      </c>
      <c r="N82" s="34" t="n">
        <v>0.358837</v>
      </c>
      <c r="O82" s="34" t="n">
        <v>0.8252512877803759</v>
      </c>
      <c r="P82" s="34" t="n">
        <v>0.1747487122196241</v>
      </c>
      <c r="Q82" s="33" t="n">
        <v>2</v>
      </c>
      <c r="R82" s="33" t="n">
        <v>1</v>
      </c>
      <c r="S82" s="31" t="inlineStr">
        <is>
          <t>[GANADA] LOCAL</t>
        </is>
      </c>
      <c r="T82" s="31" t="inlineStr">
        <is>
          <t>[PASAR] Sin Valor</t>
        </is>
      </c>
      <c r="U82" s="35" t="n">
        <v>1118.03</v>
      </c>
      <c r="V82" s="35" t="n">
        <v>0</v>
      </c>
      <c r="W82" s="31">
        <f>IF(L82="","",IF((MAX(L82,M82,N82)-MEDIAN(L82,M82,N82))&gt;0.05,IF(OR(Q82="",R82=""),"[PREDICCION] "&amp;IF(L82=MAX(L82,M82,N82),"LOCAL",IF(M82=MAX(L82,M82,N82),"EMPATE","VISITA")),IF(L82=MAX(L82,M82,N82),IF(Q82&gt;R82,"[ACIERTO]","[FALLO]"),IF(M82=MAX(L82,M82,N82),IF(Q82=R82,"[ACIERTO]","[FALLO]"),IF(Q82&lt;R82,"[ACIERTO]","[FALLO]")))),"[PASAR] Margen Insuf"))</f>
        <v/>
      </c>
      <c r="X82" s="35">
        <f>IFERROR(IF(U82=0,0,IF(ISNUMBER(SEARCH("[GANADA]",S82)),U82*(IF(ISNUMBER(SEARCH("LOCAL",S82)),F82,IF(ISNUMBER(SEARCH("EMPATE",S82)),G82,H82))-1),IF(ISNUMBER(SEARCH("[PERDIDA]",S82)),-U82,0))),0)+IFERROR(IF(V82=0,0,IF(ISNUMBER(SEARCH("[GANADA]",T82)),V82*(IF(ISNUMBER(SEARCH("OVER",T82)),I82,J82)-1),IF(ISNUMBER(SEARCH("[PERDIDA]",T82)),-V82,0))),0)</f>
        <v/>
      </c>
      <c r="Y82" s="35">
        <f>Y81+X82</f>
        <v/>
      </c>
      <c r="Z82" s="36">
        <f>IF(OR(Q82="",R82=""),"",(L82-IF(Q82&gt;R82,1,0))^2+(M82-IF(Q82=R82,1,0))^2+(N82-IF(Q82&lt;R82,1,0))^2)</f>
        <v/>
      </c>
      <c r="AA82" s="36">
        <f>IF(OR(Q82="",R82="",F82="",F82=0,G82="",G82=0,H82="",H82=0),"",((1/F82/(1/F82+1/G82+1/H82))-IF(Q82&gt;R82,1,0))^2+((1/G82/(1/F82+1/G82+1/H82))-IF(Q82=R82,1,0))^2+((1/H82/(1/F82+1/G82+1/H82))-IF(Q82&lt;R82,1,0))^2)</f>
        <v/>
      </c>
      <c r="AB82" s="37" t="n">
        <v>1.1985</v>
      </c>
      <c r="AC82" s="33" t="inlineStr">
        <is>
          <t>NO</t>
        </is>
      </c>
    </row>
    <row r="83">
      <c r="A83" s="30" t="n">
        <v>46114</v>
      </c>
      <c r="B83" s="31" t="inlineStr">
        <is>
          <t>2026-04-03redbullbragantinoflamengo</t>
        </is>
      </c>
      <c r="C83" s="31" t="inlineStr">
        <is>
          <t>Red Bull Bragantino vs Flamengo</t>
        </is>
      </c>
      <c r="D83" s="31" t="inlineStr">
        <is>
          <t>Red Bull Bragantino</t>
        </is>
      </c>
      <c r="E83" s="31" t="inlineStr">
        <is>
          <t>Flamengo</t>
        </is>
      </c>
      <c r="F83" s="32" t="n"/>
      <c r="G83" s="32" t="n"/>
      <c r="H83" s="32" t="n"/>
      <c r="I83" s="32" t="n"/>
      <c r="J83" s="32" t="n"/>
      <c r="K83" s="33" t="inlineStr">
        <is>
          <t>Brasil</t>
        </is>
      </c>
      <c r="L83" s="34" t="n">
        <v>0.47256</v>
      </c>
      <c r="M83" s="34" t="n">
        <v>0.190986</v>
      </c>
      <c r="N83" s="34" t="n">
        <v>0.336454</v>
      </c>
      <c r="O83" s="34" t="n">
        <v>0.813505742420057</v>
      </c>
      <c r="P83" s="34" t="n">
        <v>0.186494257579943</v>
      </c>
      <c r="Q83" s="33" t="n">
        <v>3</v>
      </c>
      <c r="R83" s="33" t="n">
        <v>0</v>
      </c>
      <c r="S83" s="31" t="inlineStr">
        <is>
          <t>[PASAR] Sin Cuotas</t>
        </is>
      </c>
      <c r="T83" s="31" t="inlineStr">
        <is>
          <t>[PASAR] Sin Cuotas</t>
        </is>
      </c>
      <c r="U83" s="35" t="n">
        <v>0</v>
      </c>
      <c r="V83" s="35" t="n">
        <v>0</v>
      </c>
      <c r="W83" s="31">
        <f>IF(L83="","",IF((MAX(L83,M83,N83)-MEDIAN(L83,M83,N83))&gt;0.05,IF(OR(Q83="",R83=""),"[PREDICCION] "&amp;IF(L83=MAX(L83,M83,N83),"LOCAL",IF(M83=MAX(L83,M83,N83),"EMPATE","VISITA")),IF(L83=MAX(L83,M83,N83),IF(Q83&gt;R83,"[ACIERTO]","[FALLO]"),IF(M83=MAX(L83,M83,N83),IF(Q83=R83,"[ACIERTO]","[FALLO]"),IF(Q83&lt;R83,"[ACIERTO]","[FALLO]")))),"[PASAR] Margen Insuf"))</f>
        <v/>
      </c>
      <c r="X83" s="35">
        <f>IFERROR(IF(U83=0,0,IF(ISNUMBER(SEARCH("[GANADA]",S83)),U83*(IF(ISNUMBER(SEARCH("LOCAL",S83)),F83,IF(ISNUMBER(SEARCH("EMPATE",S83)),G83,H83))-1),IF(ISNUMBER(SEARCH("[PERDIDA]",S83)),-U83,0))),0)+IFERROR(IF(V83=0,0,IF(ISNUMBER(SEARCH("[GANADA]",T83)),V83*(IF(ISNUMBER(SEARCH("OVER",T83)),I83,J83)-1),IF(ISNUMBER(SEARCH("[PERDIDA]",T83)),-V83,0))),0)</f>
        <v/>
      </c>
      <c r="Y83" s="35">
        <f>Y82+X83</f>
        <v/>
      </c>
      <c r="Z83" s="36">
        <f>IF(OR(Q83="",R83=""),"",(L83-IF(Q83&gt;R83,1,0))^2+(M83-IF(Q83=R83,1,0))^2+(N83-IF(Q83&lt;R83,1,0))^2)</f>
        <v/>
      </c>
      <c r="AA83" s="36">
        <f>IF(OR(Q83="",R83="",F83="",F83=0,G83="",G83=0,H83="",H83=0),"",((1/F83/(1/F83+1/G83+1/H83))-IF(Q83&gt;R83,1,0))^2+((1/G83/(1/F83+1/G83+1/H83))-IF(Q83=R83,1,0))^2+((1/H83/(1/F83+1/G83+1/H83))-IF(Q83&lt;R83,1,0))^2)</f>
        <v/>
      </c>
      <c r="AB83" s="37" t="n">
        <v>1.2987</v>
      </c>
      <c r="AC83" s="33" t="inlineStr">
        <is>
          <t>NO</t>
        </is>
      </c>
    </row>
    <row r="84">
      <c r="A84" s="30" t="n">
        <v>46115</v>
      </c>
      <c r="B84" s="31" t="inlineStr">
        <is>
          <t>2026-04-03sanlorenzoestudiantesdelaplata</t>
        </is>
      </c>
      <c r="C84" s="31" t="inlineStr">
        <is>
          <t>San Lorenzo vs Estudiantes de la Plata</t>
        </is>
      </c>
      <c r="D84" s="31" t="inlineStr">
        <is>
          <t>San Lorenzo</t>
        </is>
      </c>
      <c r="E84" s="31" t="inlineStr">
        <is>
          <t>Estudiantes de la Plata</t>
        </is>
      </c>
      <c r="F84" s="32" t="n">
        <v>3.49</v>
      </c>
      <c r="G84" s="32" t="n">
        <v>2.89</v>
      </c>
      <c r="H84" s="32" t="n">
        <v>2.5</v>
      </c>
      <c r="I84" s="32" t="n"/>
      <c r="J84" s="32" t="n"/>
      <c r="K84" s="33" t="inlineStr">
        <is>
          <t>Argentina</t>
        </is>
      </c>
      <c r="L84" s="34" t="n">
        <v>0.3701340917028612</v>
      </c>
      <c r="M84" s="34" t="n">
        <v>0.2322153320324072</v>
      </c>
      <c r="N84" s="34" t="n">
        <v>0.3976505762647315</v>
      </c>
      <c r="O84" s="34" t="n">
        <v>0.6977720460346792</v>
      </c>
      <c r="P84" s="34" t="n">
        <v>0.3022279539653207</v>
      </c>
      <c r="Q84" s="33" t="n">
        <v>1</v>
      </c>
      <c r="R84" s="33" t="n">
        <v>0</v>
      </c>
      <c r="S84" s="31" t="inlineStr">
        <is>
          <t>[PASAR] Margen Predictivo Insuficiente (&lt;5%)</t>
        </is>
      </c>
      <c r="T84" s="31" t="inlineStr">
        <is>
          <t>[PASAR] Sin Cuotas</t>
        </is>
      </c>
      <c r="U84" s="35" t="n">
        <v>0</v>
      </c>
      <c r="V84" s="35" t="n">
        <v>0</v>
      </c>
      <c r="W84" s="31">
        <f>IF(L84="","",IF((MAX(L84,M84,N84)-MEDIAN(L84,M84,N84))&gt;0.05,IF(OR(Q84="",R84=""),"[PREDICCION] "&amp;IF(L84=MAX(L84,M84,N84),"LOCAL",IF(M84=MAX(L84,M84,N84),"EMPATE","VISITA")),IF(L84=MAX(L84,M84,N84),IF(Q84&gt;R84,"[ACIERTO]","[FALLO]"),IF(M84=MAX(L84,M84,N84),IF(Q84=R84,"[ACIERTO]","[FALLO]"),IF(Q84&lt;R84,"[ACIERTO]","[FALLO]")))),"[PASAR] Margen Insuf"))</f>
        <v/>
      </c>
      <c r="X84" s="35">
        <f>IFERROR(IF(U84=0,0,IF(ISNUMBER(SEARCH("[GANADA]",S84)),U84*(IF(ISNUMBER(SEARCH("LOCAL",S84)),F84,IF(ISNUMBER(SEARCH("EMPATE",S84)),G84,H84))-1),IF(ISNUMBER(SEARCH("[PERDIDA]",S84)),-U84,0))),0)+IFERROR(IF(V84=0,0,IF(ISNUMBER(SEARCH("[GANADA]",T84)),V84*(IF(ISNUMBER(SEARCH("OVER",T84)),I84,J84)-1),IF(ISNUMBER(SEARCH("[PERDIDA]",T84)),-V84,0))),0)</f>
        <v/>
      </c>
      <c r="Y84" s="35">
        <f>Y83+X84</f>
        <v/>
      </c>
      <c r="Z84" s="36">
        <f>IF(OR(Q84="",R84=""),"",(L84-IF(Q84&gt;R84,1,0))^2+(M84-IF(Q84=R84,1,0))^2+(N84-IF(Q84&lt;R84,1,0))^2)</f>
        <v/>
      </c>
      <c r="AA84" s="36">
        <f>IF(OR(Q84="",R84="",F84="",F84=0,G84="",G84=0,H84="",H84=0),"",((1/F84/(1/F84+1/G84+1/H84))-IF(Q84&gt;R84,1,0))^2+((1/G84/(1/F84+1/G84+1/H84))-IF(Q84=R84,1,0))^2+((1/H84/(1/F84+1/G84+1/H84))-IF(Q84&lt;R84,1,0))^2)</f>
        <v/>
      </c>
      <c r="AB84" s="37" t="n">
        <v>0.8479</v>
      </c>
      <c r="AC84" s="33" t="inlineStr">
        <is>
          <t>NO</t>
        </is>
      </c>
    </row>
    <row r="85">
      <c r="A85" s="30" t="n">
        <v>46115</v>
      </c>
      <c r="B85" s="31" t="inlineStr">
        <is>
          <t>2026-04-03unionsantafedeportivoriestra</t>
        </is>
      </c>
      <c r="C85" s="31" t="inlineStr">
        <is>
          <t>Union (santa Fe) vs Deportivo Riestra</t>
        </is>
      </c>
      <c r="D85" s="31" t="inlineStr">
        <is>
          <t>Union (santa Fe)</t>
        </is>
      </c>
      <c r="E85" s="31" t="inlineStr">
        <is>
          <t>Deportivo Riestra</t>
        </is>
      </c>
      <c r="F85" s="32" t="n">
        <v>1.93</v>
      </c>
      <c r="G85" s="32" t="n">
        <v>3.11</v>
      </c>
      <c r="H85" s="32" t="n">
        <v>5.15</v>
      </c>
      <c r="I85" s="32" t="n"/>
      <c r="J85" s="32" t="n"/>
      <c r="K85" s="33" t="inlineStr">
        <is>
          <t>Argentina</t>
        </is>
      </c>
      <c r="L85" s="34" t="n">
        <v>0.445732</v>
      </c>
      <c r="M85" s="34" t="n">
        <v>0.219625</v>
      </c>
      <c r="N85" s="34" t="n">
        <v>0.334643</v>
      </c>
      <c r="O85" s="34" t="n">
        <v>0.7094406321847125</v>
      </c>
      <c r="P85" s="34" t="n">
        <v>0.2905593678152876</v>
      </c>
      <c r="Q85" s="33" t="n">
        <v>2</v>
      </c>
      <c r="R85" s="33" t="n">
        <v>0</v>
      </c>
      <c r="S85" s="31" t="inlineStr">
        <is>
          <t>[PASAR] Riesgo/Beneficio</t>
        </is>
      </c>
      <c r="T85" s="31" t="inlineStr">
        <is>
          <t>[PASAR] Sin Cuotas</t>
        </is>
      </c>
      <c r="U85" s="35" t="n">
        <v>0</v>
      </c>
      <c r="V85" s="35" t="n">
        <v>0</v>
      </c>
      <c r="W85" s="31">
        <f>IF(L85="","",IF((MAX(L85,M85,N85)-MEDIAN(L85,M85,N85))&gt;0.05,IF(OR(Q85="",R85=""),"[PREDICCION] "&amp;IF(L85=MAX(L85,M85,N85),"LOCAL",IF(M85=MAX(L85,M85,N85),"EMPATE","VISITA")),IF(L85=MAX(L85,M85,N85),IF(Q85&gt;R85,"[ACIERTO]","[FALLO]"),IF(M85=MAX(L85,M85,N85),IF(Q85=R85,"[ACIERTO]","[FALLO]"),IF(Q85&lt;R85,"[ACIERTO]","[FALLO]")))),"[PASAR] Margen Insuf"))</f>
        <v/>
      </c>
      <c r="X85" s="35">
        <f>IFERROR(IF(U85=0,0,IF(ISNUMBER(SEARCH("[GANADA]",S85)),U85*(IF(ISNUMBER(SEARCH("LOCAL",S85)),F85,IF(ISNUMBER(SEARCH("EMPATE",S85)),G85,H85))-1),IF(ISNUMBER(SEARCH("[PERDIDA]",S85)),-U85,0))),0)+IFERROR(IF(V85=0,0,IF(ISNUMBER(SEARCH("[GANADA]",T85)),V85*(IF(ISNUMBER(SEARCH("OVER",T85)),I85,J85)-1),IF(ISNUMBER(SEARCH("[PERDIDA]",T85)),-V85,0))),0)</f>
        <v/>
      </c>
      <c r="Y85" s="35">
        <f>Y84+X85</f>
        <v/>
      </c>
      <c r="Z85" s="36">
        <f>IF(OR(Q85="",R85=""),"",(L85-IF(Q85&gt;R85,1,0))^2+(M85-IF(Q85=R85,1,0))^2+(N85-IF(Q85&lt;R85,1,0))^2)</f>
        <v/>
      </c>
      <c r="AA85" s="36">
        <f>IF(OR(Q85="",R85="",F85="",F85=0,G85="",G85=0,H85="",H85=0),"",((1/F85/(1/F85+1/G85+1/H85))-IF(Q85&gt;R85,1,0))^2+((1/G85/(1/F85+1/G85+1/H85))-IF(Q85=R85,1,0))^2+((1/H85/(1/F85+1/G85+1/H85))-IF(Q85&lt;R85,1,0))^2)</f>
        <v/>
      </c>
      <c r="AB85" s="37" t="n">
        <v>0.8699</v>
      </c>
      <c r="AC85" s="33" t="inlineStr">
        <is>
          <t>NO</t>
        </is>
      </c>
    </row>
    <row r="86">
      <c r="A86" s="30" t="n">
        <v>46116</v>
      </c>
      <c r="B86" s="31" t="inlineStr">
        <is>
          <t>2026-04-04aldosiviestudiantesderiocuarto</t>
        </is>
      </c>
      <c r="C86" s="31" t="inlineStr">
        <is>
          <t>Aldosivi vs Estudiantes de Rio Cuarto</t>
        </is>
      </c>
      <c r="D86" s="31" t="inlineStr">
        <is>
          <t>Aldosivi</t>
        </is>
      </c>
      <c r="E86" s="31" t="inlineStr">
        <is>
          <t>Estudiantes de Rio Cuarto</t>
        </is>
      </c>
      <c r="F86" s="32" t="n">
        <v>2.16</v>
      </c>
      <c r="G86" s="32" t="n">
        <v>2.99</v>
      </c>
      <c r="H86" s="32" t="n">
        <v>4.12</v>
      </c>
      <c r="I86" s="32" t="n"/>
      <c r="J86" s="32" t="n"/>
      <c r="K86" s="33" t="inlineStr">
        <is>
          <t>Argentina</t>
        </is>
      </c>
      <c r="L86" s="34" t="n">
        <v>0.3877111348521676</v>
      </c>
      <c r="M86" s="34" t="n">
        <v>0.2371120719316063</v>
      </c>
      <c r="N86" s="34" t="n">
        <v>0.375176793216226</v>
      </c>
      <c r="O86" s="34" t="n">
        <v>0.6762668494856475</v>
      </c>
      <c r="P86" s="34" t="n">
        <v>0.3237331505143525</v>
      </c>
      <c r="Q86" s="33" t="n">
        <v>0</v>
      </c>
      <c r="R86" s="33" t="n">
        <v>0</v>
      </c>
      <c r="S86" s="31" t="inlineStr">
        <is>
          <t>[PASAR] Margen Predictivo Insuficiente (&lt;5%)</t>
        </is>
      </c>
      <c r="T86" s="31" t="inlineStr">
        <is>
          <t>[PASAR] Sin Cuotas</t>
        </is>
      </c>
      <c r="U86" s="35" t="n">
        <v>0</v>
      </c>
      <c r="V86" s="35" t="n">
        <v>0</v>
      </c>
      <c r="W86" s="31">
        <f>IF(L86="","",IF((MAX(L86,M86,N86)-MEDIAN(L86,M86,N86))&gt;0.05,IF(OR(Q86="",R86=""),"[PREDICCION] "&amp;IF(L86=MAX(L86,M86,N86),"LOCAL",IF(M86=MAX(L86,M86,N86),"EMPATE","VISITA")),IF(L86=MAX(L86,M86,N86),IF(Q86&gt;R86,"[ACIERTO]","[FALLO]"),IF(M86=MAX(L86,M86,N86),IF(Q86=R86,"[ACIERTO]","[FALLO]"),IF(Q86&lt;R86,"[ACIERTO]","[FALLO]")))),"[PASAR] Margen Insuf"))</f>
        <v/>
      </c>
      <c r="X86" s="35">
        <f>IFERROR(IF(U86=0,0,IF(ISNUMBER(SEARCH("[GANADA]",S86)),U86*(IF(ISNUMBER(SEARCH("LOCAL",S86)),F86,IF(ISNUMBER(SEARCH("EMPATE",S86)),G86,H86))-1),IF(ISNUMBER(SEARCH("[PERDIDA]",S86)),-U86,0))),0)+IFERROR(IF(V86=0,0,IF(ISNUMBER(SEARCH("[GANADA]",T86)),V86*(IF(ISNUMBER(SEARCH("OVER",T86)),I86,J86)-1),IF(ISNUMBER(SEARCH("[PERDIDA]",T86)),-V86,0))),0)</f>
        <v/>
      </c>
      <c r="Y86" s="35">
        <f>Y85+X86</f>
        <v/>
      </c>
      <c r="Z86" s="36">
        <f>IF(OR(Q86="",R86=""),"",(L86-IF(Q86&gt;R86,1,0))^2+(M86-IF(Q86=R86,1,0))^2+(N86-IF(Q86&lt;R86,1,0))^2)</f>
        <v/>
      </c>
      <c r="AA86" s="36">
        <f>IF(OR(Q86="",R86="",F86="",F86=0,G86="",G86=0,H86="",H86=0),"",((1/F86/(1/F86+1/G86+1/H86))-IF(Q86&gt;R86,1,0))^2+((1/G86/(1/F86+1/G86+1/H86))-IF(Q86=R86,1,0))^2+((1/H86/(1/F86+1/G86+1/H86))-IF(Q86&lt;R86,1,0))^2)</f>
        <v/>
      </c>
      <c r="AB86" s="37" t="n">
        <v>0.9415</v>
      </c>
      <c r="AC86" s="33" t="inlineStr">
        <is>
          <t>NO</t>
        </is>
      </c>
    </row>
    <row r="87">
      <c r="A87" s="30" t="n">
        <v>46116</v>
      </c>
      <c r="B87" s="31" t="inlineStr">
        <is>
          <t>2026-04-04coritibafluminense</t>
        </is>
      </c>
      <c r="C87" s="31" t="inlineStr">
        <is>
          <t>Coritiba vs Fluminense</t>
        </is>
      </c>
      <c r="D87" s="31" t="inlineStr">
        <is>
          <t>Coritiba</t>
        </is>
      </c>
      <c r="E87" s="31" t="inlineStr">
        <is>
          <t>Fluminense</t>
        </is>
      </c>
      <c r="F87" s="32" t="n">
        <v>3.3</v>
      </c>
      <c r="G87" s="32" t="n">
        <v>3.02</v>
      </c>
      <c r="H87" s="32" t="n">
        <v>2.51</v>
      </c>
      <c r="I87" s="32" t="n"/>
      <c r="J87" s="32" t="n"/>
      <c r="K87" s="33" t="inlineStr">
        <is>
          <t>Brasil</t>
        </is>
      </c>
      <c r="L87" s="34" t="n">
        <v>0.412781</v>
      </c>
      <c r="M87" s="34" t="n">
        <v>0.176568</v>
      </c>
      <c r="N87" s="34" t="n">
        <v>0.410651</v>
      </c>
      <c r="O87" s="34" t="n">
        <v>0.8536172408309943</v>
      </c>
      <c r="P87" s="34" t="n">
        <v>0.1463827591690057</v>
      </c>
      <c r="Q87" s="33" t="n">
        <v>1</v>
      </c>
      <c r="R87" s="33" t="n">
        <v>1</v>
      </c>
      <c r="S87" s="31" t="inlineStr">
        <is>
          <t>[PASAR] Margen Predictivo Insuficiente (&lt;5%)</t>
        </is>
      </c>
      <c r="T87" s="31" t="inlineStr">
        <is>
          <t>[PASAR] Sin Cuotas</t>
        </is>
      </c>
      <c r="U87" s="35" t="n">
        <v>0</v>
      </c>
      <c r="V87" s="35" t="n">
        <v>0</v>
      </c>
      <c r="W87" s="31">
        <f>IF(L87="","",IF((MAX(L87,M87,N87)-MEDIAN(L87,M87,N87))&gt;0.05,IF(OR(Q87="",R87=""),"[PREDICCION] "&amp;IF(L87=MAX(L87,M87,N87),"LOCAL",IF(M87=MAX(L87,M87,N87),"EMPATE","VISITA")),IF(L87=MAX(L87,M87,N87),IF(Q87&gt;R87,"[ACIERTO]","[FALLO]"),IF(M87=MAX(L87,M87,N87),IF(Q87=R87,"[ACIERTO]","[FALLO]"),IF(Q87&lt;R87,"[ACIERTO]","[FALLO]")))),"[PASAR] Margen Insuf"))</f>
        <v/>
      </c>
      <c r="X87" s="35">
        <f>IFERROR(IF(U87=0,0,IF(ISNUMBER(SEARCH("[GANADA]",S87)),U87*(IF(ISNUMBER(SEARCH("LOCAL",S87)),F87,IF(ISNUMBER(SEARCH("EMPATE",S87)),G87,H87))-1),IF(ISNUMBER(SEARCH("[PERDIDA]",S87)),-U87,0))),0)+IFERROR(IF(V87=0,0,IF(ISNUMBER(SEARCH("[GANADA]",T87)),V87*(IF(ISNUMBER(SEARCH("OVER",T87)),I87,J87)-1),IF(ISNUMBER(SEARCH("[PERDIDA]",T87)),-V87,0))),0)</f>
        <v/>
      </c>
      <c r="Y87" s="35">
        <f>Y86+X87</f>
        <v/>
      </c>
      <c r="Z87" s="36">
        <f>IF(OR(Q87="",R87=""),"",(L87-IF(Q87&gt;R87,1,0))^2+(M87-IF(Q87=R87,1,0))^2+(N87-IF(Q87&lt;R87,1,0))^2)</f>
        <v/>
      </c>
      <c r="AA87" s="36">
        <f>IF(OR(Q87="",R87="",F87="",F87=0,G87="",G87=0,H87="",H87=0),"",((1/F87/(1/F87+1/G87+1/H87))-IF(Q87&gt;R87,1,0))^2+((1/G87/(1/F87+1/G87+1/H87))-IF(Q87=R87,1,0))^2+((1/H87/(1/F87+1/G87+1/H87))-IF(Q87&lt;R87,1,0))^2)</f>
        <v/>
      </c>
      <c r="AB87" s="37" t="n">
        <v>1.1967</v>
      </c>
      <c r="AC87" s="33" t="inlineStr">
        <is>
          <t>NO</t>
        </is>
      </c>
    </row>
    <row r="88">
      <c r="A88" s="30" t="n">
        <v>46116</v>
      </c>
      <c r="B88" s="31" t="inlineStr">
        <is>
          <t>2026-04-04gaziantepfkalanyaspor</t>
        </is>
      </c>
      <c r="C88" s="31" t="inlineStr">
        <is>
          <t>Gaziantep FK vs Alanyaspor</t>
        </is>
      </c>
      <c r="D88" s="31" t="inlineStr">
        <is>
          <t>Gaziantep FK</t>
        </is>
      </c>
      <c r="E88" s="31" t="inlineStr">
        <is>
          <t>Alanyaspor</t>
        </is>
      </c>
      <c r="F88" s="32" t="n"/>
      <c r="G88" s="32" t="n"/>
      <c r="H88" s="32" t="n"/>
      <c r="I88" s="32" t="n"/>
      <c r="J88" s="32" t="n"/>
      <c r="K88" s="33" t="inlineStr">
        <is>
          <t>Turquia</t>
        </is>
      </c>
      <c r="L88" s="34" t="n">
        <v>0.44355</v>
      </c>
      <c r="M88" s="34" t="n">
        <v>0.191886</v>
      </c>
      <c r="N88" s="34" t="n">
        <v>0.364564</v>
      </c>
      <c r="O88" s="34" t="n">
        <v>0.8262105833993234</v>
      </c>
      <c r="P88" s="34" t="n">
        <v>0.1737894166006767</v>
      </c>
      <c r="Q88" s="33" t="n">
        <v>1</v>
      </c>
      <c r="R88" s="33" t="n">
        <v>1</v>
      </c>
      <c r="S88" s="31" t="inlineStr">
        <is>
          <t>[PASAR] Sin Cuotas</t>
        </is>
      </c>
      <c r="T88" s="31" t="inlineStr">
        <is>
          <t>[PASAR] Sin Cuotas</t>
        </is>
      </c>
      <c r="U88" s="35" t="n">
        <v>0</v>
      </c>
      <c r="V88" s="35" t="n">
        <v>0</v>
      </c>
      <c r="W88" s="31">
        <f>IF(L88="","",IF((MAX(L88,M88,N88)-MEDIAN(L88,M88,N88))&gt;0.05,IF(OR(Q88="",R88=""),"[PREDICCION] "&amp;IF(L88=MAX(L88,M88,N88),"LOCAL",IF(M88=MAX(L88,M88,N88),"EMPATE","VISITA")),IF(L88=MAX(L88,M88,N88),IF(Q88&gt;R88,"[ACIERTO]","[FALLO]"),IF(M88=MAX(L88,M88,N88),IF(Q88=R88,"[ACIERTO]","[FALLO]"),IF(Q88&lt;R88,"[ACIERTO]","[FALLO]")))),"[PASAR] Margen Insuf"))</f>
        <v/>
      </c>
      <c r="X88" s="35">
        <f>IFERROR(IF(U88=0,0,IF(ISNUMBER(SEARCH("[GANADA]",S88)),U88*(IF(ISNUMBER(SEARCH("LOCAL",S88)),F88,IF(ISNUMBER(SEARCH("EMPATE",S88)),G88,H88))-1),IF(ISNUMBER(SEARCH("[PERDIDA]",S88)),-U88,0))),0)+IFERROR(IF(V88=0,0,IF(ISNUMBER(SEARCH("[GANADA]",T88)),V88*(IF(ISNUMBER(SEARCH("OVER",T88)),I88,J88)-1),IF(ISNUMBER(SEARCH("[PERDIDA]",T88)),-V88,0))),0)</f>
        <v/>
      </c>
      <c r="Y88" s="35">
        <f>Y87+X88</f>
        <v/>
      </c>
      <c r="Z88" s="36">
        <f>IF(OR(Q88="",R88=""),"",(L88-IF(Q88&gt;R88,1,0))^2+(M88-IF(Q88=R88,1,0))^2+(N88-IF(Q88&lt;R88,1,0))^2)</f>
        <v/>
      </c>
      <c r="AA88" s="36">
        <f>IF(OR(Q88="",R88="",F88="",F88=0,G88="",G88=0,H88="",H88=0),"",((1/F88/(1/F88+1/G88+1/H88))-IF(Q88&gt;R88,1,0))^2+((1/G88/(1/F88+1/G88+1/H88))-IF(Q88=R88,1,0))^2+((1/H88/(1/F88+1/G88+1/H88))-IF(Q88&lt;R88,1,0))^2)</f>
        <v/>
      </c>
      <c r="AB88" s="37" t="n">
        <v>1.0742</v>
      </c>
      <c r="AC88" s="33" t="inlineStr">
        <is>
          <t>NO</t>
        </is>
      </c>
    </row>
    <row r="89">
      <c r="A89" s="30" t="n">
        <v>46116</v>
      </c>
      <c r="B89" s="31" t="inlineStr">
        <is>
          <t>2026-04-04genclerbirligigoztepe</t>
        </is>
      </c>
      <c r="C89" s="31" t="inlineStr">
        <is>
          <t>Genclerbirligi vs Goztepe</t>
        </is>
      </c>
      <c r="D89" s="31" t="inlineStr">
        <is>
          <t>Genclerbirligi</t>
        </is>
      </c>
      <c r="E89" s="31" t="inlineStr">
        <is>
          <t>Goztepe</t>
        </is>
      </c>
      <c r="F89" s="32" t="n">
        <v>3.51</v>
      </c>
      <c r="G89" s="32" t="n">
        <v>3.09</v>
      </c>
      <c r="H89" s="32" t="n">
        <v>2.32</v>
      </c>
      <c r="I89" s="32" t="n"/>
      <c r="J89" s="32" t="n"/>
      <c r="K89" s="33" t="inlineStr">
        <is>
          <t>Turquia</t>
        </is>
      </c>
      <c r="L89" s="34" t="n">
        <v>0.347291</v>
      </c>
      <c r="M89" s="34" t="n">
        <v>0.194858</v>
      </c>
      <c r="N89" s="34" t="n">
        <v>0.457852</v>
      </c>
      <c r="O89" s="34" t="n">
        <v>0.8104993017932096</v>
      </c>
      <c r="P89" s="34" t="n">
        <v>0.1895006982067905</v>
      </c>
      <c r="Q89" s="33" t="n">
        <v>0</v>
      </c>
      <c r="R89" s="33" t="n">
        <v>2</v>
      </c>
      <c r="S89" s="31" t="inlineStr">
        <is>
          <t>[PASAR] EV Insuf (0.062&lt;0.080)</t>
        </is>
      </c>
      <c r="T89" s="31" t="inlineStr">
        <is>
          <t>[PASAR] Sin Cuotas</t>
        </is>
      </c>
      <c r="U89" s="35" t="n">
        <v>0</v>
      </c>
      <c r="V89" s="35" t="n">
        <v>0</v>
      </c>
      <c r="W89" s="31">
        <f>IF(L89="","",IF((MAX(L89,M89,N89)-MEDIAN(L89,M89,N89))&gt;0.05,IF(OR(Q89="",R89=""),"[PREDICCION] "&amp;IF(L89=MAX(L89,M89,N89),"LOCAL",IF(M89=MAX(L89,M89,N89),"EMPATE","VISITA")),IF(L89=MAX(L89,M89,N89),IF(Q89&gt;R89,"[ACIERTO]","[FALLO]"),IF(M89=MAX(L89,M89,N89),IF(Q89=R89,"[ACIERTO]","[FALLO]"),IF(Q89&lt;R89,"[ACIERTO]","[FALLO]")))),"[PASAR] Margen Insuf"))</f>
        <v/>
      </c>
      <c r="X89" s="35">
        <f>IFERROR(IF(U89=0,0,IF(ISNUMBER(SEARCH("[GANADA]",S89)),U89*(IF(ISNUMBER(SEARCH("LOCAL",S89)),F89,IF(ISNUMBER(SEARCH("EMPATE",S89)),G89,H89))-1),IF(ISNUMBER(SEARCH("[PERDIDA]",S89)),-U89,0))),0)+IFERROR(IF(V89=0,0,IF(ISNUMBER(SEARCH("[GANADA]",T89)),V89*(IF(ISNUMBER(SEARCH("OVER",T89)),I89,J89)-1),IF(ISNUMBER(SEARCH("[PERDIDA]",T89)),-V89,0))),0)</f>
        <v/>
      </c>
      <c r="Y89" s="35">
        <f>Y88+X89</f>
        <v/>
      </c>
      <c r="Z89" s="36">
        <f>IF(OR(Q89="",R89=""),"",(L89-IF(Q89&gt;R89,1,0))^2+(M89-IF(Q89=R89,1,0))^2+(N89-IF(Q89&lt;R89,1,0))^2)</f>
        <v/>
      </c>
      <c r="AA89" s="36">
        <f>IF(OR(Q89="",R89="",F89="",F89=0,G89="",G89=0,H89="",H89=0),"",((1/F89/(1/F89+1/G89+1/H89))-IF(Q89&gt;R89,1,0))^2+((1/G89/(1/F89+1/G89+1/H89))-IF(Q89=R89,1,0))^2+((1/H89/(1/F89+1/G89+1/H89))-IF(Q89&lt;R89,1,0))^2)</f>
        <v/>
      </c>
      <c r="AB89" s="37" t="n">
        <v>1.367</v>
      </c>
      <c r="AC89" s="33" t="inlineStr">
        <is>
          <t>NO</t>
        </is>
      </c>
    </row>
    <row r="90">
      <c r="A90" s="30" t="n">
        <v>46116</v>
      </c>
      <c r="B90" s="31" t="inlineStr">
        <is>
          <t>2026-04-04independienteracingclub</t>
        </is>
      </c>
      <c r="C90" s="31" t="inlineStr">
        <is>
          <t>Independiente vs Racing Club</t>
        </is>
      </c>
      <c r="D90" s="31" t="inlineStr">
        <is>
          <t>Independiente</t>
        </is>
      </c>
      <c r="E90" s="31" t="inlineStr">
        <is>
          <t>Racing Club</t>
        </is>
      </c>
      <c r="F90" s="32" t="n">
        <v>5.63</v>
      </c>
      <c r="G90" s="32" t="n">
        <v>1.36</v>
      </c>
      <c r="H90" s="32" t="n">
        <v>6.78</v>
      </c>
      <c r="I90" s="32" t="n"/>
      <c r="J90" s="32" t="n"/>
      <c r="K90" s="33" t="inlineStr">
        <is>
          <t>Argentina</t>
        </is>
      </c>
      <c r="L90" s="34" t="n">
        <v>0.3953558329297561</v>
      </c>
      <c r="M90" s="34" t="n">
        <v>0.2390672840512242</v>
      </c>
      <c r="N90" s="34" t="n">
        <v>0.3655768830190199</v>
      </c>
      <c r="O90" s="34" t="n">
        <v>0.6669540572266955</v>
      </c>
      <c r="P90" s="34" t="n">
        <v>0.3330459427733045</v>
      </c>
      <c r="Q90" s="33" t="n">
        <v>1</v>
      </c>
      <c r="R90" s="33" t="n">
        <v>0</v>
      </c>
      <c r="S90" s="31" t="inlineStr">
        <is>
          <t>[PASAR] Margen Predictivo Insuficiente (&lt;5%)</t>
        </is>
      </c>
      <c r="T90" s="31" t="inlineStr">
        <is>
          <t>[PASAR] Sin Cuotas</t>
        </is>
      </c>
      <c r="U90" s="35" t="n">
        <v>0</v>
      </c>
      <c r="V90" s="35" t="n">
        <v>0</v>
      </c>
      <c r="W90" s="31">
        <f>IF(L90="","",IF((MAX(L90,M90,N90)-MEDIAN(L90,M90,N90))&gt;0.05,IF(OR(Q90="",R90=""),"[PREDICCION] "&amp;IF(L90=MAX(L90,M90,N90),"LOCAL",IF(M90=MAX(L90,M90,N90),"EMPATE","VISITA")),IF(L90=MAX(L90,M90,N90),IF(Q90&gt;R90,"[ACIERTO]","[FALLO]"),IF(M90=MAX(L90,M90,N90),IF(Q90=R90,"[ACIERTO]","[FALLO]"),IF(Q90&lt;R90,"[ACIERTO]","[FALLO]")))),"[PASAR] Margen Insuf"))</f>
        <v/>
      </c>
      <c r="X90" s="35">
        <f>IFERROR(IF(U90=0,0,IF(ISNUMBER(SEARCH("[GANADA]",S90)),U90*(IF(ISNUMBER(SEARCH("LOCAL",S90)),F90,IF(ISNUMBER(SEARCH("EMPATE",S90)),G90,H90))-1),IF(ISNUMBER(SEARCH("[PERDIDA]",S90)),-U90,0))),0)+IFERROR(IF(V90=0,0,IF(ISNUMBER(SEARCH("[GANADA]",T90)),V90*(IF(ISNUMBER(SEARCH("OVER",T90)),I90,J90)-1),IF(ISNUMBER(SEARCH("[PERDIDA]",T90)),-V90,0))),0)</f>
        <v/>
      </c>
      <c r="Y90" s="35">
        <f>Y89+X90</f>
        <v/>
      </c>
      <c r="Z90" s="36">
        <f>IF(OR(Q90="",R90=""),"",(L90-IF(Q90&gt;R90,1,0))^2+(M90-IF(Q90=R90,1,0))^2+(N90-IF(Q90&lt;R90,1,0))^2)</f>
        <v/>
      </c>
      <c r="AA90" s="36">
        <f>IF(OR(Q90="",R90="",F90="",F90=0,G90="",G90=0,H90="",H90=0),"",((1/F90/(1/F90+1/G90+1/H90))-IF(Q90&gt;R90,1,0))^2+((1/G90/(1/F90+1/G90+1/H90))-IF(Q90=R90,1,0))^2+((1/H90/(1/F90+1/G90+1/H90))-IF(Q90&lt;R90,1,0))^2)</f>
        <v/>
      </c>
      <c r="AB90" s="37" t="n">
        <v>0.9408</v>
      </c>
      <c r="AC90" s="33" t="inlineStr">
        <is>
          <t>NO</t>
        </is>
      </c>
    </row>
    <row r="91">
      <c r="A91" s="30" t="n">
        <v>46116</v>
      </c>
      <c r="B91" s="31" t="inlineStr">
        <is>
          <t>2026-04-04kasimpasakayserispor</t>
        </is>
      </c>
      <c r="C91" s="31" t="inlineStr">
        <is>
          <t>Kasimpasa vs Kayserispor</t>
        </is>
      </c>
      <c r="D91" s="31" t="inlineStr">
        <is>
          <t>Kasimpasa</t>
        </is>
      </c>
      <c r="E91" s="31" t="inlineStr">
        <is>
          <t>Kayserispor</t>
        </is>
      </c>
      <c r="F91" s="32" t="n">
        <v>2.26</v>
      </c>
      <c r="G91" s="32" t="n">
        <v>3.37</v>
      </c>
      <c r="H91" s="32" t="n">
        <v>3.33</v>
      </c>
      <c r="I91" s="32" t="n">
        <v>1.93</v>
      </c>
      <c r="J91" s="32" t="n">
        <v>1.94</v>
      </c>
      <c r="K91" s="33" t="inlineStr">
        <is>
          <t>Turquia</t>
        </is>
      </c>
      <c r="L91" s="34" t="n">
        <v>0.465813</v>
      </c>
      <c r="M91" s="34" t="n">
        <v>0.197002</v>
      </c>
      <c r="N91" s="34" t="n">
        <v>0.337186</v>
      </c>
      <c r="O91" s="34" t="n">
        <v>0.7986257270836742</v>
      </c>
      <c r="P91" s="34" t="n">
        <v>0.2013742729163258</v>
      </c>
      <c r="Q91" s="33" t="n">
        <v>2</v>
      </c>
      <c r="R91" s="33" t="n">
        <v>0</v>
      </c>
      <c r="S91" s="31" t="inlineStr">
        <is>
          <t>[PASAR] EV Insuf (0.053&lt;0.080)</t>
        </is>
      </c>
      <c r="T91" s="31" t="inlineStr">
        <is>
          <t>[PASAR] Sin Valor</t>
        </is>
      </c>
      <c r="U91" s="35" t="n">
        <v>0</v>
      </c>
      <c r="V91" s="35" t="n">
        <v>0</v>
      </c>
      <c r="W91" s="31">
        <f>IF(L91="","",IF((MAX(L91,M91,N91)-MEDIAN(L91,M91,N91))&gt;0.05,IF(OR(Q91="",R91=""),"[PREDICCION] "&amp;IF(L91=MAX(L91,M91,N91),"LOCAL",IF(M91=MAX(L91,M91,N91),"EMPATE","VISITA")),IF(L91=MAX(L91,M91,N91),IF(Q91&gt;R91,"[ACIERTO]","[FALLO]"),IF(M91=MAX(L91,M91,N91),IF(Q91=R91,"[ACIERTO]","[FALLO]"),IF(Q91&lt;R91,"[ACIERTO]","[FALLO]")))),"[PASAR] Margen Insuf"))</f>
        <v/>
      </c>
      <c r="X91" s="35">
        <f>IFERROR(IF(U91=0,0,IF(ISNUMBER(SEARCH("[GANADA]",S91)),U91*(IF(ISNUMBER(SEARCH("LOCAL",S91)),F91,IF(ISNUMBER(SEARCH("EMPATE",S91)),G91,H91))-1),IF(ISNUMBER(SEARCH("[PERDIDA]",S91)),-U91,0))),0)+IFERROR(IF(V91=0,0,IF(ISNUMBER(SEARCH("[GANADA]",T91)),V91*(IF(ISNUMBER(SEARCH("OVER",T91)),I91,J91)-1),IF(ISNUMBER(SEARCH("[PERDIDA]",T91)),-V91,0))),0)</f>
        <v/>
      </c>
      <c r="Y91" s="35">
        <f>Y90+X91</f>
        <v/>
      </c>
      <c r="Z91" s="36">
        <f>IF(OR(Q91="",R91=""),"",(L91-IF(Q91&gt;R91,1,0))^2+(M91-IF(Q91=R91,1,0))^2+(N91-IF(Q91&lt;R91,1,0))^2)</f>
        <v/>
      </c>
      <c r="AA91" s="36">
        <f>IF(OR(Q91="",R91="",F91="",F91=0,G91="",G91=0,H91="",H91=0),"",((1/F91/(1/F91+1/G91+1/H91))-IF(Q91&gt;R91,1,0))^2+((1/G91/(1/F91+1/G91+1/H91))-IF(Q91=R91,1,0))^2+((1/H91/(1/F91+1/G91+1/H91))-IF(Q91&lt;R91,1,0))^2)</f>
        <v/>
      </c>
      <c r="AB91" s="37" t="n">
        <v>1.4271</v>
      </c>
      <c r="AC91" s="33" t="inlineStr">
        <is>
          <t>NO</t>
        </is>
      </c>
    </row>
    <row r="92">
      <c r="A92" s="30" t="n">
        <v>46116</v>
      </c>
      <c r="B92" s="31" t="inlineStr">
        <is>
          <t>2026-04-04saopaulocruzeiro</t>
        </is>
      </c>
      <c r="C92" s="31" t="inlineStr">
        <is>
          <t>Sao Paulo vs Cruzeiro</t>
        </is>
      </c>
      <c r="D92" s="31" t="inlineStr">
        <is>
          <t>Sao Paulo</t>
        </is>
      </c>
      <c r="E92" s="31" t="inlineStr">
        <is>
          <t>Cruzeiro</t>
        </is>
      </c>
      <c r="F92" s="32" t="n">
        <v>1.12</v>
      </c>
      <c r="G92" s="32" t="n">
        <v>8.81</v>
      </c>
      <c r="H92" s="32" t="n">
        <v>28.34</v>
      </c>
      <c r="I92" s="32" t="n"/>
      <c r="J92" s="32" t="n"/>
      <c r="K92" s="33" t="inlineStr">
        <is>
          <t>Brasil</t>
        </is>
      </c>
      <c r="L92" s="34" t="n">
        <v>0.471628</v>
      </c>
      <c r="M92" s="34" t="n">
        <v>0.185207</v>
      </c>
      <c r="N92" s="34" t="n">
        <v>0.343165</v>
      </c>
      <c r="O92" s="34" t="n">
        <v>0.8416184491955879</v>
      </c>
      <c r="P92" s="34" t="n">
        <v>0.158381550804412</v>
      </c>
      <c r="Q92" s="33" t="n">
        <v>4</v>
      </c>
      <c r="R92" s="33" t="n">
        <v>1</v>
      </c>
      <c r="S92" s="31" t="inlineStr">
        <is>
          <t>[PASAR] Riesgo/Beneficio</t>
        </is>
      </c>
      <c r="T92" s="31" t="inlineStr">
        <is>
          <t>[PASAR] Sin Cuotas</t>
        </is>
      </c>
      <c r="U92" s="35" t="n">
        <v>0</v>
      </c>
      <c r="V92" s="35" t="n">
        <v>0</v>
      </c>
      <c r="W92" s="31">
        <f>IF(L92="","",IF((MAX(L92,M92,N92)-MEDIAN(L92,M92,N92))&gt;0.05,IF(OR(Q92="",R92=""),"[PREDICCION] "&amp;IF(L92=MAX(L92,M92,N92),"LOCAL",IF(M92=MAX(L92,M92,N92),"EMPATE","VISITA")),IF(L92=MAX(L92,M92,N92),IF(Q92&gt;R92,"[ACIERTO]","[FALLO]"),IF(M92=MAX(L92,M92,N92),IF(Q92=R92,"[ACIERTO]","[FALLO]"),IF(Q92&lt;R92,"[ACIERTO]","[FALLO]")))),"[PASAR] Margen Insuf"))</f>
        <v/>
      </c>
      <c r="X92" s="35">
        <f>IFERROR(IF(U92=0,0,IF(ISNUMBER(SEARCH("[GANADA]",S92)),U92*(IF(ISNUMBER(SEARCH("LOCAL",S92)),F92,IF(ISNUMBER(SEARCH("EMPATE",S92)),G92,H92))-1),IF(ISNUMBER(SEARCH("[PERDIDA]",S92)),-U92,0))),0)+IFERROR(IF(V92=0,0,IF(ISNUMBER(SEARCH("[GANADA]",T92)),V92*(IF(ISNUMBER(SEARCH("OVER",T92)),I92,J92)-1),IF(ISNUMBER(SEARCH("[PERDIDA]",T92)),-V92,0))),0)</f>
        <v/>
      </c>
      <c r="Y92" s="35">
        <f>Y91+X92</f>
        <v/>
      </c>
      <c r="Z92" s="36">
        <f>IF(OR(Q92="",R92=""),"",(L92-IF(Q92&gt;R92,1,0))^2+(M92-IF(Q92=R92,1,0))^2+(N92-IF(Q92&lt;R92,1,0))^2)</f>
        <v/>
      </c>
      <c r="AA92" s="36">
        <f>IF(OR(Q92="",R92="",F92="",F92=0,G92="",G92=0,H92="",H92=0),"",((1/F92/(1/F92+1/G92+1/H92))-IF(Q92&gt;R92,1,0))^2+((1/G92/(1/F92+1/G92+1/H92))-IF(Q92=R92,1,0))^2+((1/H92/(1/F92+1/G92+1/H92))-IF(Q92&lt;R92,1,0))^2)</f>
        <v/>
      </c>
      <c r="AB92" s="37" t="n">
        <v>1.1185</v>
      </c>
      <c r="AC92" s="33" t="inlineStr">
        <is>
          <t>NO</t>
        </is>
      </c>
    </row>
    <row r="93">
      <c r="A93" s="30" t="n">
        <v>46116</v>
      </c>
      <c r="B93" s="31" t="inlineStr">
        <is>
          <t>2026-04-04trabzonsporgalatasaray</t>
        </is>
      </c>
      <c r="C93" s="31" t="inlineStr">
        <is>
          <t>Trabzonspor vs Galatasaray</t>
        </is>
      </c>
      <c r="D93" s="31" t="inlineStr">
        <is>
          <t>Trabzonspor</t>
        </is>
      </c>
      <c r="E93" s="31" t="inlineStr">
        <is>
          <t>Galatasaray</t>
        </is>
      </c>
      <c r="F93" s="32" t="n">
        <v>3.42</v>
      </c>
      <c r="G93" s="32" t="n">
        <v>3.52</v>
      </c>
      <c r="H93" s="32" t="n">
        <v>2.16</v>
      </c>
      <c r="I93" s="32" t="n"/>
      <c r="J93" s="32" t="n"/>
      <c r="K93" s="33" t="inlineStr">
        <is>
          <t>Turquia</t>
        </is>
      </c>
      <c r="L93" s="34" t="n">
        <v>0.438753</v>
      </c>
      <c r="M93" s="34" t="n">
        <v>0.191047</v>
      </c>
      <c r="N93" s="34" t="n">
        <v>0.3702</v>
      </c>
      <c r="O93" s="34" t="n">
        <v>0.8303868054648232</v>
      </c>
      <c r="P93" s="34" t="n">
        <v>0.1696131945351767</v>
      </c>
      <c r="Q93" s="33" t="n">
        <v>2</v>
      </c>
      <c r="R93" s="33" t="n">
        <v>1</v>
      </c>
      <c r="S93" s="31" t="inlineStr">
        <is>
          <t>[GANADA] LOCAL</t>
        </is>
      </c>
      <c r="T93" s="31" t="inlineStr">
        <is>
          <t>[PASAR] Sin Cuotas</t>
        </is>
      </c>
      <c r="U93" s="35" t="n">
        <v>2500</v>
      </c>
      <c r="V93" s="35" t="n">
        <v>0</v>
      </c>
      <c r="W93" s="31">
        <f>IF(L93="","",IF((MAX(L93,M93,N93)-MEDIAN(L93,M93,N93))&gt;0.05,IF(OR(Q93="",R93=""),"[PREDICCION] "&amp;IF(L93=MAX(L93,M93,N93),"LOCAL",IF(M93=MAX(L93,M93,N93),"EMPATE","VISITA")),IF(L93=MAX(L93,M93,N93),IF(Q93&gt;R93,"[ACIERTO]","[FALLO]"),IF(M93=MAX(L93,M93,N93),IF(Q93=R93,"[ACIERTO]","[FALLO]"),IF(Q93&lt;R93,"[ACIERTO]","[FALLO]")))),"[PASAR] Margen Insuf"))</f>
        <v/>
      </c>
      <c r="X93" s="35">
        <f>IFERROR(IF(U93=0,0,IF(ISNUMBER(SEARCH("[GANADA]",S93)),U93*(IF(ISNUMBER(SEARCH("LOCAL",S93)),F93,IF(ISNUMBER(SEARCH("EMPATE",S93)),G93,H93))-1),IF(ISNUMBER(SEARCH("[PERDIDA]",S93)),-U93,0))),0)+IFERROR(IF(V93=0,0,IF(ISNUMBER(SEARCH("[GANADA]",T93)),V93*(IF(ISNUMBER(SEARCH("OVER",T93)),I93,J93)-1),IF(ISNUMBER(SEARCH("[PERDIDA]",T93)),-V93,0))),0)</f>
        <v/>
      </c>
      <c r="Y93" s="35">
        <f>Y92+X93</f>
        <v/>
      </c>
      <c r="Z93" s="36">
        <f>IF(OR(Q93="",R93=""),"",(L93-IF(Q93&gt;R93,1,0))^2+(M93-IF(Q93=R93,1,0))^2+(N93-IF(Q93&lt;R93,1,0))^2)</f>
        <v/>
      </c>
      <c r="AA93" s="36">
        <f>IF(OR(Q93="",R93="",F93="",F93=0,G93="",G93=0,H93="",H93=0),"",((1/F93/(1/F93+1/G93+1/H93))-IF(Q93&gt;R93,1,0))^2+((1/G93/(1/F93+1/G93+1/H93))-IF(Q93=R93,1,0))^2+((1/H93/(1/F93+1/G93+1/H93))-IF(Q93&lt;R93,1,0))^2)</f>
        <v/>
      </c>
      <c r="AB93" s="37" t="n">
        <v>1.1399</v>
      </c>
      <c r="AC93" s="33" t="inlineStr">
        <is>
          <t>NO</t>
        </is>
      </c>
    </row>
    <row r="94">
      <c r="A94" s="30" t="n">
        <v>46117</v>
      </c>
      <c r="B94" s="31" t="inlineStr">
        <is>
          <t>2026-04-05antalyasporeyupspor</t>
        </is>
      </c>
      <c r="C94" s="31" t="inlineStr">
        <is>
          <t>Antalyaspor vs Eyupspor</t>
        </is>
      </c>
      <c r="D94" s="31" t="inlineStr">
        <is>
          <t>Antalyaspor</t>
        </is>
      </c>
      <c r="E94" s="31" t="inlineStr">
        <is>
          <t>Eyupspor</t>
        </is>
      </c>
      <c r="F94" s="32" t="n">
        <v>2.21</v>
      </c>
      <c r="G94" s="32" t="n">
        <v>2.73</v>
      </c>
      <c r="H94" s="32" t="n">
        <v>4.17</v>
      </c>
      <c r="I94" s="32" t="n"/>
      <c r="J94" s="32" t="n"/>
      <c r="K94" s="33" t="inlineStr">
        <is>
          <t>Turquia</t>
        </is>
      </c>
      <c r="L94" s="34" t="n">
        <v>0.47776</v>
      </c>
      <c r="M94" s="34" t="n">
        <v>0.191066</v>
      </c>
      <c r="N94" s="34" t="n">
        <v>0.331174</v>
      </c>
      <c r="O94" s="34" t="n">
        <v>0.8232592902514405</v>
      </c>
      <c r="P94" s="34" t="n">
        <v>0.1767407097485595</v>
      </c>
      <c r="Q94" s="33" t="n">
        <v>3</v>
      </c>
      <c r="R94" s="33" t="n">
        <v>0</v>
      </c>
      <c r="S94" s="31" t="inlineStr">
        <is>
          <t>[PASAR] EV Insuf (0.056&lt;0.080)</t>
        </is>
      </c>
      <c r="T94" s="31" t="inlineStr">
        <is>
          <t>[PASAR] Sin Cuotas</t>
        </is>
      </c>
      <c r="U94" s="35" t="n">
        <v>0</v>
      </c>
      <c r="V94" s="35" t="n">
        <v>0</v>
      </c>
      <c r="W94" s="31">
        <f>IF(L94="","",IF((MAX(L94,M94,N94)-MEDIAN(L94,M94,N94))&gt;0.05,IF(OR(Q94="",R94=""),"[PREDICCION] "&amp;IF(L94=MAX(L94,M94,N94),"LOCAL",IF(M94=MAX(L94,M94,N94),"EMPATE","VISITA")),IF(L94=MAX(L94,M94,N94),IF(Q94&gt;R94,"[ACIERTO]","[FALLO]"),IF(M94=MAX(L94,M94,N94),IF(Q94=R94,"[ACIERTO]","[FALLO]"),IF(Q94&lt;R94,"[ACIERTO]","[FALLO]")))),"[PASAR] Margen Insuf"))</f>
        <v/>
      </c>
      <c r="X94" s="35">
        <f>IFERROR(IF(U94=0,0,IF(ISNUMBER(SEARCH("[GANADA]",S94)),U94*(IF(ISNUMBER(SEARCH("LOCAL",S94)),F94,IF(ISNUMBER(SEARCH("EMPATE",S94)),G94,H94))-1),IF(ISNUMBER(SEARCH("[PERDIDA]",S94)),-U94,0))),0)+IFERROR(IF(V94=0,0,IF(ISNUMBER(SEARCH("[GANADA]",T94)),V94*(IF(ISNUMBER(SEARCH("OVER",T94)),I94,J94)-1),IF(ISNUMBER(SEARCH("[PERDIDA]",T94)),-V94,0))),0)</f>
        <v/>
      </c>
      <c r="Y94" s="35">
        <f>Y93+X94</f>
        <v/>
      </c>
      <c r="Z94" s="36">
        <f>IF(OR(Q94="",R94=""),"",(L94-IF(Q94&gt;R94,1,0))^2+(M94-IF(Q94=R94,1,0))^2+(N94-IF(Q94&lt;R94,1,0))^2)</f>
        <v/>
      </c>
      <c r="AA94" s="36">
        <f>IF(OR(Q94="",R94="",F94="",F94=0,G94="",G94=0,H94="",H94=0),"",((1/F94/(1/F94+1/G94+1/H94))-IF(Q94&gt;R94,1,0))^2+((1/G94/(1/F94+1/G94+1/H94))-IF(Q94=R94,1,0))^2+((1/H94/(1/F94+1/G94+1/H94))-IF(Q94&lt;R94,1,0))^2)</f>
        <v/>
      </c>
      <c r="AB94" s="37" t="n">
        <v>1.3981</v>
      </c>
      <c r="AC94" s="33" t="inlineStr">
        <is>
          <t>NO</t>
        </is>
      </c>
    </row>
    <row r="95">
      <c r="A95" s="30" t="n">
        <v>46117</v>
      </c>
      <c r="B95" s="31" t="inlineStr">
        <is>
          <t>2026-04-05atleticomgathleticoparanaense</t>
        </is>
      </c>
      <c r="C95" s="31" t="inlineStr">
        <is>
          <t>Atlético-mg vs Athletico Paranaense</t>
        </is>
      </c>
      <c r="D95" s="31" t="inlineStr">
        <is>
          <t>Atlético-mg</t>
        </is>
      </c>
      <c r="E95" s="31" t="inlineStr">
        <is>
          <t>Athletico Paranaense</t>
        </is>
      </c>
      <c r="F95" s="32" t="n">
        <v>1.28</v>
      </c>
      <c r="G95" s="32" t="n">
        <v>4.66</v>
      </c>
      <c r="H95" s="32" t="n">
        <v>18.23</v>
      </c>
      <c r="I95" s="32" t="n">
        <v>4.2</v>
      </c>
      <c r="J95" s="32" t="n">
        <v>1.25</v>
      </c>
      <c r="K95" s="33" t="inlineStr">
        <is>
          <t>Brasil</t>
        </is>
      </c>
      <c r="L95" s="34" t="n">
        <v>0.454847</v>
      </c>
      <c r="M95" s="34" t="n">
        <v>0.184584</v>
      </c>
      <c r="N95" s="34" t="n">
        <v>0.360569</v>
      </c>
      <c r="O95" s="34" t="n">
        <v>0.8476962287386284</v>
      </c>
      <c r="P95" s="34" t="n">
        <v>0.1523037712613716</v>
      </c>
      <c r="Q95" s="33" t="n">
        <v>2</v>
      </c>
      <c r="R95" s="33" t="n">
        <v>1</v>
      </c>
      <c r="S95" s="31" t="inlineStr">
        <is>
          <t>[PASAR] Riesgo/Beneficio</t>
        </is>
      </c>
      <c r="T95" s="31" t="inlineStr">
        <is>
          <t>[PASAR] Sin Valor</t>
        </is>
      </c>
      <c r="U95" s="35" t="n">
        <v>0</v>
      </c>
      <c r="V95" s="35" t="n">
        <v>0</v>
      </c>
      <c r="W95" s="31">
        <f>IF(L95="","",IF((MAX(L95,M95,N95)-MEDIAN(L95,M95,N95))&gt;0.05,IF(OR(Q95="",R95=""),"[PREDICCION] "&amp;IF(L95=MAX(L95,M95,N95),"LOCAL",IF(M95=MAX(L95,M95,N95),"EMPATE","VISITA")),IF(L95=MAX(L95,M95,N95),IF(Q95&gt;R95,"[ACIERTO]","[FALLO]"),IF(M95=MAX(L95,M95,N95),IF(Q95=R95,"[ACIERTO]","[FALLO]"),IF(Q95&lt;R95,"[ACIERTO]","[FALLO]")))),"[PASAR] Margen Insuf"))</f>
        <v/>
      </c>
      <c r="X95" s="35">
        <f>IFERROR(IF(U95=0,0,IF(ISNUMBER(SEARCH("[GANADA]",S95)),U95*(IF(ISNUMBER(SEARCH("LOCAL",S95)),F95,IF(ISNUMBER(SEARCH("EMPATE",S95)),G95,H95))-1),IF(ISNUMBER(SEARCH("[PERDIDA]",S95)),-U95,0))),0)+IFERROR(IF(V95=0,0,IF(ISNUMBER(SEARCH("[GANADA]",T95)),V95*(IF(ISNUMBER(SEARCH("OVER",T95)),I95,J95)-1),IF(ISNUMBER(SEARCH("[PERDIDA]",T95)),-V95,0))),0)</f>
        <v/>
      </c>
      <c r="Y95" s="35">
        <f>Y94+X95</f>
        <v/>
      </c>
      <c r="Z95" s="36">
        <f>IF(OR(Q95="",R95=""),"",(L95-IF(Q95&gt;R95,1,0))^2+(M95-IF(Q95=R95,1,0))^2+(N95-IF(Q95&lt;R95,1,0))^2)</f>
        <v/>
      </c>
      <c r="AA95" s="36">
        <f>IF(OR(Q95="",R95="",F95="",F95=0,G95="",G95=0,H95="",H95=0),"",((1/F95/(1/F95+1/G95+1/H95))-IF(Q95&gt;R95,1,0))^2+((1/G95/(1/F95+1/G95+1/H95))-IF(Q95=R95,1,0))^2+((1/H95/(1/F95+1/G95+1/H95))-IF(Q95&lt;R95,1,0))^2)</f>
        <v/>
      </c>
      <c r="AB95" s="37" t="n">
        <v>1.2553</v>
      </c>
      <c r="AC95" s="33" t="inlineStr">
        <is>
          <t>NO</t>
        </is>
      </c>
    </row>
    <row r="96">
      <c r="A96" s="30" t="n">
        <v>46117</v>
      </c>
      <c r="B96" s="31" t="inlineStr">
        <is>
          <t>2026-04-05bahiapalmeiras</t>
        </is>
      </c>
      <c r="C96" s="31" t="inlineStr">
        <is>
          <t>Bahia vs Palmeiras</t>
        </is>
      </c>
      <c r="D96" s="31" t="inlineStr">
        <is>
          <t>Bahia</t>
        </is>
      </c>
      <c r="E96" s="31" t="inlineStr">
        <is>
          <t>Palmeiras</t>
        </is>
      </c>
      <c r="F96" s="32" t="n">
        <v>2.62</v>
      </c>
      <c r="G96" s="32" t="n">
        <v>3.22</v>
      </c>
      <c r="H96" s="32" t="n">
        <v>2.93</v>
      </c>
      <c r="I96" s="32" t="n">
        <v>2.07</v>
      </c>
      <c r="J96" s="32" t="n">
        <v>1.83</v>
      </c>
      <c r="K96" s="33" t="inlineStr">
        <is>
          <t>Brasil</t>
        </is>
      </c>
      <c r="L96" s="34" t="n">
        <v>0.435764</v>
      </c>
      <c r="M96" s="34" t="n">
        <v>0.188842</v>
      </c>
      <c r="N96" s="34" t="n">
        <v>0.375394</v>
      </c>
      <c r="O96" s="34" t="n">
        <v>0.8298904853921074</v>
      </c>
      <c r="P96" s="34" t="n">
        <v>0.1701095146078926</v>
      </c>
      <c r="Q96" s="33" t="n">
        <v>1</v>
      </c>
      <c r="R96" s="33" t="n">
        <v>2</v>
      </c>
      <c r="S96" s="31" t="inlineStr">
        <is>
          <t>[PERDIDA] LOCAL</t>
        </is>
      </c>
      <c r="T96" s="31" t="inlineStr">
        <is>
          <t>[PASAR] Sin Valor</t>
        </is>
      </c>
      <c r="U96" s="35" t="n">
        <v>1443.38</v>
      </c>
      <c r="V96" s="35" t="n">
        <v>0</v>
      </c>
      <c r="W96" s="31">
        <f>IF(L96="","",IF((MAX(L96,M96,N96)-MEDIAN(L96,M96,N96))&gt;0.05,IF(OR(Q96="",R96=""),"[PREDICCION] "&amp;IF(L96=MAX(L96,M96,N96),"LOCAL",IF(M96=MAX(L96,M96,N96),"EMPATE","VISITA")),IF(L96=MAX(L96,M96,N96),IF(Q96&gt;R96,"[ACIERTO]","[FALLO]"),IF(M96=MAX(L96,M96,N96),IF(Q96=R96,"[ACIERTO]","[FALLO]"),IF(Q96&lt;R96,"[ACIERTO]","[FALLO]")))),"[PASAR] Margen Insuf"))</f>
        <v/>
      </c>
      <c r="X96" s="35">
        <f>IFERROR(IF(U96=0,0,IF(ISNUMBER(SEARCH("[GANADA]",S96)),U96*(IF(ISNUMBER(SEARCH("LOCAL",S96)),F96,IF(ISNUMBER(SEARCH("EMPATE",S96)),G96,H96))-1),IF(ISNUMBER(SEARCH("[PERDIDA]",S96)),-U96,0))),0)+IFERROR(IF(V96=0,0,IF(ISNUMBER(SEARCH("[GANADA]",T96)),V96*(IF(ISNUMBER(SEARCH("OVER",T96)),I96,J96)-1),IF(ISNUMBER(SEARCH("[PERDIDA]",T96)),-V96,0))),0)</f>
        <v/>
      </c>
      <c r="Y96" s="35">
        <f>Y95+X96</f>
        <v/>
      </c>
      <c r="Z96" s="36">
        <f>IF(OR(Q96="",R96=""),"",(L96-IF(Q96&gt;R96,1,0))^2+(M96-IF(Q96=R96,1,0))^2+(N96-IF(Q96&lt;R96,1,0))^2)</f>
        <v/>
      </c>
      <c r="AA96" s="36">
        <f>IF(OR(Q96="",R96="",F96="",F96=0,G96="",G96=0,H96="",H96=0),"",((1/F96/(1/F96+1/G96+1/H96))-IF(Q96&gt;R96,1,0))^2+((1/G96/(1/F96+1/G96+1/H96))-IF(Q96=R96,1,0))^2+((1/H96/(1/F96+1/G96+1/H96))-IF(Q96&lt;R96,1,0))^2)</f>
        <v/>
      </c>
      <c r="AB96" s="37" t="n">
        <v>1.1325</v>
      </c>
      <c r="AC96" s="33" t="inlineStr">
        <is>
          <t>NO</t>
        </is>
      </c>
    </row>
    <row r="97">
      <c r="A97" s="30" t="n">
        <v>46117</v>
      </c>
      <c r="B97" s="31" t="inlineStr">
        <is>
          <t>2026-04-05centralcordobasantiagodelesteronewellsoldboys</t>
        </is>
      </c>
      <c r="C97" s="31" t="inlineStr">
        <is>
          <t>Central Córdoba (santiago del Estero) vs Newell's Old Boys</t>
        </is>
      </c>
      <c r="D97" s="31" t="inlineStr">
        <is>
          <t>Central Córdoba (santiago del Estero)</t>
        </is>
      </c>
      <c r="E97" s="31" t="inlineStr">
        <is>
          <t>Newell's Old Boys</t>
        </is>
      </c>
      <c r="F97" s="32" t="n">
        <v>2.2</v>
      </c>
      <c r="G97" s="32" t="n">
        <v>2.96</v>
      </c>
      <c r="H97" s="32" t="n">
        <v>4.13</v>
      </c>
      <c r="I97" s="32" t="n"/>
      <c r="J97" s="32" t="n"/>
      <c r="K97" s="33" t="inlineStr">
        <is>
          <t>Argentina</t>
        </is>
      </c>
      <c r="L97" s="34" t="n">
        <v>0.3804246111504958</v>
      </c>
      <c r="M97" s="34" t="n">
        <v>0.232469996000584</v>
      </c>
      <c r="N97" s="34" t="n">
        <v>0.3871053928489202</v>
      </c>
      <c r="O97" s="34" t="n">
        <v>0.6971528796493079</v>
      </c>
      <c r="P97" s="34" t="n">
        <v>0.3028471203506921</v>
      </c>
      <c r="Q97" s="33" t="n">
        <v>1</v>
      </c>
      <c r="R97" s="33" t="n">
        <v>3</v>
      </c>
      <c r="S97" s="31" t="inlineStr">
        <is>
          <t>[PASAR] Margen Predictivo Insuficiente (&lt;5%)</t>
        </is>
      </c>
      <c r="T97" s="31" t="inlineStr">
        <is>
          <t>[PASAR] Sin Cuotas</t>
        </is>
      </c>
      <c r="U97" s="35" t="n">
        <v>0</v>
      </c>
      <c r="V97" s="35" t="n">
        <v>0</v>
      </c>
      <c r="W97" s="31">
        <f>IF(L97="","",IF((MAX(L97,M97,N97)-MEDIAN(L97,M97,N97))&gt;0.05,IF(OR(Q97="",R97=""),"[PREDICCION] "&amp;IF(L97=MAX(L97,M97,N97),"LOCAL",IF(M97=MAX(L97,M97,N97),"EMPATE","VISITA")),IF(L97=MAX(L97,M97,N97),IF(Q97&gt;R97,"[ACIERTO]","[FALLO]"),IF(M97=MAX(L97,M97,N97),IF(Q97=R97,"[ACIERTO]","[FALLO]"),IF(Q97&lt;R97,"[ACIERTO]","[FALLO]")))),"[PASAR] Margen Insuf"))</f>
        <v/>
      </c>
      <c r="X97" s="35">
        <f>IFERROR(IF(U97=0,0,IF(ISNUMBER(SEARCH("[GANADA]",S97)),U97*(IF(ISNUMBER(SEARCH("LOCAL",S97)),F97,IF(ISNUMBER(SEARCH("EMPATE",S97)),G97,H97))-1),IF(ISNUMBER(SEARCH("[PERDIDA]",S97)),-U97,0))),0)+IFERROR(IF(V97=0,0,IF(ISNUMBER(SEARCH("[GANADA]",T97)),V97*(IF(ISNUMBER(SEARCH("OVER",T97)),I97,J97)-1),IF(ISNUMBER(SEARCH("[PERDIDA]",T97)),-V97,0))),0)</f>
        <v/>
      </c>
      <c r="Y97" s="35">
        <f>Y96+X97</f>
        <v/>
      </c>
      <c r="Z97" s="36">
        <f>IF(OR(Q97="",R97=""),"",(L97-IF(Q97&gt;R97,1,0))^2+(M97-IF(Q97=R97,1,0))^2+(N97-IF(Q97&lt;R97,1,0))^2)</f>
        <v/>
      </c>
      <c r="AA97" s="36">
        <f>IF(OR(Q97="",R97="",F97="",F97=0,G97="",G97=0,H97="",H97=0),"",((1/F97/(1/F97+1/G97+1/H97))-IF(Q97&gt;R97,1,0))^2+((1/G97/(1/F97+1/G97+1/H97))-IF(Q97=R97,1,0))^2+((1/H97/(1/F97+1/G97+1/H97))-IF(Q97&lt;R97,1,0))^2)</f>
        <v/>
      </c>
      <c r="AB97" s="37" t="n">
        <v>0.9886</v>
      </c>
      <c r="AC97" s="33" t="inlineStr">
        <is>
          <t>NO</t>
        </is>
      </c>
    </row>
    <row r="98">
      <c r="A98" s="30" t="n">
        <v>46117</v>
      </c>
      <c r="B98" s="31" t="inlineStr">
        <is>
          <t>2026-04-05chapecoensevitoria</t>
        </is>
      </c>
      <c r="C98" s="31" t="inlineStr">
        <is>
          <t>Chapecoense vs Vitoria</t>
        </is>
      </c>
      <c r="D98" s="31" t="inlineStr">
        <is>
          <t>Chapecoense</t>
        </is>
      </c>
      <c r="E98" s="31" t="inlineStr">
        <is>
          <t>Vitoria</t>
        </is>
      </c>
      <c r="F98" s="32" t="n">
        <v>2.65</v>
      </c>
      <c r="G98" s="32" t="n">
        <v>3.24</v>
      </c>
      <c r="H98" s="32" t="n">
        <v>2.87</v>
      </c>
      <c r="I98" s="32" t="n"/>
      <c r="J98" s="32" t="n"/>
      <c r="K98" s="33" t="inlineStr">
        <is>
          <t>Brasil</t>
        </is>
      </c>
      <c r="L98" s="34" t="n">
        <v>0.417165</v>
      </c>
      <c r="M98" s="34" t="n">
        <v>0.174594</v>
      </c>
      <c r="N98" s="34" t="n">
        <v>0.408241</v>
      </c>
      <c r="O98" s="34" t="n">
        <v>0.8625773921902599</v>
      </c>
      <c r="P98" s="34" t="n">
        <v>0.1374226078097401</v>
      </c>
      <c r="Q98" s="33" t="n">
        <v>1</v>
      </c>
      <c r="R98" s="33" t="n">
        <v>1</v>
      </c>
      <c r="S98" s="31" t="inlineStr">
        <is>
          <t>[PASAR] Margen Predictivo Insuficiente (&lt;5%)</t>
        </is>
      </c>
      <c r="T98" s="31" t="inlineStr">
        <is>
          <t>[PASAR] Sin Cuotas</t>
        </is>
      </c>
      <c r="U98" s="35" t="n">
        <v>0</v>
      </c>
      <c r="V98" s="35" t="n">
        <v>0</v>
      </c>
      <c r="W98" s="31">
        <f>IF(L98="","",IF((MAX(L98,M98,N98)-MEDIAN(L98,M98,N98))&gt;0.05,IF(OR(Q98="",R98=""),"[PREDICCION] "&amp;IF(L98=MAX(L98,M98,N98),"LOCAL",IF(M98=MAX(L98,M98,N98),"EMPATE","VISITA")),IF(L98=MAX(L98,M98,N98),IF(Q98&gt;R98,"[ACIERTO]","[FALLO]"),IF(M98=MAX(L98,M98,N98),IF(Q98=R98,"[ACIERTO]","[FALLO]"),IF(Q98&lt;R98,"[ACIERTO]","[FALLO]")))),"[PASAR] Margen Insuf"))</f>
        <v/>
      </c>
      <c r="X98" s="35">
        <f>IFERROR(IF(U98=0,0,IF(ISNUMBER(SEARCH("[GANADA]",S98)),U98*(IF(ISNUMBER(SEARCH("LOCAL",S98)),F98,IF(ISNUMBER(SEARCH("EMPATE",S98)),G98,H98))-1),IF(ISNUMBER(SEARCH("[PERDIDA]",S98)),-U98,0))),0)+IFERROR(IF(V98=0,0,IF(ISNUMBER(SEARCH("[GANADA]",T98)),V98*(IF(ISNUMBER(SEARCH("OVER",T98)),I98,J98)-1),IF(ISNUMBER(SEARCH("[PERDIDA]",T98)),-V98,0))),0)</f>
        <v/>
      </c>
      <c r="Y98" s="35">
        <f>Y97+X98</f>
        <v/>
      </c>
      <c r="Z98" s="36">
        <f>IF(OR(Q98="",R98=""),"",(L98-IF(Q98&gt;R98,1,0))^2+(M98-IF(Q98=R98,1,0))^2+(N98-IF(Q98&lt;R98,1,0))^2)</f>
        <v/>
      </c>
      <c r="AA98" s="36">
        <f>IF(OR(Q98="",R98="",F98="",F98=0,G98="",G98=0,H98="",H98=0),"",((1/F98/(1/F98+1/G98+1/H98))-IF(Q98&gt;R98,1,0))^2+((1/G98/(1/F98+1/G98+1/H98))-IF(Q98=R98,1,0))^2+((1/H98/(1/F98+1/G98+1/H98))-IF(Q98&lt;R98,1,0))^2)</f>
        <v/>
      </c>
      <c r="AB98" s="37" t="n">
        <v>1.1589</v>
      </c>
      <c r="AC98" s="33" t="inlineStr">
        <is>
          <t>NO</t>
        </is>
      </c>
    </row>
    <row r="99">
      <c r="A99" s="30" t="n">
        <v>46117</v>
      </c>
      <c r="B99" s="31" t="inlineStr">
        <is>
          <t>2026-04-05corinthiansinternacional</t>
        </is>
      </c>
      <c r="C99" s="31" t="inlineStr">
        <is>
          <t>Corinthians vs Internacional</t>
        </is>
      </c>
      <c r="D99" s="31" t="inlineStr">
        <is>
          <t>Corinthians</t>
        </is>
      </c>
      <c r="E99" s="31" t="inlineStr">
        <is>
          <t>Internacional</t>
        </is>
      </c>
      <c r="F99" s="32" t="n">
        <v>2.26</v>
      </c>
      <c r="G99" s="32" t="n">
        <v>3.12</v>
      </c>
      <c r="H99" s="32" t="n">
        <v>3.68</v>
      </c>
      <c r="I99" s="32" t="n"/>
      <c r="J99" s="32" t="n"/>
      <c r="K99" s="33" t="inlineStr">
        <is>
          <t>Brasil</t>
        </is>
      </c>
      <c r="L99" s="34" t="n">
        <v>0.357223</v>
      </c>
      <c r="M99" s="34" t="n">
        <v>0.195628</v>
      </c>
      <c r="N99" s="34" t="n">
        <v>0.44715</v>
      </c>
      <c r="O99" s="34" t="n">
        <v>0.7959992205192364</v>
      </c>
      <c r="P99" s="34" t="n">
        <v>0.2040007794807636</v>
      </c>
      <c r="Q99" s="33" t="n">
        <v>0</v>
      </c>
      <c r="R99" s="33" t="n">
        <v>1</v>
      </c>
      <c r="S99" s="31" t="inlineStr">
        <is>
          <t>[GANADA] VISITA</t>
        </is>
      </c>
      <c r="T99" s="31" t="inlineStr">
        <is>
          <t>[PASAR] Sin Cuotas</t>
        </is>
      </c>
      <c r="U99" s="35" t="n">
        <v>1443.38</v>
      </c>
      <c r="V99" s="35" t="n">
        <v>0</v>
      </c>
      <c r="W99" s="31">
        <f>IF(L99="","",IF((MAX(L99,M99,N99)-MEDIAN(L99,M99,N99))&gt;0.05,IF(OR(Q99="",R99=""),"[PREDICCION] "&amp;IF(L99=MAX(L99,M99,N99),"LOCAL",IF(M99=MAX(L99,M99,N99),"EMPATE","VISITA")),IF(L99=MAX(L99,M99,N99),IF(Q99&gt;R99,"[ACIERTO]","[FALLO]"),IF(M99=MAX(L99,M99,N99),IF(Q99=R99,"[ACIERTO]","[FALLO]"),IF(Q99&lt;R99,"[ACIERTO]","[FALLO]")))),"[PASAR] Margen Insuf"))</f>
        <v/>
      </c>
      <c r="X99" s="35">
        <f>IFERROR(IF(U99=0,0,IF(ISNUMBER(SEARCH("[GANADA]",S99)),U99*(IF(ISNUMBER(SEARCH("LOCAL",S99)),F99,IF(ISNUMBER(SEARCH("EMPATE",S99)),G99,H99))-1),IF(ISNUMBER(SEARCH("[PERDIDA]",S99)),-U99,0))),0)+IFERROR(IF(V99=0,0,IF(ISNUMBER(SEARCH("[GANADA]",T99)),V99*(IF(ISNUMBER(SEARCH("OVER",T99)),I99,J99)-1),IF(ISNUMBER(SEARCH("[PERDIDA]",T99)),-V99,0))),0)</f>
        <v/>
      </c>
      <c r="Y99" s="35">
        <f>Y98+X99</f>
        <v/>
      </c>
      <c r="Z99" s="36">
        <f>IF(OR(Q99="",R99=""),"",(L99-IF(Q99&gt;R99,1,0))^2+(M99-IF(Q99=R99,1,0))^2+(N99-IF(Q99&lt;R99,1,0))^2)</f>
        <v/>
      </c>
      <c r="AA99" s="36">
        <f>IF(OR(Q99="",R99="",F99="",F99=0,G99="",G99=0,H99="",H99=0),"",((1/F99/(1/F99+1/G99+1/H99))-IF(Q99&gt;R99,1,0))^2+((1/G99/(1/F99+1/G99+1/H99))-IF(Q99=R99,1,0))^2+((1/H99/(1/F99+1/G99+1/H99))-IF(Q99&lt;R99,1,0))^2)</f>
        <v/>
      </c>
      <c r="AB99" s="37" t="n">
        <v>1.2895</v>
      </c>
      <c r="AC99" s="33" t="inlineStr">
        <is>
          <t>NO</t>
        </is>
      </c>
    </row>
    <row r="100">
      <c r="A100" s="30" t="n">
        <v>46117</v>
      </c>
      <c r="B100" s="31" t="inlineStr">
        <is>
          <t>2026-04-05fatihkaragumrukcaykurrizespor</t>
        </is>
      </c>
      <c r="C100" s="31" t="inlineStr">
        <is>
          <t>Fatih Karagümrük vs Caykur Rizespor</t>
        </is>
      </c>
      <c r="D100" s="31" t="inlineStr">
        <is>
          <t>Fatih Karagümrük</t>
        </is>
      </c>
      <c r="E100" s="31" t="inlineStr">
        <is>
          <t>Caykur Rizespor</t>
        </is>
      </c>
      <c r="F100" s="32" t="n">
        <v>3.27</v>
      </c>
      <c r="G100" s="32" t="n">
        <v>3.53</v>
      </c>
      <c r="H100" s="32" t="n">
        <v>2.25</v>
      </c>
      <c r="I100" s="32" t="n">
        <v>1.85</v>
      </c>
      <c r="J100" s="32" t="n">
        <v>2.04</v>
      </c>
      <c r="K100" s="33" t="inlineStr">
        <is>
          <t>Turquia</t>
        </is>
      </c>
      <c r="L100" s="34" t="n">
        <v>0.457678</v>
      </c>
      <c r="M100" s="34" t="n">
        <v>0.194101</v>
      </c>
      <c r="N100" s="34" t="n">
        <v>0.348222</v>
      </c>
      <c r="O100" s="34" t="n">
        <v>0.8140447618600636</v>
      </c>
      <c r="P100" s="34" t="n">
        <v>0.1859552381399364</v>
      </c>
      <c r="Q100" s="33" t="n">
        <v>2</v>
      </c>
      <c r="R100" s="33" t="n">
        <v>1</v>
      </c>
      <c r="S100" s="31" t="inlineStr">
        <is>
          <t>[GANADA] LOCAL</t>
        </is>
      </c>
      <c r="T100" s="31" t="inlineStr">
        <is>
          <t>[PASAR] Sin Valor</t>
        </is>
      </c>
      <c r="U100" s="35" t="n">
        <v>1443.38</v>
      </c>
      <c r="V100" s="35" t="n">
        <v>0</v>
      </c>
      <c r="W100" s="31">
        <f>IF(L100="","",IF((MAX(L100,M100,N100)-MEDIAN(L100,M100,N100))&gt;0.05,IF(OR(Q100="",R100=""),"[PREDICCION] "&amp;IF(L100=MAX(L100,M100,N100),"LOCAL",IF(M100=MAX(L100,M100,N100),"EMPATE","VISITA")),IF(L100=MAX(L100,M100,N100),IF(Q100&gt;R100,"[ACIERTO]","[FALLO]"),IF(M100=MAX(L100,M100,N100),IF(Q100=R100,"[ACIERTO]","[FALLO]"),IF(Q100&lt;R100,"[ACIERTO]","[FALLO]")))),"[PASAR] Margen Insuf"))</f>
        <v/>
      </c>
      <c r="X100" s="35">
        <f>IFERROR(IF(U100=0,0,IF(ISNUMBER(SEARCH("[GANADA]",S100)),U100*(IF(ISNUMBER(SEARCH("LOCAL",S100)),F100,IF(ISNUMBER(SEARCH("EMPATE",S100)),G100,H100))-1),IF(ISNUMBER(SEARCH("[PERDIDA]",S100)),-U100,0))),0)+IFERROR(IF(V100=0,0,IF(ISNUMBER(SEARCH("[GANADA]",T100)),V100*(IF(ISNUMBER(SEARCH("OVER",T100)),I100,J100)-1),IF(ISNUMBER(SEARCH("[PERDIDA]",T100)),-V100,0))),0)</f>
        <v/>
      </c>
      <c r="Y100" s="35">
        <f>Y99+X100</f>
        <v/>
      </c>
      <c r="Z100" s="36">
        <f>IF(OR(Q100="",R100=""),"",(L100-IF(Q100&gt;R100,1,0))^2+(M100-IF(Q100=R100,1,0))^2+(N100-IF(Q100&lt;R100,1,0))^2)</f>
        <v/>
      </c>
      <c r="AA100" s="36">
        <f>IF(OR(Q100="",R100="",F100="",F100=0,G100="",G100=0,H100="",H100=0),"",((1/F100/(1/F100+1/G100+1/H100))-IF(Q100&gt;R100,1,0))^2+((1/G100/(1/F100+1/G100+1/H100))-IF(Q100=R100,1,0))^2+((1/H100/(1/F100+1/G100+1/H100))-IF(Q100&lt;R100,1,0))^2)</f>
        <v/>
      </c>
      <c r="AB100" s="37" t="n">
        <v>1.2404</v>
      </c>
      <c r="AC100" s="33" t="inlineStr">
        <is>
          <t>NO</t>
        </is>
      </c>
    </row>
    <row r="101">
      <c r="A101" s="30" t="n">
        <v>46117</v>
      </c>
      <c r="B101" s="31" t="inlineStr">
        <is>
          <t>2026-04-05fenerbahcebesiktas</t>
        </is>
      </c>
      <c r="C101" s="31" t="inlineStr">
        <is>
          <t>Fenerbahce vs Besiktas</t>
        </is>
      </c>
      <c r="D101" s="31" t="inlineStr">
        <is>
          <t>Fenerbahce</t>
        </is>
      </c>
      <c r="E101" s="31" t="inlineStr">
        <is>
          <t>Besiktas</t>
        </is>
      </c>
      <c r="F101" s="32" t="n">
        <v>2.69</v>
      </c>
      <c r="G101" s="32" t="n">
        <v>2.18</v>
      </c>
      <c r="H101" s="32" t="n">
        <v>4.38</v>
      </c>
      <c r="I101" s="32" t="n"/>
      <c r="J101" s="32" t="n"/>
      <c r="K101" s="33" t="inlineStr">
        <is>
          <t>Turquia</t>
        </is>
      </c>
      <c r="L101" s="34" t="n">
        <v>0.460336</v>
      </c>
      <c r="M101" s="34" t="n">
        <v>0.192084</v>
      </c>
      <c r="N101" s="34" t="n">
        <v>0.347581</v>
      </c>
      <c r="O101" s="34" t="n">
        <v>0.8228049086169518</v>
      </c>
      <c r="P101" s="34" t="n">
        <v>0.1771950913830482</v>
      </c>
      <c r="Q101" s="33" t="n">
        <v>1</v>
      </c>
      <c r="R101" s="33" t="n">
        <v>0</v>
      </c>
      <c r="S101" s="31" t="inlineStr">
        <is>
          <t>[GANADA] LOCAL</t>
        </is>
      </c>
      <c r="T101" s="31" t="inlineStr">
        <is>
          <t>[PASAR] Sin Cuotas</t>
        </is>
      </c>
      <c r="U101" s="35" t="n">
        <v>1443.38</v>
      </c>
      <c r="V101" s="35" t="n">
        <v>0</v>
      </c>
      <c r="W101" s="31">
        <f>IF(L101="","",IF((MAX(L101,M101,N101)-MEDIAN(L101,M101,N101))&gt;0.05,IF(OR(Q101="",R101=""),"[PREDICCION] "&amp;IF(L101=MAX(L101,M101,N101),"LOCAL",IF(M101=MAX(L101,M101,N101),"EMPATE","VISITA")),IF(L101=MAX(L101,M101,N101),IF(Q101&gt;R101,"[ACIERTO]","[FALLO]"),IF(M101=MAX(L101,M101,N101),IF(Q101=R101,"[ACIERTO]","[FALLO]"),IF(Q101&lt;R101,"[ACIERTO]","[FALLO]")))),"[PASAR] Margen Insuf"))</f>
        <v/>
      </c>
      <c r="X101" s="35">
        <f>IFERROR(IF(U101=0,0,IF(ISNUMBER(SEARCH("[GANADA]",S101)),U101*(IF(ISNUMBER(SEARCH("LOCAL",S101)),F101,IF(ISNUMBER(SEARCH("EMPATE",S101)),G101,H101))-1),IF(ISNUMBER(SEARCH("[PERDIDA]",S101)),-U101,0))),0)+IFERROR(IF(V101=0,0,IF(ISNUMBER(SEARCH("[GANADA]",T101)),V101*(IF(ISNUMBER(SEARCH("OVER",T101)),I101,J101)-1),IF(ISNUMBER(SEARCH("[PERDIDA]",T101)),-V101,0))),0)</f>
        <v/>
      </c>
      <c r="Y101" s="35">
        <f>Y100+X101</f>
        <v/>
      </c>
      <c r="Z101" s="36">
        <f>IF(OR(Q101="",R101=""),"",(L101-IF(Q101&gt;R101,1,0))^2+(M101-IF(Q101=R101,1,0))^2+(N101-IF(Q101&lt;R101,1,0))^2)</f>
        <v/>
      </c>
      <c r="AA101" s="36">
        <f>IF(OR(Q101="",R101="",F101="",F101=0,G101="",G101=0,H101="",H101=0),"",((1/F101/(1/F101+1/G101+1/H101))-IF(Q101&gt;R101,1,0))^2+((1/G101/(1/F101+1/G101+1/H101))-IF(Q101=R101,1,0))^2+((1/H101/(1/F101+1/G101+1/H101))-IF(Q101&lt;R101,1,0))^2)</f>
        <v/>
      </c>
      <c r="AB101" s="37" t="n">
        <v>1.2365</v>
      </c>
      <c r="AC101" s="33" t="inlineStr">
        <is>
          <t>NO</t>
        </is>
      </c>
    </row>
    <row r="102">
      <c r="A102" s="30" t="n">
        <v>46117</v>
      </c>
      <c r="B102" s="31" t="inlineStr">
        <is>
          <t>2026-04-05flamengosantos</t>
        </is>
      </c>
      <c r="C102" s="31" t="inlineStr">
        <is>
          <t>Flamengo vs Santos</t>
        </is>
      </c>
      <c r="D102" s="31" t="inlineStr">
        <is>
          <t>Flamengo</t>
        </is>
      </c>
      <c r="E102" s="31" t="inlineStr">
        <is>
          <t>Santos</t>
        </is>
      </c>
      <c r="F102" s="32" t="n">
        <v>1.66</v>
      </c>
      <c r="G102" s="32" t="n">
        <v>2.92</v>
      </c>
      <c r="H102" s="32" t="n">
        <v>9.34</v>
      </c>
      <c r="I102" s="32" t="n">
        <v>1.93</v>
      </c>
      <c r="J102" s="32" t="n">
        <v>1.96</v>
      </c>
      <c r="K102" s="33" t="inlineStr">
        <is>
          <t>Brasil</t>
        </is>
      </c>
      <c r="L102" s="34" t="n">
        <v>0.478909</v>
      </c>
      <c r="M102" s="34" t="n">
        <v>0.18823</v>
      </c>
      <c r="N102" s="34" t="n">
        <v>0.332861</v>
      </c>
      <c r="O102" s="34" t="n">
        <v>0.8251908772754586</v>
      </c>
      <c r="P102" s="34" t="n">
        <v>0.1748091227245414</v>
      </c>
      <c r="Q102" s="33" t="n">
        <v>3</v>
      </c>
      <c r="R102" s="33" t="n">
        <v>1</v>
      </c>
      <c r="S102" s="31" t="inlineStr">
        <is>
          <t>[PASAR] Riesgo/Beneficio</t>
        </is>
      </c>
      <c r="T102" s="31" t="inlineStr">
        <is>
          <t>[PASAR] Sin Valor</t>
        </is>
      </c>
      <c r="U102" s="35" t="n">
        <v>0</v>
      </c>
      <c r="V102" s="35" t="n">
        <v>0</v>
      </c>
      <c r="W102" s="31">
        <f>IF(L102="","",IF((MAX(L102,M102,N102)-MEDIAN(L102,M102,N102))&gt;0.05,IF(OR(Q102="",R102=""),"[PREDICCION] "&amp;IF(L102=MAX(L102,M102,N102),"LOCAL",IF(M102=MAX(L102,M102,N102),"EMPATE","VISITA")),IF(L102=MAX(L102,M102,N102),IF(Q102&gt;R102,"[ACIERTO]","[FALLO]"),IF(M102=MAX(L102,M102,N102),IF(Q102=R102,"[ACIERTO]","[FALLO]"),IF(Q102&lt;R102,"[ACIERTO]","[FALLO]")))),"[PASAR] Margen Insuf"))</f>
        <v/>
      </c>
      <c r="X102" s="35">
        <f>IFERROR(IF(U102=0,0,IF(ISNUMBER(SEARCH("[GANADA]",S102)),U102*(IF(ISNUMBER(SEARCH("LOCAL",S102)),F102,IF(ISNUMBER(SEARCH("EMPATE",S102)),G102,H102))-1),IF(ISNUMBER(SEARCH("[PERDIDA]",S102)),-U102,0))),0)+IFERROR(IF(V102=0,0,IF(ISNUMBER(SEARCH("[GANADA]",T102)),V102*(IF(ISNUMBER(SEARCH("OVER",T102)),I102,J102)-1),IF(ISNUMBER(SEARCH("[PERDIDA]",T102)),-V102,0))),0)</f>
        <v/>
      </c>
      <c r="Y102" s="35">
        <f>Y101+X102</f>
        <v/>
      </c>
      <c r="Z102" s="36">
        <f>IF(OR(Q102="",R102=""),"",(L102-IF(Q102&gt;R102,1,0))^2+(M102-IF(Q102=R102,1,0))^2+(N102-IF(Q102&lt;R102,1,0))^2)</f>
        <v/>
      </c>
      <c r="AA102" s="36">
        <f>IF(OR(Q102="",R102="",F102="",F102=0,G102="",G102=0,H102="",H102=0),"",((1/F102/(1/F102+1/G102+1/H102))-IF(Q102&gt;R102,1,0))^2+((1/G102/(1/F102+1/G102+1/H102))-IF(Q102=R102,1,0))^2+((1/H102/(1/F102+1/G102+1/H102))-IF(Q102&lt;R102,1,0))^2)</f>
        <v/>
      </c>
      <c r="AB102" s="37" t="n">
        <v>1.2039</v>
      </c>
      <c r="AC102" s="33" t="inlineStr">
        <is>
          <t>NO</t>
        </is>
      </c>
    </row>
    <row r="103">
      <c r="A103" s="30" t="n">
        <v>46117</v>
      </c>
      <c r="B103" s="31" t="inlineStr">
        <is>
          <t>2026-04-05gimnasialaplatahuracan</t>
        </is>
      </c>
      <c r="C103" s="31" t="inlineStr">
        <is>
          <t>Gimnasia la Plata vs Huracan</t>
        </is>
      </c>
      <c r="D103" s="31" t="inlineStr">
        <is>
          <t>Gimnasia la Plata</t>
        </is>
      </c>
      <c r="E103" s="31" t="inlineStr">
        <is>
          <t>Huracan</t>
        </is>
      </c>
      <c r="F103" s="32" t="n"/>
      <c r="G103" s="32" t="n"/>
      <c r="H103" s="32" t="n"/>
      <c r="I103" s="32" t="n"/>
      <c r="J103" s="32" t="n"/>
      <c r="K103" s="33" t="inlineStr">
        <is>
          <t>Argentina</t>
        </is>
      </c>
      <c r="L103" s="34" t="n">
        <v>0.34814</v>
      </c>
      <c r="M103" s="34" t="n">
        <v>0.222481</v>
      </c>
      <c r="N103" s="34" t="n">
        <v>0.429379</v>
      </c>
      <c r="O103" s="34" t="n">
        <v>0.6987430812459767</v>
      </c>
      <c r="P103" s="34" t="n">
        <v>0.3012569187540232</v>
      </c>
      <c r="Q103" s="33" t="n">
        <v>0</v>
      </c>
      <c r="R103" s="33" t="n">
        <v>3</v>
      </c>
      <c r="S103" s="31" t="inlineStr">
        <is>
          <t>[PASAR] Sin Cuotas</t>
        </is>
      </c>
      <c r="T103" s="31" t="inlineStr">
        <is>
          <t>[PASAR] Sin Cuotas</t>
        </is>
      </c>
      <c r="U103" s="35" t="n">
        <v>0</v>
      </c>
      <c r="V103" s="35" t="n">
        <v>0</v>
      </c>
      <c r="W103" s="31">
        <f>IF(L103="","",IF((MAX(L103,M103,N103)-MEDIAN(L103,M103,N103))&gt;0.05,IF(OR(Q103="",R103=""),"[PREDICCION] "&amp;IF(L103=MAX(L103,M103,N103),"LOCAL",IF(M103=MAX(L103,M103,N103),"EMPATE","VISITA")),IF(L103=MAX(L103,M103,N103),IF(Q103&gt;R103,"[ACIERTO]","[FALLO]"),IF(M103=MAX(L103,M103,N103),IF(Q103=R103,"[ACIERTO]","[FALLO]"),IF(Q103&lt;R103,"[ACIERTO]","[FALLO]")))),"[PASAR] Margen Insuf"))</f>
        <v/>
      </c>
      <c r="X103" s="35">
        <f>IFERROR(IF(U103=0,0,IF(ISNUMBER(SEARCH("[GANADA]",S103)),U103*(IF(ISNUMBER(SEARCH("LOCAL",S103)),F103,IF(ISNUMBER(SEARCH("EMPATE",S103)),G103,H103))-1),IF(ISNUMBER(SEARCH("[PERDIDA]",S103)),-U103,0))),0)+IFERROR(IF(V103=0,0,IF(ISNUMBER(SEARCH("[GANADA]",T103)),V103*(IF(ISNUMBER(SEARCH("OVER",T103)),I103,J103)-1),IF(ISNUMBER(SEARCH("[PERDIDA]",T103)),-V103,0))),0)</f>
        <v/>
      </c>
      <c r="Y103" s="35">
        <f>Y102+X103</f>
        <v/>
      </c>
      <c r="Z103" s="36">
        <f>IF(OR(Q103="",R103=""),"",(L103-IF(Q103&gt;R103,1,0))^2+(M103-IF(Q103=R103,1,0))^2+(N103-IF(Q103&lt;R103,1,0))^2)</f>
        <v/>
      </c>
      <c r="AA103" s="36">
        <f>IF(OR(Q103="",R103="",F103="",F103=0,G103="",G103=0,H103="",H103=0),"",((1/F103/(1/F103+1/G103+1/H103))-IF(Q103&gt;R103,1,0))^2+((1/G103/(1/F103+1/G103+1/H103))-IF(Q103=R103,1,0))^2+((1/H103/(1/F103+1/G103+1/H103))-IF(Q103&lt;R103,1,0))^2)</f>
        <v/>
      </c>
      <c r="AB103" s="37" t="n">
        <v>0.8302</v>
      </c>
      <c r="AC103" s="33" t="inlineStr">
        <is>
          <t>NO</t>
        </is>
      </c>
    </row>
    <row r="104">
      <c r="A104" s="30" t="n">
        <v>46117</v>
      </c>
      <c r="B104" s="31" t="inlineStr">
        <is>
          <t>2026-04-05gremioremo</t>
        </is>
      </c>
      <c r="C104" s="31" t="inlineStr">
        <is>
          <t>Gremio vs Remo</t>
        </is>
      </c>
      <c r="D104" s="31" t="inlineStr">
        <is>
          <t>Gremio</t>
        </is>
      </c>
      <c r="E104" s="31" t="inlineStr">
        <is>
          <t>Remo</t>
        </is>
      </c>
      <c r="F104" s="32" t="n">
        <v>1.71</v>
      </c>
      <c r="G104" s="32" t="n">
        <v>3.79</v>
      </c>
      <c r="H104" s="32" t="n">
        <v>5.35</v>
      </c>
      <c r="I104" s="32" t="n">
        <v>1.84</v>
      </c>
      <c r="J104" s="32" t="n">
        <v>2.06</v>
      </c>
      <c r="K104" s="33" t="inlineStr">
        <is>
          <t>Brasil</t>
        </is>
      </c>
      <c r="L104" s="34" t="n">
        <v>0.440145</v>
      </c>
      <c r="M104" s="34" t="n">
        <v>0.188803</v>
      </c>
      <c r="N104" s="34" t="n">
        <v>0.371052</v>
      </c>
      <c r="O104" s="34" t="n">
        <v>0.8297797817973523</v>
      </c>
      <c r="P104" s="34" t="n">
        <v>0.1702202182026476</v>
      </c>
      <c r="Q104" s="33" t="n">
        <v>0</v>
      </c>
      <c r="R104" s="33" t="n">
        <v>0</v>
      </c>
      <c r="S104" s="31" t="inlineStr">
        <is>
          <t>[PASAR] Riesgo/Beneficio</t>
        </is>
      </c>
      <c r="T104" s="31" t="inlineStr">
        <is>
          <t>[PASAR] Sin Valor</t>
        </is>
      </c>
      <c r="U104" s="35" t="n">
        <v>0</v>
      </c>
      <c r="V104" s="35" t="n">
        <v>0</v>
      </c>
      <c r="W104" s="31">
        <f>IF(L104="","",IF((MAX(L104,M104,N104)-MEDIAN(L104,M104,N104))&gt;0.05,IF(OR(Q104="",R104=""),"[PREDICCION] "&amp;IF(L104=MAX(L104,M104,N104),"LOCAL",IF(M104=MAX(L104,M104,N104),"EMPATE","VISITA")),IF(L104=MAX(L104,M104,N104),IF(Q104&gt;R104,"[ACIERTO]","[FALLO]"),IF(M104=MAX(L104,M104,N104),IF(Q104=R104,"[ACIERTO]","[FALLO]"),IF(Q104&lt;R104,"[ACIERTO]","[FALLO]")))),"[PASAR] Margen Insuf"))</f>
        <v/>
      </c>
      <c r="X104" s="35">
        <f>IFERROR(IF(U104=0,0,IF(ISNUMBER(SEARCH("[GANADA]",S104)),U104*(IF(ISNUMBER(SEARCH("LOCAL",S104)),F104,IF(ISNUMBER(SEARCH("EMPATE",S104)),G104,H104))-1),IF(ISNUMBER(SEARCH("[PERDIDA]",S104)),-U104,0))),0)+IFERROR(IF(V104=0,0,IF(ISNUMBER(SEARCH("[GANADA]",T104)),V104*(IF(ISNUMBER(SEARCH("OVER",T104)),I104,J104)-1),IF(ISNUMBER(SEARCH("[PERDIDA]",T104)),-V104,0))),0)</f>
        <v/>
      </c>
      <c r="Y104" s="35">
        <f>Y103+X104</f>
        <v/>
      </c>
      <c r="Z104" s="36">
        <f>IF(OR(Q104="",R104=""),"",(L104-IF(Q104&gt;R104,1,0))^2+(M104-IF(Q104=R104,1,0))^2+(N104-IF(Q104&lt;R104,1,0))^2)</f>
        <v/>
      </c>
      <c r="AA104" s="36">
        <f>IF(OR(Q104="",R104="",F104="",F104=0,G104="",G104=0,H104="",H104=0),"",((1/F104/(1/F104+1/G104+1/H104))-IF(Q104&gt;R104,1,0))^2+((1/G104/(1/F104+1/G104+1/H104))-IF(Q104=R104,1,0))^2+((1/H104/(1/F104+1/G104+1/H104))-IF(Q104&lt;R104,1,0))^2)</f>
        <v/>
      </c>
      <c r="AB104" s="37" t="n">
        <v>1.3091</v>
      </c>
      <c r="AC104" s="33" t="inlineStr">
        <is>
          <t>NO</t>
        </is>
      </c>
    </row>
    <row r="105">
      <c r="A105" s="30" t="n">
        <v>46117</v>
      </c>
      <c r="B105" s="31" t="inlineStr">
        <is>
          <t>2026-04-05mirassolredbullbragantino</t>
        </is>
      </c>
      <c r="C105" s="31" t="inlineStr">
        <is>
          <t>Mirassol vs Red Bull Bragantino</t>
        </is>
      </c>
      <c r="D105" s="31" t="inlineStr">
        <is>
          <t>Mirassol</t>
        </is>
      </c>
      <c r="E105" s="31" t="inlineStr">
        <is>
          <t>Red Bull Bragantino</t>
        </is>
      </c>
      <c r="F105" s="32" t="n">
        <v>2.15</v>
      </c>
      <c r="G105" s="32" t="n">
        <v>3.37</v>
      </c>
      <c r="H105" s="32" t="n">
        <v>3.68</v>
      </c>
      <c r="I105" s="32" t="n">
        <v>2.07</v>
      </c>
      <c r="J105" s="32" t="n">
        <v>1.83</v>
      </c>
      <c r="K105" s="33" t="inlineStr">
        <is>
          <t>Brasil</t>
        </is>
      </c>
      <c r="L105" s="34" t="n">
        <v>0.38284</v>
      </c>
      <c r="M105" s="34" t="n">
        <v>0.190499</v>
      </c>
      <c r="N105" s="34" t="n">
        <v>0.426661</v>
      </c>
      <c r="O105" s="34" t="n">
        <v>0.8224064237304639</v>
      </c>
      <c r="P105" s="34" t="n">
        <v>0.1775935762695361</v>
      </c>
      <c r="Q105" s="33" t="n">
        <v>0</v>
      </c>
      <c r="R105" s="33" t="n">
        <v>1</v>
      </c>
      <c r="S105" s="31" t="inlineStr">
        <is>
          <t>[GANADA] VISITA</t>
        </is>
      </c>
      <c r="T105" s="31" t="inlineStr">
        <is>
          <t>[PASAR] Sin Valor</t>
        </is>
      </c>
      <c r="U105" s="35" t="n">
        <v>1443.38</v>
      </c>
      <c r="V105" s="35" t="n">
        <v>0</v>
      </c>
      <c r="W105" s="31">
        <f>IF(L105="","",IF((MAX(L105,M105,N105)-MEDIAN(L105,M105,N105))&gt;0.05,IF(OR(Q105="",R105=""),"[PREDICCION] "&amp;IF(L105=MAX(L105,M105,N105),"LOCAL",IF(M105=MAX(L105,M105,N105),"EMPATE","VISITA")),IF(L105=MAX(L105,M105,N105),IF(Q105&gt;R105,"[ACIERTO]","[FALLO]"),IF(M105=MAX(L105,M105,N105),IF(Q105=R105,"[ACIERTO]","[FALLO]"),IF(Q105&lt;R105,"[ACIERTO]","[FALLO]")))),"[PASAR] Margen Insuf"))</f>
        <v/>
      </c>
      <c r="X105" s="35">
        <f>IFERROR(IF(U105=0,0,IF(ISNUMBER(SEARCH("[GANADA]",S105)),U105*(IF(ISNUMBER(SEARCH("LOCAL",S105)),F105,IF(ISNUMBER(SEARCH("EMPATE",S105)),G105,H105))-1),IF(ISNUMBER(SEARCH("[PERDIDA]",S105)),-U105,0))),0)+IFERROR(IF(V105=0,0,IF(ISNUMBER(SEARCH("[GANADA]",T105)),V105*(IF(ISNUMBER(SEARCH("OVER",T105)),I105,J105)-1),IF(ISNUMBER(SEARCH("[PERDIDA]",T105)),-V105,0))),0)</f>
        <v/>
      </c>
      <c r="Y105" s="35">
        <f>Y104+X105</f>
        <v/>
      </c>
      <c r="Z105" s="36">
        <f>IF(OR(Q105="",R105=""),"",(L105-IF(Q105&gt;R105,1,0))^2+(M105-IF(Q105=R105,1,0))^2+(N105-IF(Q105&lt;R105,1,0))^2)</f>
        <v/>
      </c>
      <c r="AA105" s="36">
        <f>IF(OR(Q105="",R105="",F105="",F105=0,G105="",G105=0,H105="",H105=0),"",((1/F105/(1/F105+1/G105+1/H105))-IF(Q105&gt;R105,1,0))^2+((1/G105/(1/F105+1/G105+1/H105))-IF(Q105=R105,1,0))^2+((1/H105/(1/F105+1/G105+1/H105))-IF(Q105&lt;R105,1,0))^2)</f>
        <v/>
      </c>
      <c r="AB105" s="37" t="n">
        <v>1.2319</v>
      </c>
      <c r="AC105" s="33" t="inlineStr">
        <is>
          <t>NO</t>
        </is>
      </c>
    </row>
    <row r="106">
      <c r="A106" s="30" t="n">
        <v>46117</v>
      </c>
      <c r="B106" s="31" t="inlineStr">
        <is>
          <t>2026-04-05riverplatebelgranocordoba</t>
        </is>
      </c>
      <c r="C106" s="31" t="inlineStr">
        <is>
          <t>River Plate vs Belgrano (cordoba)</t>
        </is>
      </c>
      <c r="D106" s="31" t="inlineStr">
        <is>
          <t>River Plate</t>
        </is>
      </c>
      <c r="E106" s="31" t="inlineStr">
        <is>
          <t>Belgrano (cordoba)</t>
        </is>
      </c>
      <c r="F106" s="32" t="n">
        <v>1.21</v>
      </c>
      <c r="G106" s="32" t="n">
        <v>5.51</v>
      </c>
      <c r="H106" s="32" t="n">
        <v>21.55</v>
      </c>
      <c r="I106" s="32" t="n"/>
      <c r="J106" s="32" t="n"/>
      <c r="K106" s="33" t="inlineStr">
        <is>
          <t>Argentina</t>
        </is>
      </c>
      <c r="L106" s="34" t="n">
        <v>0.45873</v>
      </c>
      <c r="M106" s="34" t="n">
        <v>0.220091</v>
      </c>
      <c r="N106" s="34" t="n">
        <v>0.321179</v>
      </c>
      <c r="O106" s="34" t="n">
        <v>0.7037361517308268</v>
      </c>
      <c r="P106" s="34" t="n">
        <v>0.2962638482691732</v>
      </c>
      <c r="Q106" s="33" t="n">
        <v>3</v>
      </c>
      <c r="R106" s="33" t="n">
        <v>0</v>
      </c>
      <c r="S106" s="31" t="inlineStr">
        <is>
          <t>[PASAR] Riesgo/Beneficio</t>
        </is>
      </c>
      <c r="T106" s="31" t="inlineStr">
        <is>
          <t>[PASAR] Sin Cuotas</t>
        </is>
      </c>
      <c r="U106" s="35" t="n">
        <v>0</v>
      </c>
      <c r="V106" s="35" t="n">
        <v>0</v>
      </c>
      <c r="W106" s="31">
        <f>IF(L106="","",IF((MAX(L106,M106,N106)-MEDIAN(L106,M106,N106))&gt;0.05,IF(OR(Q106="",R106=""),"[PREDICCION] "&amp;IF(L106=MAX(L106,M106,N106),"LOCAL",IF(M106=MAX(L106,M106,N106),"EMPATE","VISITA")),IF(L106=MAX(L106,M106,N106),IF(Q106&gt;R106,"[ACIERTO]","[FALLO]"),IF(M106=MAX(L106,M106,N106),IF(Q106=R106,"[ACIERTO]","[FALLO]"),IF(Q106&lt;R106,"[ACIERTO]","[FALLO]")))),"[PASAR] Margen Insuf"))</f>
        <v/>
      </c>
      <c r="X106" s="35">
        <f>IFERROR(IF(U106=0,0,IF(ISNUMBER(SEARCH("[GANADA]",S106)),U106*(IF(ISNUMBER(SEARCH("LOCAL",S106)),F106,IF(ISNUMBER(SEARCH("EMPATE",S106)),G106,H106))-1),IF(ISNUMBER(SEARCH("[PERDIDA]",S106)),-U106,0))),0)+IFERROR(IF(V106=0,0,IF(ISNUMBER(SEARCH("[GANADA]",T106)),V106*(IF(ISNUMBER(SEARCH("OVER",T106)),I106,J106)-1),IF(ISNUMBER(SEARCH("[PERDIDA]",T106)),-V106,0))),0)</f>
        <v/>
      </c>
      <c r="Y106" s="35">
        <f>Y105+X106</f>
        <v/>
      </c>
      <c r="Z106" s="36">
        <f>IF(OR(Q106="",R106=""),"",(L106-IF(Q106&gt;R106,1,0))^2+(M106-IF(Q106=R106,1,0))^2+(N106-IF(Q106&lt;R106,1,0))^2)</f>
        <v/>
      </c>
      <c r="AA106" s="36">
        <f>IF(OR(Q106="",R106="",F106="",F106=0,G106="",G106=0,H106="",H106=0),"",((1/F106/(1/F106+1/G106+1/H106))-IF(Q106&gt;R106,1,0))^2+((1/G106/(1/F106+1/G106+1/H106))-IF(Q106=R106,1,0))^2+((1/H106/(1/F106+1/G106+1/H106))-IF(Q106&lt;R106,1,0))^2)</f>
        <v/>
      </c>
      <c r="AB106" s="37" t="n">
        <v>0.8957000000000001</v>
      </c>
      <c r="AC106" s="33" t="inlineStr">
        <is>
          <t>NO</t>
        </is>
      </c>
    </row>
    <row r="107">
      <c r="A107" s="30" t="n">
        <v>46116</v>
      </c>
      <c r="B107" s="31" t="inlineStr">
        <is>
          <t>2026-04-05rosariocentralatleticotucuman</t>
        </is>
      </c>
      <c r="C107" s="31" t="inlineStr">
        <is>
          <t>Rosario Central vs Atletico Tucuman</t>
        </is>
      </c>
      <c r="D107" s="31" t="inlineStr">
        <is>
          <t>Rosario Central</t>
        </is>
      </c>
      <c r="E107" s="31" t="inlineStr">
        <is>
          <t>Atletico Tucuman</t>
        </is>
      </c>
      <c r="F107" s="32" t="n">
        <v>1.64</v>
      </c>
      <c r="G107" s="32" t="n">
        <v>3.71</v>
      </c>
      <c r="H107" s="32" t="n">
        <v>6.29</v>
      </c>
      <c r="I107" s="32" t="n"/>
      <c r="J107" s="32" t="n"/>
      <c r="K107" s="33" t="inlineStr">
        <is>
          <t>Argentina</t>
        </is>
      </c>
      <c r="L107" s="34" t="n">
        <v>0.451596</v>
      </c>
      <c r="M107" s="34" t="n">
        <v>0.220245</v>
      </c>
      <c r="N107" s="34" t="n">
        <v>0.32816</v>
      </c>
      <c r="O107" s="34" t="n">
        <v>0.7050404076137368</v>
      </c>
      <c r="P107" s="34" t="n">
        <v>0.2949595923862632</v>
      </c>
      <c r="Q107" s="33" t="n">
        <v>2</v>
      </c>
      <c r="R107" s="33" t="n">
        <v>1</v>
      </c>
      <c r="S107" s="31" t="inlineStr">
        <is>
          <t>[PASAR] Riesgo/Beneficio</t>
        </is>
      </c>
      <c r="T107" s="31" t="inlineStr">
        <is>
          <t>[PASAR] Sin Cuotas</t>
        </is>
      </c>
      <c r="U107" s="35" t="n">
        <v>0</v>
      </c>
      <c r="V107" s="35" t="n">
        <v>0</v>
      </c>
      <c r="W107" s="31">
        <f>IF(L107="","",IF((MAX(L107,M107,N107)-MEDIAN(L107,M107,N107))&gt;0.05,IF(OR(Q107="",R107=""),"[PREDICCION] "&amp;IF(L107=MAX(L107,M107,N107),"LOCAL",IF(M107=MAX(L107,M107,N107),"EMPATE","VISITA")),IF(L107=MAX(L107,M107,N107),IF(Q107&gt;R107,"[ACIERTO]","[FALLO]"),IF(M107=MAX(L107,M107,N107),IF(Q107=R107,"[ACIERTO]","[FALLO]"),IF(Q107&lt;R107,"[ACIERTO]","[FALLO]")))),"[PASAR] Margen Insuf"))</f>
        <v/>
      </c>
      <c r="X107" s="35">
        <f>IFERROR(IF(U107=0,0,IF(ISNUMBER(SEARCH("[GANADA]",S107)),U107*(IF(ISNUMBER(SEARCH("LOCAL",S107)),F107,IF(ISNUMBER(SEARCH("EMPATE",S107)),G107,H107))-1),IF(ISNUMBER(SEARCH("[PERDIDA]",S107)),-U107,0))),0)+IFERROR(IF(V107=0,0,IF(ISNUMBER(SEARCH("[GANADA]",T107)),V107*(IF(ISNUMBER(SEARCH("OVER",T107)),I107,J107)-1),IF(ISNUMBER(SEARCH("[PERDIDA]",T107)),-V107,0))),0)</f>
        <v/>
      </c>
      <c r="Y107" s="35">
        <f>Y106+X107</f>
        <v/>
      </c>
      <c r="Z107" s="36">
        <f>IF(OR(Q107="",R107=""),"",(L107-IF(Q107&gt;R107,1,0))^2+(M107-IF(Q107=R107,1,0))^2+(N107-IF(Q107&lt;R107,1,0))^2)</f>
        <v/>
      </c>
      <c r="AA107" s="36">
        <f>IF(OR(Q107="",R107="",F107="",F107=0,G107="",G107=0,H107="",H107=0),"",((1/F107/(1/F107+1/G107+1/H107))-IF(Q107&gt;R107,1,0))^2+((1/G107/(1/F107+1/G107+1/H107))-IF(Q107=R107,1,0))^2+((1/H107/(1/F107+1/G107+1/H107))-IF(Q107&lt;R107,1,0))^2)</f>
        <v/>
      </c>
      <c r="AB107" s="37" t="n">
        <v>0.7768</v>
      </c>
      <c r="AC107" s="33" t="inlineStr">
        <is>
          <t>NO</t>
        </is>
      </c>
    </row>
    <row r="108">
      <c r="A108" s="30" t="n">
        <v>46117</v>
      </c>
      <c r="B108" s="31" t="inlineStr">
        <is>
          <t>2026-04-05samsunsporkonyaspor</t>
        </is>
      </c>
      <c r="C108" s="31" t="inlineStr">
        <is>
          <t>Samsunspor vs Konyaspor</t>
        </is>
      </c>
      <c r="D108" s="31" t="inlineStr">
        <is>
          <t>Samsunspor</t>
        </is>
      </c>
      <c r="E108" s="31" t="inlineStr">
        <is>
          <t>Konyaspor</t>
        </is>
      </c>
      <c r="F108" s="32" t="n">
        <v>2.39</v>
      </c>
      <c r="G108" s="32" t="n">
        <v>3.14</v>
      </c>
      <c r="H108" s="32" t="n">
        <v>3.38</v>
      </c>
      <c r="I108" s="32" t="n"/>
      <c r="J108" s="32" t="n"/>
      <c r="K108" s="33" t="inlineStr">
        <is>
          <t>Turquia</t>
        </is>
      </c>
      <c r="L108" s="34" t="n">
        <v>0.457359</v>
      </c>
      <c r="M108" s="34" t="n">
        <v>0.190828</v>
      </c>
      <c r="N108" s="34" t="n">
        <v>0.351813</v>
      </c>
      <c r="O108" s="34" t="n">
        <v>0.8290583950780068</v>
      </c>
      <c r="P108" s="34" t="n">
        <v>0.1709416049219932</v>
      </c>
      <c r="Q108" s="33" t="n">
        <v>2</v>
      </c>
      <c r="R108" s="33" t="n">
        <v>2</v>
      </c>
      <c r="S108" s="31" t="inlineStr">
        <is>
          <t>[PERDIDA] LOCAL</t>
        </is>
      </c>
      <c r="T108" s="31" t="inlineStr">
        <is>
          <t>[PASAR] Sin Cuotas</t>
        </is>
      </c>
      <c r="U108" s="35" t="n">
        <v>1443.38</v>
      </c>
      <c r="V108" s="35" t="n">
        <v>0</v>
      </c>
      <c r="W108" s="31">
        <f>IF(L108="","",IF((MAX(L108,M108,N108)-MEDIAN(L108,M108,N108))&gt;0.05,IF(OR(Q108="",R108=""),"[PREDICCION] "&amp;IF(L108=MAX(L108,M108,N108),"LOCAL",IF(M108=MAX(L108,M108,N108),"EMPATE","VISITA")),IF(L108=MAX(L108,M108,N108),IF(Q108&gt;R108,"[ACIERTO]","[FALLO]"),IF(M108=MAX(L108,M108,N108),IF(Q108=R108,"[ACIERTO]","[FALLO]"),IF(Q108&lt;R108,"[ACIERTO]","[FALLO]")))),"[PASAR] Margen Insuf"))</f>
        <v/>
      </c>
      <c r="X108" s="35">
        <f>IFERROR(IF(U108=0,0,IF(ISNUMBER(SEARCH("[GANADA]",S108)),U108*(IF(ISNUMBER(SEARCH("LOCAL",S108)),F108,IF(ISNUMBER(SEARCH("EMPATE",S108)),G108,H108))-1),IF(ISNUMBER(SEARCH("[PERDIDA]",S108)),-U108,0))),0)+IFERROR(IF(V108=0,0,IF(ISNUMBER(SEARCH("[GANADA]",T108)),V108*(IF(ISNUMBER(SEARCH("OVER",T108)),I108,J108)-1),IF(ISNUMBER(SEARCH("[PERDIDA]",T108)),-V108,0))),0)</f>
        <v/>
      </c>
      <c r="Y108" s="35">
        <f>Y107+X108</f>
        <v/>
      </c>
      <c r="Z108" s="36">
        <f>IF(OR(Q108="",R108=""),"",(L108-IF(Q108&gt;R108,1,0))^2+(M108-IF(Q108=R108,1,0))^2+(N108-IF(Q108&lt;R108,1,0))^2)</f>
        <v/>
      </c>
      <c r="AA108" s="36">
        <f>IF(OR(Q108="",R108="",F108="",F108=0,G108="",G108=0,H108="",H108=0),"",((1/F108/(1/F108+1/G108+1/H108))-IF(Q108&gt;R108,1,0))^2+((1/G108/(1/F108+1/G108+1/H108))-IF(Q108=R108,1,0))^2+((1/H108/(1/F108+1/G108+1/H108))-IF(Q108&lt;R108,1,0))^2)</f>
        <v/>
      </c>
      <c r="AB108" s="37" t="n">
        <v>1.2805</v>
      </c>
      <c r="AC108" s="33" t="inlineStr">
        <is>
          <t>NO</t>
        </is>
      </c>
    </row>
    <row r="109">
      <c r="A109" s="30" t="n">
        <v>46116</v>
      </c>
      <c r="B109" s="31" t="inlineStr">
        <is>
          <t>2026-04-05vascodagamabotafogo</t>
        </is>
      </c>
      <c r="C109" s="31" t="inlineStr">
        <is>
          <t>Vasco da Gama vs Botafogo</t>
        </is>
      </c>
      <c r="D109" s="31" t="inlineStr">
        <is>
          <t>Vasco da Gama</t>
        </is>
      </c>
      <c r="E109" s="31" t="inlineStr">
        <is>
          <t>Botafogo</t>
        </is>
      </c>
      <c r="F109" s="32" t="n">
        <v>2.06</v>
      </c>
      <c r="G109" s="32" t="n">
        <v>3.44</v>
      </c>
      <c r="H109" s="32" t="n">
        <v>3.88</v>
      </c>
      <c r="I109" s="32" t="n">
        <v>2</v>
      </c>
      <c r="J109" s="32" t="n">
        <v>1.84</v>
      </c>
      <c r="K109" s="33" t="inlineStr">
        <is>
          <t>Brasil</t>
        </is>
      </c>
      <c r="L109" s="34" t="n">
        <v>0.412972</v>
      </c>
      <c r="M109" s="34" t="n">
        <v>0.17768</v>
      </c>
      <c r="N109" s="34" t="n">
        <v>0.409349</v>
      </c>
      <c r="O109" s="34" t="n">
        <v>0.8484489533922086</v>
      </c>
      <c r="P109" s="34" t="n">
        <v>0.1515510466077913</v>
      </c>
      <c r="Q109" s="33" t="n">
        <v>1</v>
      </c>
      <c r="R109" s="33" t="n">
        <v>2</v>
      </c>
      <c r="S109" s="31" t="inlineStr">
        <is>
          <t>[PASAR] Margen Predictivo Insuficiente (&lt;5%)</t>
        </is>
      </c>
      <c r="T109" s="31" t="inlineStr">
        <is>
          <t>[PASAR] Sin Valor</t>
        </is>
      </c>
      <c r="U109" s="35" t="n">
        <v>0</v>
      </c>
      <c r="V109" s="35" t="n">
        <v>0</v>
      </c>
      <c r="W109" s="31">
        <f>IF(L109="","",IF((MAX(L109,M109,N109)-MEDIAN(L109,M109,N109))&gt;0.05,IF(OR(Q109="",R109=""),"[PREDICCION] "&amp;IF(L109=MAX(L109,M109,N109),"LOCAL",IF(M109=MAX(L109,M109,N109),"EMPATE","VISITA")),IF(L109=MAX(L109,M109,N109),IF(Q109&gt;R109,"[ACIERTO]","[FALLO]"),IF(M109=MAX(L109,M109,N109),IF(Q109=R109,"[ACIERTO]","[FALLO]"),IF(Q109&lt;R109,"[ACIERTO]","[FALLO]")))),"[PASAR] Margen Insuf"))</f>
        <v/>
      </c>
      <c r="X109" s="35">
        <f>IFERROR(IF(U109=0,0,IF(ISNUMBER(SEARCH("[GANADA]",S109)),U109*(IF(ISNUMBER(SEARCH("LOCAL",S109)),F109,IF(ISNUMBER(SEARCH("EMPATE",S109)),G109,H109))-1),IF(ISNUMBER(SEARCH("[PERDIDA]",S109)),-U109,0))),0)+IFERROR(IF(V109=0,0,IF(ISNUMBER(SEARCH("[GANADA]",T109)),V109*(IF(ISNUMBER(SEARCH("OVER",T109)),I109,J109)-1),IF(ISNUMBER(SEARCH("[PERDIDA]",T109)),-V109,0))),0)</f>
        <v/>
      </c>
      <c r="Y109" s="35">
        <f>Y108+X109</f>
        <v/>
      </c>
      <c r="Z109" s="36">
        <f>IF(OR(Q109="",R109=""),"",(L109-IF(Q109&gt;R109,1,0))^2+(M109-IF(Q109=R109,1,0))^2+(N109-IF(Q109&lt;R109,1,0))^2)</f>
        <v/>
      </c>
      <c r="AA109" s="36">
        <f>IF(OR(Q109="",R109="",F109="",F109=0,G109="",G109=0,H109="",H109=0),"",((1/F109/(1/F109+1/G109+1/H109))-IF(Q109&gt;R109,1,0))^2+((1/G109/(1/F109+1/G109+1/H109))-IF(Q109=R109,1,0))^2+((1/H109/(1/F109+1/G109+1/H109))-IF(Q109&lt;R109,1,0))^2)</f>
        <v/>
      </c>
      <c r="AB109" s="37" t="n">
        <v>1.0563</v>
      </c>
      <c r="AC109" s="33" t="inlineStr">
        <is>
          <t>NO</t>
        </is>
      </c>
    </row>
    <row r="110">
      <c r="A110" s="30" t="n">
        <v>46118</v>
      </c>
      <c r="B110" s="31" t="inlineStr">
        <is>
          <t>2026-04-06argentinosjuniorsbanfield</t>
        </is>
      </c>
      <c r="C110" s="31" t="inlineStr">
        <is>
          <t>Argentinos Juniors vs Banfield</t>
        </is>
      </c>
      <c r="D110" s="31" t="inlineStr">
        <is>
          <t>Argentinos Juniors</t>
        </is>
      </c>
      <c r="E110" s="31" t="inlineStr">
        <is>
          <t>Banfield</t>
        </is>
      </c>
      <c r="F110" s="32" t="n">
        <v>1.52</v>
      </c>
      <c r="G110" s="32" t="n">
        <v>4</v>
      </c>
      <c r="H110" s="32" t="n">
        <v>7.45</v>
      </c>
      <c r="I110" s="32" t="n"/>
      <c r="J110" s="32" t="n"/>
      <c r="K110" s="33" t="inlineStr">
        <is>
          <t>Argentina</t>
        </is>
      </c>
      <c r="L110" s="34" t="n">
        <v>0.46015</v>
      </c>
      <c r="M110" s="34" t="n">
        <v>0.217852</v>
      </c>
      <c r="N110" s="34" t="n">
        <v>0.321998</v>
      </c>
      <c r="O110" s="34" t="n">
        <v>0.7141277037399071</v>
      </c>
      <c r="P110" s="34" t="n">
        <v>0.2858722962600929</v>
      </c>
      <c r="Q110" s="33" t="n">
        <v>3</v>
      </c>
      <c r="R110" s="33" t="n">
        <v>2</v>
      </c>
      <c r="S110" s="31" t="inlineStr">
        <is>
          <t>[PASAR] Riesgo/Beneficio</t>
        </is>
      </c>
      <c r="T110" s="31" t="inlineStr">
        <is>
          <t>[PASAR] Sin Cuotas</t>
        </is>
      </c>
      <c r="U110" s="35" t="n">
        <v>0</v>
      </c>
      <c r="V110" s="35" t="n">
        <v>0</v>
      </c>
      <c r="W110" s="31">
        <f>IF(L110="","",IF((MAX(L110,M110,N110)-MEDIAN(L110,M110,N110))&gt;0.05,IF(OR(Q110="",R110=""),"[PREDICCION] "&amp;IF(L110=MAX(L110,M110,N110),"LOCAL",IF(M110=MAX(L110,M110,N110),"EMPATE","VISITA")),IF(L110=MAX(L110,M110,N110),IF(Q110&gt;R110,"[ACIERTO]","[FALLO]"),IF(M110=MAX(L110,M110,N110),IF(Q110=R110,"[ACIERTO]","[FALLO]"),IF(Q110&lt;R110,"[ACIERTO]","[FALLO]")))),"[PASAR] Margen Insuf"))</f>
        <v/>
      </c>
      <c r="X110" s="35">
        <f>IFERROR(IF(U110=0,0,IF(ISNUMBER(SEARCH("[GANADA]",S110)),U110*(IF(ISNUMBER(SEARCH("LOCAL",S110)),F110,IF(ISNUMBER(SEARCH("EMPATE",S110)),G110,H110))-1),IF(ISNUMBER(SEARCH("[PERDIDA]",S110)),-U110,0))),0)+IFERROR(IF(V110=0,0,IF(ISNUMBER(SEARCH("[GANADA]",T110)),V110*(IF(ISNUMBER(SEARCH("OVER",T110)),I110,J110)-1),IF(ISNUMBER(SEARCH("[PERDIDA]",T110)),-V110,0))),0)</f>
        <v/>
      </c>
      <c r="Y110" s="35">
        <f>Y109+X110</f>
        <v/>
      </c>
      <c r="Z110" s="36">
        <f>IF(OR(Q110="",R110=""),"",(L110-IF(Q110&gt;R110,1,0))^2+(M110-IF(Q110=R110,1,0))^2+(N110-IF(Q110&lt;R110,1,0))^2)</f>
        <v/>
      </c>
      <c r="AA110" s="36">
        <f>IF(OR(Q110="",R110="",F110="",F110=0,G110="",G110=0,H110="",H110=0),"",((1/F110/(1/F110+1/G110+1/H110))-IF(Q110&gt;R110,1,0))^2+((1/G110/(1/F110+1/G110+1/H110))-IF(Q110=R110,1,0))^2+((1/H110/(1/F110+1/G110+1/H110))-IF(Q110&lt;R110,1,0))^2)</f>
        <v/>
      </c>
      <c r="AB110" s="37" t="n">
        <v>0.8159</v>
      </c>
      <c r="AC110" s="33" t="inlineStr">
        <is>
          <t>NO</t>
        </is>
      </c>
    </row>
    <row r="111">
      <c r="A111" s="30" t="n">
        <v>46118</v>
      </c>
      <c r="B111" s="31" t="inlineStr">
        <is>
          <t>2026-04-06hamkamskbrann</t>
        </is>
      </c>
      <c r="C111" s="31" t="inlineStr">
        <is>
          <t>Hamkam vs Sk Brann</t>
        </is>
      </c>
      <c r="D111" s="31" t="inlineStr">
        <is>
          <t>Hamkam</t>
        </is>
      </c>
      <c r="E111" s="31" t="inlineStr">
        <is>
          <t>Sk Brann</t>
        </is>
      </c>
      <c r="F111" s="32" t="n">
        <v>3.53</v>
      </c>
      <c r="G111" s="32" t="n">
        <v>3.69</v>
      </c>
      <c r="H111" s="32" t="n">
        <v>2.06</v>
      </c>
      <c r="I111" s="32" t="n"/>
      <c r="J111" s="32" t="n"/>
      <c r="K111" s="33" t="inlineStr">
        <is>
          <t>Noruega</t>
        </is>
      </c>
      <c r="L111" s="34" t="n">
        <v>0.324001</v>
      </c>
      <c r="M111" s="34" t="n">
        <v>0.16963</v>
      </c>
      <c r="N111" s="34" t="n">
        <v>0.506368</v>
      </c>
      <c r="O111" s="34" t="n">
        <v>0.9159382112496613</v>
      </c>
      <c r="P111" s="34" t="n">
        <v>0.08406178875033869</v>
      </c>
      <c r="Q111" s="33" t="n">
        <v>1</v>
      </c>
      <c r="R111" s="33" t="n">
        <v>5</v>
      </c>
      <c r="S111" s="31" t="inlineStr">
        <is>
          <t>[GANADA] VISITA</t>
        </is>
      </c>
      <c r="T111" s="31" t="inlineStr">
        <is>
          <t>[PASAR] Sin Cuotas</t>
        </is>
      </c>
      <c r="U111" s="35" t="n">
        <v>2338.95</v>
      </c>
      <c r="V111" s="35" t="n">
        <v>0</v>
      </c>
      <c r="W111" s="31">
        <f>IF(L111="","",IF((MAX(L111,M111,N111)-MEDIAN(L111,M111,N111))&gt;0.05,IF(OR(Q111="",R111=""),"[PREDICCION] "&amp;IF(L111=MAX(L111,M111,N111),"LOCAL",IF(M111=MAX(L111,M111,N111),"EMPATE","VISITA")),IF(L111=MAX(L111,M111,N111),IF(Q111&gt;R111,"[ACIERTO]","[FALLO]"),IF(M111=MAX(L111,M111,N111),IF(Q111=R111,"[ACIERTO]","[FALLO]"),IF(Q111&lt;R111,"[ACIERTO]","[FALLO]")))),"[PASAR] Margen Insuf"))</f>
        <v/>
      </c>
      <c r="X111" s="35">
        <f>IFERROR(IF(U111=0,0,IF(ISNUMBER(SEARCH("[GANADA]",S111)),U111*(IF(ISNUMBER(SEARCH("LOCAL",S111)),F111,IF(ISNUMBER(SEARCH("EMPATE",S111)),G111,H111))-1),IF(ISNUMBER(SEARCH("[PERDIDA]",S111)),-U111,0))),0)+IFERROR(IF(V111=0,0,IF(ISNUMBER(SEARCH("[GANADA]",T111)),V111*(IF(ISNUMBER(SEARCH("OVER",T111)),I111,J111)-1),IF(ISNUMBER(SEARCH("[PERDIDA]",T111)),-V111,0))),0)</f>
        <v/>
      </c>
      <c r="Y111" s="35">
        <f>Y110+X111</f>
        <v/>
      </c>
      <c r="Z111" s="36">
        <f>IF(OR(Q111="",R111=""),"",(L111-IF(Q111&gt;R111,1,0))^2+(M111-IF(Q111=R111,1,0))^2+(N111-IF(Q111&lt;R111,1,0))^2)</f>
        <v/>
      </c>
      <c r="AA111" s="36">
        <f>IF(OR(Q111="",R111="",F111="",F111=0,G111="",G111=0,H111="",H111=0),"",((1/F111/(1/F111+1/G111+1/H111))-IF(Q111&gt;R111,1,0))^2+((1/G111/(1/F111+1/G111+1/H111))-IF(Q111=R111,1,0))^2+((1/H111/(1/F111+1/G111+1/H111))-IF(Q111&lt;R111,1,0))^2)</f>
        <v/>
      </c>
      <c r="AB111" s="37" t="n">
        <v>1.5145</v>
      </c>
      <c r="AC111" s="33" t="inlineStr">
        <is>
          <t>NO</t>
        </is>
      </c>
    </row>
    <row r="112">
      <c r="A112" s="30" t="n">
        <v>46118</v>
      </c>
      <c r="B112" s="31" t="inlineStr">
        <is>
          <t>2026-04-06kocaelisporistanbulbasaksehir</t>
        </is>
      </c>
      <c r="C112" s="31" t="inlineStr">
        <is>
          <t>Kocaelispor vs Istanbul Basaksehir</t>
        </is>
      </c>
      <c r="D112" s="31" t="inlineStr">
        <is>
          <t>Kocaelispor</t>
        </is>
      </c>
      <c r="E112" s="31" t="inlineStr">
        <is>
          <t>Istanbul Basaksehir</t>
        </is>
      </c>
      <c r="F112" s="32" t="n">
        <v>2.94</v>
      </c>
      <c r="G112" s="32" t="n">
        <v>3.08</v>
      </c>
      <c r="H112" s="32" t="n">
        <v>2.68</v>
      </c>
      <c r="I112" s="32" t="n"/>
      <c r="J112" s="32" t="n"/>
      <c r="K112" s="33" t="inlineStr">
        <is>
          <t>Turquia</t>
        </is>
      </c>
      <c r="L112" s="34" t="n">
        <v>0.366252</v>
      </c>
      <c r="M112" s="34" t="n">
        <v>0.201375</v>
      </c>
      <c r="N112" s="34" t="n">
        <v>0.432372</v>
      </c>
      <c r="O112" s="34" t="n">
        <v>0.7834412590924048</v>
      </c>
      <c r="P112" s="34" t="n">
        <v>0.2165587409075952</v>
      </c>
      <c r="Q112" s="33" t="n">
        <v>0</v>
      </c>
      <c r="R112" s="33" t="n">
        <v>0</v>
      </c>
      <c r="S112" s="31" t="inlineStr">
        <is>
          <t>[PERDIDA] VISITA</t>
        </is>
      </c>
      <c r="T112" s="31" t="inlineStr">
        <is>
          <t>[PASAR] Sin Cuotas</t>
        </is>
      </c>
      <c r="U112" s="35" t="n">
        <v>2500</v>
      </c>
      <c r="V112" s="35" t="n">
        <v>0</v>
      </c>
      <c r="W112" s="31">
        <f>IF(L112="","",IF((MAX(L112,M112,N112)-MEDIAN(L112,M112,N112))&gt;0.05,IF(OR(Q112="",R112=""),"[PREDICCION] "&amp;IF(L112=MAX(L112,M112,N112),"LOCAL",IF(M112=MAX(L112,M112,N112),"EMPATE","VISITA")),IF(L112=MAX(L112,M112,N112),IF(Q112&gt;R112,"[ACIERTO]","[FALLO]"),IF(M112=MAX(L112,M112,N112),IF(Q112=R112,"[ACIERTO]","[FALLO]"),IF(Q112&lt;R112,"[ACIERTO]","[FALLO]")))),"[PASAR] Margen Insuf"))</f>
        <v/>
      </c>
      <c r="X112" s="35">
        <f>IFERROR(IF(U112=0,0,IF(ISNUMBER(SEARCH("[GANADA]",S112)),U112*(IF(ISNUMBER(SEARCH("LOCAL",S112)),F112,IF(ISNUMBER(SEARCH("EMPATE",S112)),G112,H112))-1),IF(ISNUMBER(SEARCH("[PERDIDA]",S112)),-U112,0))),0)+IFERROR(IF(V112=0,0,IF(ISNUMBER(SEARCH("[GANADA]",T112)),V112*(IF(ISNUMBER(SEARCH("OVER",T112)),I112,J112)-1),IF(ISNUMBER(SEARCH("[PERDIDA]",T112)),-V112,0))),0)</f>
        <v/>
      </c>
      <c r="Y112" s="35">
        <f>Y111+X112</f>
        <v/>
      </c>
      <c r="Z112" s="36">
        <f>IF(OR(Q112="",R112=""),"",(L112-IF(Q112&gt;R112,1,0))^2+(M112-IF(Q112=R112,1,0))^2+(N112-IF(Q112&lt;R112,1,0))^2)</f>
        <v/>
      </c>
      <c r="AA112" s="36">
        <f>IF(OR(Q112="",R112="",F112="",F112=0,G112="",G112=0,H112="",H112=0),"",((1/F112/(1/F112+1/G112+1/H112))-IF(Q112&gt;R112,1,0))^2+((1/G112/(1/F112+1/G112+1/H112))-IF(Q112=R112,1,0))^2+((1/H112/(1/F112+1/G112+1/H112))-IF(Q112&lt;R112,1,0))^2)</f>
        <v/>
      </c>
      <c r="AB112" s="37" t="n">
        <v>1.4749</v>
      </c>
      <c r="AC112" s="33" t="inlineStr">
        <is>
          <t>NO</t>
        </is>
      </c>
    </row>
    <row r="113">
      <c r="A113" s="30" t="n">
        <v>46118</v>
      </c>
      <c r="B113" s="31" t="inlineStr">
        <is>
          <t>2026-04-06kristiansundbkbodoglimt</t>
        </is>
      </c>
      <c r="C113" s="31" t="inlineStr">
        <is>
          <t>Kristiansund bk vs Bodo/glimt</t>
        </is>
      </c>
      <c r="D113" s="31" t="inlineStr">
        <is>
          <t>Kristiansund bk</t>
        </is>
      </c>
      <c r="E113" s="31" t="inlineStr">
        <is>
          <t>Bodo/glimt</t>
        </is>
      </c>
      <c r="F113" s="32" t="n">
        <v>8.699999999999999</v>
      </c>
      <c r="G113" s="32" t="n">
        <v>6.82</v>
      </c>
      <c r="H113" s="32" t="n">
        <v>1.27</v>
      </c>
      <c r="I113" s="32" t="n"/>
      <c r="J113" s="32" t="n"/>
      <c r="K113" s="33" t="inlineStr">
        <is>
          <t>Noruega</t>
        </is>
      </c>
      <c r="L113" s="34" t="n">
        <v>0.3200843435363435</v>
      </c>
      <c r="M113" s="34" t="n">
        <v>0.1791227770261936</v>
      </c>
      <c r="N113" s="34" t="n">
        <v>0.5007928794374629</v>
      </c>
      <c r="O113" s="34" t="n">
        <v>0.9042980551419568</v>
      </c>
      <c r="P113" s="34" t="n">
        <v>0.09570194485804319</v>
      </c>
      <c r="Q113" s="33" t="n">
        <v>0</v>
      </c>
      <c r="R113" s="33" t="n">
        <v>3</v>
      </c>
      <c r="S113" s="31" t="inlineStr">
        <is>
          <t>[PASAR] Riesgo/Beneficio</t>
        </is>
      </c>
      <c r="T113" s="31" t="inlineStr">
        <is>
          <t>[PASAR] Sin Cuotas</t>
        </is>
      </c>
      <c r="U113" s="35" t="n">
        <v>0</v>
      </c>
      <c r="V113" s="35" t="n">
        <v>0</v>
      </c>
      <c r="W113" s="31">
        <f>IF(L113="","",IF((MAX(L113,M113,N113)-MEDIAN(L113,M113,N113))&gt;0.05,IF(OR(Q113="",R113=""),"[PREDICCION] "&amp;IF(L113=MAX(L113,M113,N113),"LOCAL",IF(M113=MAX(L113,M113,N113),"EMPATE","VISITA")),IF(L113=MAX(L113,M113,N113),IF(Q113&gt;R113,"[ACIERTO]","[FALLO]"),IF(M113=MAX(L113,M113,N113),IF(Q113=R113,"[ACIERTO]","[FALLO]"),IF(Q113&lt;R113,"[ACIERTO]","[FALLO]")))),"[PASAR] Margen Insuf"))</f>
        <v/>
      </c>
      <c r="X113" s="35">
        <f>IFERROR(IF(U113=0,0,IF(ISNUMBER(SEARCH("[GANADA]",S113)),U113*(IF(ISNUMBER(SEARCH("LOCAL",S113)),F113,IF(ISNUMBER(SEARCH("EMPATE",S113)),G113,H113))-1),IF(ISNUMBER(SEARCH("[PERDIDA]",S113)),-U113,0))),0)+IFERROR(IF(V113=0,0,IF(ISNUMBER(SEARCH("[GANADA]",T113)),V113*(IF(ISNUMBER(SEARCH("OVER",T113)),I113,J113)-1),IF(ISNUMBER(SEARCH("[PERDIDA]",T113)),-V113,0))),0)</f>
        <v/>
      </c>
      <c r="Y113" s="35">
        <f>Y112+X113</f>
        <v/>
      </c>
      <c r="Z113" s="36">
        <f>IF(OR(Q113="",R113=""),"",(L113-IF(Q113&gt;R113,1,0))^2+(M113-IF(Q113=R113,1,0))^2+(N113-IF(Q113&lt;R113,1,0))^2)</f>
        <v/>
      </c>
      <c r="AA113" s="36">
        <f>IF(OR(Q113="",R113="",F113="",F113=0,G113="",G113=0,H113="",H113=0),"",((1/F113/(1/F113+1/G113+1/H113))-IF(Q113&gt;R113,1,0))^2+((1/G113/(1/F113+1/G113+1/H113))-IF(Q113=R113,1,0))^2+((1/H113/(1/F113+1/G113+1/H113))-IF(Q113&lt;R113,1,0))^2)</f>
        <v/>
      </c>
      <c r="AB113" s="37" t="n">
        <v>1.5487</v>
      </c>
      <c r="AC113" s="33" t="inlineStr">
        <is>
          <t>NO</t>
        </is>
      </c>
    </row>
    <row r="114">
      <c r="A114" s="30" t="n">
        <v>46118</v>
      </c>
      <c r="B114" s="31" t="inlineStr">
        <is>
          <t>2026-04-06moldelillestrom</t>
        </is>
      </c>
      <c r="C114" s="31" t="inlineStr">
        <is>
          <t>Molde vs Lillestrom</t>
        </is>
      </c>
      <c r="D114" s="31" t="inlineStr">
        <is>
          <t>Molde</t>
        </is>
      </c>
      <c r="E114" s="31" t="inlineStr">
        <is>
          <t>Lillestrom</t>
        </is>
      </c>
      <c r="F114" s="32" t="n">
        <v>2.22</v>
      </c>
      <c r="G114" s="32" t="n">
        <v>3.81</v>
      </c>
      <c r="H114" s="32" t="n">
        <v>3.07</v>
      </c>
      <c r="I114" s="32" t="n"/>
      <c r="J114" s="32" t="n"/>
      <c r="K114" s="33" t="inlineStr">
        <is>
          <t>Noruega</t>
        </is>
      </c>
      <c r="L114" s="34" t="n">
        <v>0.425599</v>
      </c>
      <c r="M114" s="34" t="n">
        <v>0.164319</v>
      </c>
      <c r="N114" s="34" t="n">
        <v>0.410082</v>
      </c>
      <c r="O114" s="34" t="n">
        <v>0.9202116668246965</v>
      </c>
      <c r="P114" s="34" t="n">
        <v>0.07978833317530359</v>
      </c>
      <c r="Q114" s="33" t="n">
        <v>0</v>
      </c>
      <c r="R114" s="33" t="n">
        <v>1</v>
      </c>
      <c r="S114" s="31" t="inlineStr">
        <is>
          <t>[PASAR] Margen Predictivo Insuficiente (&lt;5%)</t>
        </is>
      </c>
      <c r="T114" s="31" t="inlineStr">
        <is>
          <t>[PASAR] Sin Cuotas</t>
        </is>
      </c>
      <c r="U114" s="35" t="n">
        <v>0</v>
      </c>
      <c r="V114" s="35" t="n">
        <v>0</v>
      </c>
      <c r="W114" s="31">
        <f>IF(L114="","",IF((MAX(L114,M114,N114)-MEDIAN(L114,M114,N114))&gt;0.05,IF(OR(Q114="",R114=""),"[PREDICCION] "&amp;IF(L114=MAX(L114,M114,N114),"LOCAL",IF(M114=MAX(L114,M114,N114),"EMPATE","VISITA")),IF(L114=MAX(L114,M114,N114),IF(Q114&gt;R114,"[ACIERTO]","[FALLO]"),IF(M114=MAX(L114,M114,N114),IF(Q114=R114,"[ACIERTO]","[FALLO]"),IF(Q114&lt;R114,"[ACIERTO]","[FALLO]")))),"[PASAR] Margen Insuf"))</f>
        <v/>
      </c>
      <c r="X114" s="35">
        <f>IFERROR(IF(U114=0,0,IF(ISNUMBER(SEARCH("[GANADA]",S114)),U114*(IF(ISNUMBER(SEARCH("LOCAL",S114)),F114,IF(ISNUMBER(SEARCH("EMPATE",S114)),G114,H114))-1),IF(ISNUMBER(SEARCH("[PERDIDA]",S114)),-U114,0))),0)+IFERROR(IF(V114=0,0,IF(ISNUMBER(SEARCH("[GANADA]",T114)),V114*(IF(ISNUMBER(SEARCH("OVER",T114)),I114,J114)-1),IF(ISNUMBER(SEARCH("[PERDIDA]",T114)),-V114,0))),0)</f>
        <v/>
      </c>
      <c r="Y114" s="35">
        <f>Y113+X114</f>
        <v/>
      </c>
      <c r="Z114" s="36">
        <f>IF(OR(Q114="",R114=""),"",(L114-IF(Q114&gt;R114,1,0))^2+(M114-IF(Q114=R114,1,0))^2+(N114-IF(Q114&lt;R114,1,0))^2)</f>
        <v/>
      </c>
      <c r="AA114" s="36">
        <f>IF(OR(Q114="",R114="",F114="",F114=0,G114="",G114=0,H114="",H114=0),"",((1/F114/(1/F114+1/G114+1/H114))-IF(Q114&gt;R114,1,0))^2+((1/G114/(1/F114+1/G114+1/H114))-IF(Q114=R114,1,0))^2+((1/H114/(1/F114+1/G114+1/H114))-IF(Q114&lt;R114,1,0))^2)</f>
        <v/>
      </c>
      <c r="AB114" s="37" t="n">
        <v>1.516</v>
      </c>
      <c r="AC114" s="33" t="inlineStr">
        <is>
          <t>NO</t>
        </is>
      </c>
    </row>
    <row r="115">
      <c r="A115" s="30" t="n">
        <v>46118</v>
      </c>
      <c r="B115" s="31" t="inlineStr">
        <is>
          <t>2026-04-06sarpsborgfkikstart</t>
        </is>
      </c>
      <c r="C115" s="31" t="inlineStr">
        <is>
          <t>Sarpsborg fk vs Ik Start</t>
        </is>
      </c>
      <c r="D115" s="31" t="inlineStr">
        <is>
          <t>Sarpsborg fk</t>
        </is>
      </c>
      <c r="E115" s="31" t="inlineStr">
        <is>
          <t>Ik Start</t>
        </is>
      </c>
      <c r="F115" s="32" t="n">
        <v>1.73</v>
      </c>
      <c r="G115" s="32" t="n">
        <v>4.15</v>
      </c>
      <c r="H115" s="32" t="n">
        <v>4.51</v>
      </c>
      <c r="I115" s="32" t="n"/>
      <c r="J115" s="32" t="n"/>
      <c r="K115" s="33" t="inlineStr">
        <is>
          <t>Noruega</t>
        </is>
      </c>
      <c r="L115" s="34" t="n">
        <v>0.416171</v>
      </c>
      <c r="M115" s="34" t="n">
        <v>0.163164</v>
      </c>
      <c r="N115" s="34" t="n">
        <v>0.420664</v>
      </c>
      <c r="O115" s="34" t="n">
        <v>0.9238674767434255</v>
      </c>
      <c r="P115" s="34" t="n">
        <v>0.07613252325657456</v>
      </c>
      <c r="Q115" s="33" t="n">
        <v>1</v>
      </c>
      <c r="R115" s="33" t="n">
        <v>1</v>
      </c>
      <c r="S115" s="31" t="inlineStr">
        <is>
          <t>[PASAR] Margen Predictivo Insuficiente (&lt;5%)</t>
        </is>
      </c>
      <c r="T115" s="31" t="inlineStr">
        <is>
          <t>[PASAR] Sin Cuotas</t>
        </is>
      </c>
      <c r="U115" s="35" t="n">
        <v>0</v>
      </c>
      <c r="V115" s="35" t="n">
        <v>0</v>
      </c>
      <c r="W115" s="31">
        <f>IF(L115="","",IF((MAX(L115,M115,N115)-MEDIAN(L115,M115,N115))&gt;0.05,IF(OR(Q115="",R115=""),"[PREDICCION] "&amp;IF(L115=MAX(L115,M115,N115),"LOCAL",IF(M115=MAX(L115,M115,N115),"EMPATE","VISITA")),IF(L115=MAX(L115,M115,N115),IF(Q115&gt;R115,"[ACIERTO]","[FALLO]"),IF(M115=MAX(L115,M115,N115),IF(Q115=R115,"[ACIERTO]","[FALLO]"),IF(Q115&lt;R115,"[ACIERTO]","[FALLO]")))),"[PASAR] Margen Insuf"))</f>
        <v/>
      </c>
      <c r="X115" s="35">
        <f>IFERROR(IF(U115=0,0,IF(ISNUMBER(SEARCH("[GANADA]",S115)),U115*(IF(ISNUMBER(SEARCH("LOCAL",S115)),F115,IF(ISNUMBER(SEARCH("EMPATE",S115)),G115,H115))-1),IF(ISNUMBER(SEARCH("[PERDIDA]",S115)),-U115,0))),0)+IFERROR(IF(V115=0,0,IF(ISNUMBER(SEARCH("[GANADA]",T115)),V115*(IF(ISNUMBER(SEARCH("OVER",T115)),I115,J115)-1),IF(ISNUMBER(SEARCH("[PERDIDA]",T115)),-V115,0))),0)</f>
        <v/>
      </c>
      <c r="Y115" s="35">
        <f>Y114+X115</f>
        <v/>
      </c>
      <c r="Z115" s="36">
        <f>IF(OR(Q115="",R115=""),"",(L115-IF(Q115&gt;R115,1,0))^2+(M115-IF(Q115=R115,1,0))^2+(N115-IF(Q115&lt;R115,1,0))^2)</f>
        <v/>
      </c>
      <c r="AA115" s="36">
        <f>IF(OR(Q115="",R115="",F115="",F115=0,G115="",G115=0,H115="",H115=0),"",((1/F115/(1/F115+1/G115+1/H115))-IF(Q115&gt;R115,1,0))^2+((1/G115/(1/F115+1/G115+1/H115))-IF(Q115=R115,1,0))^2+((1/H115/(1/F115+1/G115+1/H115))-IF(Q115&lt;R115,1,0))^2)</f>
        <v/>
      </c>
      <c r="AB115" s="37" t="n">
        <v>1.4202</v>
      </c>
      <c r="AC115" s="33" t="inlineStr">
        <is>
          <t>NO</t>
        </is>
      </c>
    </row>
    <row r="116">
      <c r="A116" s="30" t="n">
        <v>46118</v>
      </c>
      <c r="B116" s="31" t="inlineStr">
        <is>
          <t>2026-04-06tromsorosenborg</t>
        </is>
      </c>
      <c r="C116" s="31" t="inlineStr">
        <is>
          <t>Tromso vs Rosenborg</t>
        </is>
      </c>
      <c r="D116" s="31" t="inlineStr">
        <is>
          <t>Tromso</t>
        </is>
      </c>
      <c r="E116" s="31" t="inlineStr">
        <is>
          <t>Rosenborg</t>
        </is>
      </c>
      <c r="F116" s="32" t="n">
        <v>1.55</v>
      </c>
      <c r="G116" s="32" t="n">
        <v>4.3</v>
      </c>
      <c r="H116" s="32" t="n">
        <v>6.12</v>
      </c>
      <c r="I116" s="32" t="n"/>
      <c r="J116" s="32" t="n"/>
      <c r="K116" s="33" t="inlineStr">
        <is>
          <t>Noruega</t>
        </is>
      </c>
      <c r="L116" s="34" t="n">
        <v>0.497231</v>
      </c>
      <c r="M116" s="34" t="n">
        <v>0.181322</v>
      </c>
      <c r="N116" s="34" t="n">
        <v>0.321448</v>
      </c>
      <c r="O116" s="34" t="n">
        <v>0.8776863798011603</v>
      </c>
      <c r="P116" s="34" t="n">
        <v>0.1223136201988397</v>
      </c>
      <c r="Q116" s="33" t="n">
        <v>2</v>
      </c>
      <c r="R116" s="33" t="n">
        <v>0</v>
      </c>
      <c r="S116" s="31" t="inlineStr">
        <is>
          <t>[PASAR] Riesgo/Beneficio</t>
        </is>
      </c>
      <c r="T116" s="31" t="inlineStr">
        <is>
          <t>[PASAR] Sin Cuotas</t>
        </is>
      </c>
      <c r="U116" s="35" t="n">
        <v>0</v>
      </c>
      <c r="V116" s="35" t="n">
        <v>0</v>
      </c>
      <c r="W116" s="31">
        <f>IF(L116="","",IF((MAX(L116,M116,N116)-MEDIAN(L116,M116,N116))&gt;0.05,IF(OR(Q116="",R116=""),"[PREDICCION] "&amp;IF(L116=MAX(L116,M116,N116),"LOCAL",IF(M116=MAX(L116,M116,N116),"EMPATE","VISITA")),IF(L116=MAX(L116,M116,N116),IF(Q116&gt;R116,"[ACIERTO]","[FALLO]"),IF(M116=MAX(L116,M116,N116),IF(Q116=R116,"[ACIERTO]","[FALLO]"),IF(Q116&lt;R116,"[ACIERTO]","[FALLO]")))),"[PASAR] Margen Insuf"))</f>
        <v/>
      </c>
      <c r="X116" s="35">
        <f>IFERROR(IF(U116=0,0,IF(ISNUMBER(SEARCH("[GANADA]",S116)),U116*(IF(ISNUMBER(SEARCH("LOCAL",S116)),F116,IF(ISNUMBER(SEARCH("EMPATE",S116)),G116,H116))-1),IF(ISNUMBER(SEARCH("[PERDIDA]",S116)),-U116,0))),0)+IFERROR(IF(V116=0,0,IF(ISNUMBER(SEARCH("[GANADA]",T116)),V116*(IF(ISNUMBER(SEARCH("OVER",T116)),I116,J116)-1),IF(ISNUMBER(SEARCH("[PERDIDA]",T116)),-V116,0))),0)</f>
        <v/>
      </c>
      <c r="Y116" s="35">
        <f>Y115+X116</f>
        <v/>
      </c>
      <c r="Z116" s="36">
        <f>IF(OR(Q116="",R116=""),"",(L116-IF(Q116&gt;R116,1,0))^2+(M116-IF(Q116=R116,1,0))^2+(N116-IF(Q116&lt;R116,1,0))^2)</f>
        <v/>
      </c>
      <c r="AA116" s="36">
        <f>IF(OR(Q116="",R116="",F116="",F116=0,G116="",G116=0,H116="",H116=0),"",((1/F116/(1/F116+1/G116+1/H116))-IF(Q116&gt;R116,1,0))^2+((1/G116/(1/F116+1/G116+1/H116))-IF(Q116=R116,1,0))^2+((1/H116/(1/F116+1/G116+1/H116))-IF(Q116&lt;R116,1,0))^2)</f>
        <v/>
      </c>
      <c r="AB116" s="37" t="n">
        <v>1.694</v>
      </c>
      <c r="AC116" s="33" t="inlineStr">
        <is>
          <t>NO</t>
        </is>
      </c>
    </row>
    <row r="117">
      <c r="A117" s="30" t="n">
        <v>46118</v>
      </c>
      <c r="B117" s="31" t="inlineStr">
        <is>
          <t>2026-04-06valerengavikingfk</t>
        </is>
      </c>
      <c r="C117" s="31" t="inlineStr">
        <is>
          <t>Valerenga vs Viking fk</t>
        </is>
      </c>
      <c r="D117" s="31" t="inlineStr">
        <is>
          <t>Valerenga</t>
        </is>
      </c>
      <c r="E117" s="31" t="inlineStr">
        <is>
          <t>Viking fk</t>
        </is>
      </c>
      <c r="F117" s="32" t="n">
        <v>3</v>
      </c>
      <c r="G117" s="32" t="n">
        <v>3.89</v>
      </c>
      <c r="H117" s="32" t="n">
        <v>2.25</v>
      </c>
      <c r="I117" s="32" t="n"/>
      <c r="J117" s="32" t="n"/>
      <c r="K117" s="33" t="inlineStr">
        <is>
          <t>Noruega</t>
        </is>
      </c>
      <c r="L117" s="34" t="n">
        <v>0.369791</v>
      </c>
      <c r="M117" s="34" t="n">
        <v>0.180503</v>
      </c>
      <c r="N117" s="34" t="n">
        <v>0.449705</v>
      </c>
      <c r="O117" s="34" t="n">
        <v>0.8889500379917918</v>
      </c>
      <c r="P117" s="34" t="n">
        <v>0.1110499620082082</v>
      </c>
      <c r="Q117" s="33" t="n">
        <v>0</v>
      </c>
      <c r="R117" s="33" t="n">
        <v>1</v>
      </c>
      <c r="S117" s="31" t="inlineStr">
        <is>
          <t>[PASAR] EV Insuf (0.109&lt;0.120)</t>
        </is>
      </c>
      <c r="T117" s="31" t="inlineStr">
        <is>
          <t>[PASAR] Sin Cuotas</t>
        </is>
      </c>
      <c r="U117" s="35" t="n">
        <v>0</v>
      </c>
      <c r="V117" s="35" t="n">
        <v>0</v>
      </c>
      <c r="W117" s="31">
        <f>IF(L117="","",IF((MAX(L117,M117,N117)-MEDIAN(L117,M117,N117))&gt;0.05,IF(OR(Q117="",R117=""),"[PREDICCION] "&amp;IF(L117=MAX(L117,M117,N117),"LOCAL",IF(M117=MAX(L117,M117,N117),"EMPATE","VISITA")),IF(L117=MAX(L117,M117,N117),IF(Q117&gt;R117,"[ACIERTO]","[FALLO]"),IF(M117=MAX(L117,M117,N117),IF(Q117=R117,"[ACIERTO]","[FALLO]"),IF(Q117&lt;R117,"[ACIERTO]","[FALLO]")))),"[PASAR] Margen Insuf"))</f>
        <v/>
      </c>
      <c r="X117" s="35">
        <f>IFERROR(IF(U117=0,0,IF(ISNUMBER(SEARCH("[GANADA]",S117)),U117*(IF(ISNUMBER(SEARCH("LOCAL",S117)),F117,IF(ISNUMBER(SEARCH("EMPATE",S117)),G117,H117))-1),IF(ISNUMBER(SEARCH("[PERDIDA]",S117)),-U117,0))),0)+IFERROR(IF(V117=0,0,IF(ISNUMBER(SEARCH("[GANADA]",T117)),V117*(IF(ISNUMBER(SEARCH("OVER",T117)),I117,J117)-1),IF(ISNUMBER(SEARCH("[PERDIDA]",T117)),-V117,0))),0)</f>
        <v/>
      </c>
      <c r="Y117" s="35">
        <f>Y116+X117</f>
        <v/>
      </c>
      <c r="Z117" s="36">
        <f>IF(OR(Q117="",R117=""),"",(L117-IF(Q117&gt;R117,1,0))^2+(M117-IF(Q117=R117,1,0))^2+(N117-IF(Q117&lt;R117,1,0))^2)</f>
        <v/>
      </c>
      <c r="AA117" s="36">
        <f>IF(OR(Q117="",R117="",F117="",F117=0,G117="",G117=0,H117="",H117=0),"",((1/F117/(1/F117+1/G117+1/H117))-IF(Q117&gt;R117,1,0))^2+((1/G117/(1/F117+1/G117+1/H117))-IF(Q117=R117,1,0))^2+((1/H117/(1/F117+1/G117+1/H117))-IF(Q117&lt;R117,1,0))^2)</f>
        <v/>
      </c>
      <c r="AB117" s="37" t="n">
        <v>1.559</v>
      </c>
      <c r="AC117" s="33" t="inlineStr">
        <is>
          <t>NO</t>
        </is>
      </c>
    </row>
    <row r="118">
      <c r="A118" s="30" t="n">
        <v>46119</v>
      </c>
      <c r="B118" s="31" t="inlineStr">
        <is>
          <t>2026-04-07aalesundfredrikstad</t>
        </is>
      </c>
      <c r="C118" s="31" t="inlineStr">
        <is>
          <t>Aalesund vs Fredrikstad</t>
        </is>
      </c>
      <c r="D118" s="31" t="inlineStr">
        <is>
          <t>Aalesund</t>
        </is>
      </c>
      <c r="E118" s="31" t="inlineStr">
        <is>
          <t>Fredrikstad</t>
        </is>
      </c>
      <c r="F118" s="32" t="n">
        <v>2.73</v>
      </c>
      <c r="G118" s="32" t="n">
        <v>3.76</v>
      </c>
      <c r="H118" s="32" t="n">
        <v>2.47</v>
      </c>
      <c r="I118" s="32" t="n">
        <v>1.82</v>
      </c>
      <c r="J118" s="32" t="n">
        <v>2.03</v>
      </c>
      <c r="K118" s="33" t="inlineStr">
        <is>
          <t>Noruega</t>
        </is>
      </c>
      <c r="L118" s="34" t="n">
        <v>0.417328</v>
      </c>
      <c r="M118" s="34" t="n">
        <v>0.162067</v>
      </c>
      <c r="N118" s="34" t="n">
        <v>0.420605</v>
      </c>
      <c r="O118" s="34" t="n">
        <v>0.9271877705466748</v>
      </c>
      <c r="P118" s="34" t="n">
        <v>0.07281222945332527</v>
      </c>
      <c r="Q118" s="33" t="n">
        <v>2</v>
      </c>
      <c r="R118" s="33" t="n">
        <v>3</v>
      </c>
      <c r="S118" s="31" t="inlineStr">
        <is>
          <t>[PASAR] Margen Predictivo Insuficiente (&lt;5%)</t>
        </is>
      </c>
      <c r="T118" s="31" t="inlineStr">
        <is>
          <t>[PASAR] Sin Valor</t>
        </is>
      </c>
      <c r="U118" s="35" t="n">
        <v>0</v>
      </c>
      <c r="V118" s="35" t="n">
        <v>0</v>
      </c>
      <c r="W118" s="31">
        <f>IF(L118="","",IF((MAX(L118,M118,N118)-MEDIAN(L118,M118,N118))&gt;0.05,IF(OR(Q118="",R118=""),"[PREDICCION] "&amp;IF(L118=MAX(L118,M118,N118),"LOCAL",IF(M118=MAX(L118,M118,N118),"EMPATE","VISITA")),IF(L118=MAX(L118,M118,N118),IF(Q118&gt;R118,"[ACIERTO]","[FALLO]"),IF(M118=MAX(L118,M118,N118),IF(Q118=R118,"[ACIERTO]","[FALLO]"),IF(Q118&lt;R118,"[ACIERTO]","[FALLO]")))),"[PASAR] Margen Insuf"))</f>
        <v/>
      </c>
      <c r="X118" s="35">
        <f>IFERROR(IF(U118=0,0,IF(ISNUMBER(SEARCH("[GANADA]",S118)),U118*(IF(ISNUMBER(SEARCH("LOCAL",S118)),F118,IF(ISNUMBER(SEARCH("EMPATE",S118)),G118,H118))-1),IF(ISNUMBER(SEARCH("[PERDIDA]",S118)),-U118,0))),0)+IFERROR(IF(V118=0,0,IF(ISNUMBER(SEARCH("[GANADA]",T118)),V118*(IF(ISNUMBER(SEARCH("OVER",T118)),I118,J118)-1),IF(ISNUMBER(SEARCH("[PERDIDA]",T118)),-V118,0))),0)</f>
        <v/>
      </c>
      <c r="Y118" s="35">
        <f>Y117+X118</f>
        <v/>
      </c>
      <c r="Z118" s="36">
        <f>IF(OR(Q118="",R118=""),"",(L118-IF(Q118&gt;R118,1,0))^2+(M118-IF(Q118=R118,1,0))^2+(N118-IF(Q118&lt;R118,1,0))^2)</f>
        <v/>
      </c>
      <c r="AA118" s="36">
        <f>IF(OR(Q118="",R118="",F118="",F118=0,G118="",G118=0,H118="",H118=0),"",((1/F118/(1/F118+1/G118+1/H118))-IF(Q118&gt;R118,1,0))^2+((1/G118/(1/F118+1/G118+1/H118))-IF(Q118=R118,1,0))^2+((1/H118/(1/F118+1/G118+1/H118))-IF(Q118&lt;R118,1,0))^2)</f>
        <v/>
      </c>
      <c r="AB118" s="37" t="n">
        <v>1.3413</v>
      </c>
      <c r="AC118" s="33" t="inlineStr">
        <is>
          <t>NO</t>
        </is>
      </c>
    </row>
    <row r="119">
      <c r="A119" s="30" t="n">
        <v>46118</v>
      </c>
      <c r="B119" s="31" t="inlineStr">
        <is>
          <t>2026-04-07institutocordobadefensayjusticia</t>
        </is>
      </c>
      <c r="C119" s="31" t="inlineStr">
        <is>
          <t>Instituto (córdoba) vs Defensa y Justicia</t>
        </is>
      </c>
      <c r="D119" s="31" t="inlineStr">
        <is>
          <t>Instituto (córdoba)</t>
        </is>
      </c>
      <c r="E119" s="31" t="inlineStr">
        <is>
          <t>Defensa y Justicia</t>
        </is>
      </c>
      <c r="F119" s="32" t="n">
        <v>2.01</v>
      </c>
      <c r="G119" s="32" t="n">
        <v>3.27</v>
      </c>
      <c r="H119" s="32" t="n">
        <v>4.21</v>
      </c>
      <c r="I119" s="32" t="n"/>
      <c r="J119" s="32" t="n"/>
      <c r="K119" s="33" t="inlineStr">
        <is>
          <t>Argentina</t>
        </is>
      </c>
      <c r="L119" s="34" t="n">
        <v>0.3935153065368833</v>
      </c>
      <c r="M119" s="34" t="n">
        <v>0.234140092604742</v>
      </c>
      <c r="N119" s="34" t="n">
        <v>0.3723446008583747</v>
      </c>
      <c r="O119" s="34" t="n">
        <v>0.6893754050366612</v>
      </c>
      <c r="P119" s="34" t="n">
        <v>0.3106245949633388</v>
      </c>
      <c r="Q119" s="33" t="n">
        <v>2</v>
      </c>
      <c r="R119" s="33" t="n">
        <v>0</v>
      </c>
      <c r="S119" s="31" t="inlineStr">
        <is>
          <t>[PASAR] Margen Predictivo Insuficiente (&lt;5%)</t>
        </is>
      </c>
      <c r="T119" s="31" t="inlineStr">
        <is>
          <t>[PASAR] Sin Cuotas</t>
        </is>
      </c>
      <c r="U119" s="35" t="n">
        <v>0</v>
      </c>
      <c r="V119" s="35" t="n">
        <v>0</v>
      </c>
      <c r="W119" s="31">
        <f>IF(L119="","",IF((MAX(L119,M119,N119)-MEDIAN(L119,M119,N119))&gt;0.05,IF(OR(Q119="",R119=""),"[PREDICCION] "&amp;IF(L119=MAX(L119,M119,N119),"LOCAL",IF(M119=MAX(L119,M119,N119),"EMPATE","VISITA")),IF(L119=MAX(L119,M119,N119),IF(Q119&gt;R119,"[ACIERTO]","[FALLO]"),IF(M119=MAX(L119,M119,N119),IF(Q119=R119,"[ACIERTO]","[FALLO]"),IF(Q119&lt;R119,"[ACIERTO]","[FALLO]")))),"[PASAR] Margen Insuf"))</f>
        <v/>
      </c>
      <c r="X119" s="35">
        <f>IFERROR(IF(U119=0,0,IF(ISNUMBER(SEARCH("[GANADA]",S119)),U119*(IF(ISNUMBER(SEARCH("LOCAL",S119)),F119,IF(ISNUMBER(SEARCH("EMPATE",S119)),G119,H119))-1),IF(ISNUMBER(SEARCH("[PERDIDA]",S119)),-U119,0))),0)+IFERROR(IF(V119=0,0,IF(ISNUMBER(SEARCH("[GANADA]",T119)),V119*(IF(ISNUMBER(SEARCH("OVER",T119)),I119,J119)-1),IF(ISNUMBER(SEARCH("[PERDIDA]",T119)),-V119,0))),0)</f>
        <v/>
      </c>
      <c r="Y119" s="35">
        <f>Y118+X119</f>
        <v/>
      </c>
      <c r="Z119" s="36">
        <f>IF(OR(Q119="",R119=""),"",(L119-IF(Q119&gt;R119,1,0))^2+(M119-IF(Q119=R119,1,0))^2+(N119-IF(Q119&lt;R119,1,0))^2)</f>
        <v/>
      </c>
      <c r="AA119" s="36">
        <f>IF(OR(Q119="",R119="",F119="",F119=0,G119="",G119=0,H119="",H119=0),"",((1/F119/(1/F119+1/G119+1/H119))-IF(Q119&gt;R119,1,0))^2+((1/G119/(1/F119+1/G119+1/H119))-IF(Q119=R119,1,0))^2+((1/H119/(1/F119+1/G119+1/H119))-IF(Q119&lt;R119,1,0))^2)</f>
        <v/>
      </c>
      <c r="AB119" s="37" t="n">
        <v>0.8845</v>
      </c>
      <c r="AC119" s="33" t="inlineStr">
        <is>
          <t>NO</t>
        </is>
      </c>
    </row>
    <row r="120">
      <c r="A120" s="30" t="n">
        <v>46119</v>
      </c>
      <c r="B120" s="31" t="inlineStr">
        <is>
          <t>2026-04-07kfumoslosandefjord</t>
        </is>
      </c>
      <c r="C120" s="31" t="inlineStr">
        <is>
          <t>Kfum Oslo vs Sandefjord</t>
        </is>
      </c>
      <c r="D120" s="31" t="inlineStr">
        <is>
          <t>Kfum Oslo</t>
        </is>
      </c>
      <c r="E120" s="31" t="inlineStr">
        <is>
          <t>Sandefjord</t>
        </is>
      </c>
      <c r="F120" s="32" t="n">
        <v>2.15</v>
      </c>
      <c r="G120" s="32" t="n">
        <v>3.62</v>
      </c>
      <c r="H120" s="32" t="n">
        <v>3.36</v>
      </c>
      <c r="I120" s="32" t="n">
        <v>1.84</v>
      </c>
      <c r="J120" s="32" t="n">
        <v>2</v>
      </c>
      <c r="K120" s="33" t="inlineStr">
        <is>
          <t>Noruega</t>
        </is>
      </c>
      <c r="L120" s="34" t="n">
        <v>0.374651</v>
      </c>
      <c r="M120" s="34" t="n">
        <v>0.180309</v>
      </c>
      <c r="N120" s="34" t="n">
        <v>0.44504</v>
      </c>
      <c r="O120" s="34" t="n">
        <v>0.8899327469753102</v>
      </c>
      <c r="P120" s="34" t="n">
        <v>0.1100672530246898</v>
      </c>
      <c r="Q120" s="33" t="n">
        <v>1</v>
      </c>
      <c r="R120" s="33" t="n">
        <v>2</v>
      </c>
      <c r="S120" s="31" t="inlineStr">
        <is>
          <t>[GANADA] VISITA</t>
        </is>
      </c>
      <c r="T120" s="31" t="inlineStr">
        <is>
          <t>[PASAR] Sin Valor</t>
        </is>
      </c>
      <c r="U120" s="35" t="n">
        <v>2500</v>
      </c>
      <c r="V120" s="35" t="n">
        <v>0</v>
      </c>
      <c r="W120" s="31">
        <f>IF(L120="","",IF((MAX(L120,M120,N120)-MEDIAN(L120,M120,N120))&gt;0.05,IF(OR(Q120="",R120=""),"[PREDICCION] "&amp;IF(L120=MAX(L120,M120,N120),"LOCAL",IF(M120=MAX(L120,M120,N120),"EMPATE","VISITA")),IF(L120=MAX(L120,M120,N120),IF(Q120&gt;R120,"[ACIERTO]","[FALLO]"),IF(M120=MAX(L120,M120,N120),IF(Q120=R120,"[ACIERTO]","[FALLO]"),IF(Q120&lt;R120,"[ACIERTO]","[FALLO]")))),"[PASAR] Margen Insuf"))</f>
        <v/>
      </c>
      <c r="X120" s="35">
        <f>IFERROR(IF(U120=0,0,IF(ISNUMBER(SEARCH("[GANADA]",S120)),U120*(IF(ISNUMBER(SEARCH("LOCAL",S120)),F120,IF(ISNUMBER(SEARCH("EMPATE",S120)),G120,H120))-1),IF(ISNUMBER(SEARCH("[PERDIDA]",S120)),-U120,0))),0)+IFERROR(IF(V120=0,0,IF(ISNUMBER(SEARCH("[GANADA]",T120)),V120*(IF(ISNUMBER(SEARCH("OVER",T120)),I120,J120)-1),IF(ISNUMBER(SEARCH("[PERDIDA]",T120)),-V120,0))),0)</f>
        <v/>
      </c>
      <c r="Y120" s="35">
        <f>Y119+X120</f>
        <v/>
      </c>
      <c r="Z120" s="36">
        <f>IF(OR(Q120="",R120=""),"",(L120-IF(Q120&gt;R120,1,0))^2+(M120-IF(Q120=R120,1,0))^2+(N120-IF(Q120&lt;R120,1,0))^2)</f>
        <v/>
      </c>
      <c r="AA120" s="36">
        <f>IF(OR(Q120="",R120="",F120="",F120=0,G120="",G120=0,H120="",H120=0),"",((1/F120/(1/F120+1/G120+1/H120))-IF(Q120&gt;R120,1,0))^2+((1/G120/(1/F120+1/G120+1/H120))-IF(Q120=R120,1,0))^2+((1/H120/(1/F120+1/G120+1/H120))-IF(Q120&lt;R120,1,0))^2)</f>
        <v/>
      </c>
      <c r="AB120" s="37" t="n">
        <v>1.6413</v>
      </c>
      <c r="AC120" s="33" t="inlineStr">
        <is>
          <t>NO</t>
        </is>
      </c>
    </row>
    <row r="121">
      <c r="A121" s="30" t="n">
        <v>46120</v>
      </c>
      <c r="B121" s="31" t="inlineStr">
        <is>
          <t>2026-04-08goztepegalatasaray</t>
        </is>
      </c>
      <c r="C121" s="31" t="inlineStr">
        <is>
          <t>Goztepe vs Galatasaray</t>
        </is>
      </c>
      <c r="D121" s="31" t="inlineStr">
        <is>
          <t>Goztepe</t>
        </is>
      </c>
      <c r="E121" s="31" t="inlineStr">
        <is>
          <t>Galatasaray</t>
        </is>
      </c>
      <c r="F121" s="32" t="n">
        <v>4.54</v>
      </c>
      <c r="G121" s="32" t="n">
        <v>3.65</v>
      </c>
      <c r="H121" s="32" t="n">
        <v>1.85</v>
      </c>
      <c r="I121" s="32" t="n">
        <v>1.9</v>
      </c>
      <c r="J121" s="32" t="n">
        <v>1.99</v>
      </c>
      <c r="K121" s="33" t="inlineStr">
        <is>
          <t>Turquia</t>
        </is>
      </c>
      <c r="L121" s="34" t="n">
        <v>0.408402</v>
      </c>
      <c r="M121" s="34" t="n">
        <v>0.183364</v>
      </c>
      <c r="N121" s="34" t="n">
        <v>0.408235</v>
      </c>
      <c r="O121" s="34" t="n">
        <v>0.8321970357410361</v>
      </c>
      <c r="P121" s="34" t="n">
        <v>0.1678029642589639</v>
      </c>
      <c r="Q121" s="33" t="n">
        <v>1</v>
      </c>
      <c r="R121" s="33" t="n">
        <v>3</v>
      </c>
      <c r="S121" s="31" t="inlineStr">
        <is>
          <t>[PASAR] Margen Predictivo Insuficiente (&lt;5%)</t>
        </is>
      </c>
      <c r="T121" s="31" t="inlineStr">
        <is>
          <t>[PASAR] Sin Valor</t>
        </is>
      </c>
      <c r="U121" s="35" t="n">
        <v>0</v>
      </c>
      <c r="V121" s="35" t="n">
        <v>0</v>
      </c>
      <c r="W121" s="31">
        <f>IF(L121="","",IF((MAX(L121,M121,N121)-MEDIAN(L121,M121,N121))&gt;0.05,IF(OR(Q121="",R121=""),"[PREDICCION] "&amp;IF(L121=MAX(L121,M121,N121),"LOCAL",IF(M121=MAX(L121,M121,N121),"EMPATE","VISITA")),IF(L121=MAX(L121,M121,N121),IF(Q121&gt;R121,"[ACIERTO]","[FALLO]"),IF(M121=MAX(L121,M121,N121),IF(Q121=R121,"[ACIERTO]","[FALLO]"),IF(Q121&lt;R121,"[ACIERTO]","[FALLO]")))),"[PASAR] Margen Insuf"))</f>
        <v/>
      </c>
      <c r="X121" s="35">
        <f>IFERROR(IF(U121=0,0,IF(ISNUMBER(SEARCH("[GANADA]",S121)),U121*(IF(ISNUMBER(SEARCH("LOCAL",S121)),F121,IF(ISNUMBER(SEARCH("EMPATE",S121)),G121,H121))-1),IF(ISNUMBER(SEARCH("[PERDIDA]",S121)),-U121,0))),0)+IFERROR(IF(V121=0,0,IF(ISNUMBER(SEARCH("[GANADA]",T121)),V121*(IF(ISNUMBER(SEARCH("OVER",T121)),I121,J121)-1),IF(ISNUMBER(SEARCH("[PERDIDA]",T121)),-V121,0))),0)</f>
        <v/>
      </c>
      <c r="Y121" s="35">
        <f>Y120+X121</f>
        <v/>
      </c>
      <c r="Z121" s="36">
        <f>IF(OR(Q121="",R121=""),"",(L121-IF(Q121&gt;R121,1,0))^2+(M121-IF(Q121=R121,1,0))^2+(N121-IF(Q121&lt;R121,1,0))^2)</f>
        <v/>
      </c>
      <c r="AA121" s="36">
        <f>IF(OR(Q121="",R121="",F121="",F121=0,G121="",G121=0,H121="",H121=0),"",((1/F121/(1/F121+1/G121+1/H121))-IF(Q121&gt;R121,1,0))^2+((1/G121/(1/F121+1/G121+1/H121))-IF(Q121=R121,1,0))^2+((1/H121/(1/F121+1/G121+1/H121))-IF(Q121&lt;R121,1,0))^2)</f>
        <v/>
      </c>
      <c r="AB121" s="37" t="n">
        <v>1.1773</v>
      </c>
      <c r="AC121" s="33" t="inlineStr">
        <is>
          <t>NO</t>
        </is>
      </c>
    </row>
    <row r="122">
      <c r="A122" s="30" t="n">
        <v>46121</v>
      </c>
      <c r="B122" s="31" t="inlineStr">
        <is>
          <t>2026-04-09caykurrizesporsamsunspor</t>
        </is>
      </c>
      <c r="C122" s="31" t="inlineStr">
        <is>
          <t>Caykur Rizespor vs Samsunspor</t>
        </is>
      </c>
      <c r="D122" s="31" t="inlineStr">
        <is>
          <t>Caykur Rizespor</t>
        </is>
      </c>
      <c r="E122" s="31" t="inlineStr">
        <is>
          <t>Samsunspor</t>
        </is>
      </c>
      <c r="F122" s="32" t="n">
        <v>4.33</v>
      </c>
      <c r="G122" s="32" t="n">
        <v>3.53</v>
      </c>
      <c r="H122" s="32" t="n">
        <v>1.85</v>
      </c>
      <c r="I122" s="32" t="n">
        <v>2.03</v>
      </c>
      <c r="J122" s="32" t="n">
        <v>1.82</v>
      </c>
      <c r="K122" s="33" t="inlineStr">
        <is>
          <t>Turquia</t>
        </is>
      </c>
      <c r="L122" s="34" t="n">
        <v>0.485684</v>
      </c>
      <c r="M122" s="34" t="n">
        <v>0.186561</v>
      </c>
      <c r="N122" s="34" t="n">
        <v>0.327756</v>
      </c>
      <c r="O122" s="34" t="n">
        <v>0.8414074919664944</v>
      </c>
      <c r="P122" s="34" t="n">
        <v>0.1585925080335056</v>
      </c>
      <c r="Q122" s="33" t="n">
        <v>4</v>
      </c>
      <c r="R122" s="33" t="n">
        <v>1</v>
      </c>
      <c r="S122" s="31" t="inlineStr">
        <is>
          <t>[GANADA] LOCAL</t>
        </is>
      </c>
      <c r="T122" s="31" t="inlineStr">
        <is>
          <t>[PASAR] Sin Valor</t>
        </is>
      </c>
      <c r="U122" s="35" t="n">
        <v>2500</v>
      </c>
      <c r="V122" s="35" t="n">
        <v>0</v>
      </c>
      <c r="W122" s="31">
        <f>IF(L122="","",IF((MAX(L122,M122,N122)-MEDIAN(L122,M122,N122))&gt;0.05,IF(OR(Q122="",R122=""),"[PREDICCION] "&amp;IF(L122=MAX(L122,M122,N122),"LOCAL",IF(M122=MAX(L122,M122,N122),"EMPATE","VISITA")),IF(L122=MAX(L122,M122,N122),IF(Q122&gt;R122,"[ACIERTO]","[FALLO]"),IF(M122=MAX(L122,M122,N122),IF(Q122=R122,"[ACIERTO]","[FALLO]"),IF(Q122&lt;R122,"[ACIERTO]","[FALLO]")))),"[PASAR] Margen Insuf"))</f>
        <v/>
      </c>
      <c r="X122" s="35">
        <f>IFERROR(IF(U122=0,0,IF(ISNUMBER(SEARCH("[GANADA]",S122)),U122*(IF(ISNUMBER(SEARCH("LOCAL",S122)),F122,IF(ISNUMBER(SEARCH("EMPATE",S122)),G122,H122))-1),IF(ISNUMBER(SEARCH("[PERDIDA]",S122)),-U122,0))),0)+IFERROR(IF(V122=0,0,IF(ISNUMBER(SEARCH("[GANADA]",T122)),V122*(IF(ISNUMBER(SEARCH("OVER",T122)),I122,J122)-1),IF(ISNUMBER(SEARCH("[PERDIDA]",T122)),-V122,0))),0)</f>
        <v/>
      </c>
      <c r="Y122" s="35">
        <f>Y121+X122</f>
        <v/>
      </c>
      <c r="Z122" s="36">
        <f>IF(OR(Q122="",R122=""),"",(L122-IF(Q122&gt;R122,1,0))^2+(M122-IF(Q122=R122,1,0))^2+(N122-IF(Q122&lt;R122,1,0))^2)</f>
        <v/>
      </c>
      <c r="AA122" s="36">
        <f>IF(OR(Q122="",R122="",F122="",F122=0,G122="",G122=0,H122="",H122=0),"",((1/F122/(1/F122+1/G122+1/H122))-IF(Q122&gt;R122,1,0))^2+((1/G122/(1/F122+1/G122+1/H122))-IF(Q122=R122,1,0))^2+((1/H122/(1/F122+1/G122+1/H122))-IF(Q122&lt;R122,1,0))^2)</f>
        <v/>
      </c>
      <c r="AB122" s="37" t="n">
        <v>1.2458</v>
      </c>
      <c r="AC122" s="33" t="inlineStr">
        <is>
          <t>NO</t>
        </is>
      </c>
    </row>
    <row r="123">
      <c r="A123" s="30" t="n">
        <v>46122</v>
      </c>
      <c r="B123" s="31" t="inlineStr">
        <is>
          <t>2026-04-10besiktasantalyaspor</t>
        </is>
      </c>
      <c r="C123" s="31" t="inlineStr">
        <is>
          <t>Besiktas vs Antalyaspor</t>
        </is>
      </c>
      <c r="D123" s="31" t="inlineStr">
        <is>
          <t>Besiktas</t>
        </is>
      </c>
      <c r="E123" s="31" t="inlineStr">
        <is>
          <t>Antalyaspor</t>
        </is>
      </c>
      <c r="F123" s="32" t="n">
        <v>1.31</v>
      </c>
      <c r="G123" s="32" t="n">
        <v>6.07</v>
      </c>
      <c r="H123" s="32" t="n">
        <v>9</v>
      </c>
      <c r="I123" s="32" t="n"/>
      <c r="J123" s="32" t="n"/>
      <c r="K123" s="33" t="inlineStr">
        <is>
          <t>Turquia</t>
        </is>
      </c>
      <c r="L123" s="34" t="n">
        <v>0.476119</v>
      </c>
      <c r="M123" s="34" t="n">
        <v>0.191579</v>
      </c>
      <c r="N123" s="34" t="n">
        <v>0.332302</v>
      </c>
      <c r="O123" s="34" t="n">
        <v>0.8212521396243118</v>
      </c>
      <c r="P123" s="34" t="n">
        <v>0.1787478603756881</v>
      </c>
      <c r="Q123" s="38" t="n"/>
      <c r="R123" s="38" t="n"/>
      <c r="S123" s="31" t="inlineStr">
        <is>
          <t>[PASAR] Riesgo/Beneficio</t>
        </is>
      </c>
      <c r="T123" s="31" t="inlineStr">
        <is>
          <t>[PASAR] Sin Cuotas</t>
        </is>
      </c>
      <c r="U123" s="35" t="n">
        <v>0</v>
      </c>
      <c r="V123" s="35" t="n">
        <v>0</v>
      </c>
      <c r="W123" s="31">
        <f>IF(L123="","",IF((MAX(L123,M123,N123)-MEDIAN(L123,M123,N123))&gt;0.05,IF(OR(Q123="",R123=""),"[PREDICCION] "&amp;IF(L123=MAX(L123,M123,N123),"LOCAL",IF(M123=MAX(L123,M123,N123),"EMPATE","VISITA")),IF(L123=MAX(L123,M123,N123),IF(Q123&gt;R123,"[ACIERTO]","[FALLO]"),IF(M123=MAX(L123,M123,N123),IF(Q123=R123,"[ACIERTO]","[FALLO]"),IF(Q123&lt;R123,"[ACIERTO]","[FALLO]")))),"[PASAR] Margen Insuf"))</f>
        <v/>
      </c>
      <c r="X123" s="35">
        <f>IFERROR(IF(U123=0,0,IF(ISNUMBER(SEARCH("[GANADA]",S123)),U123*(IF(ISNUMBER(SEARCH("LOCAL",S123)),F123,IF(ISNUMBER(SEARCH("EMPATE",S123)),G123,H123))-1),IF(ISNUMBER(SEARCH("[PERDIDA]",S123)),-U123,0))),0)+IFERROR(IF(V123=0,0,IF(ISNUMBER(SEARCH("[GANADA]",T123)),V123*(IF(ISNUMBER(SEARCH("OVER",T123)),I123,J123)-1),IF(ISNUMBER(SEARCH("[PERDIDA]",T123)),-V123,0))),0)</f>
        <v/>
      </c>
      <c r="Y123" s="35">
        <f>Y122+X123</f>
        <v/>
      </c>
      <c r="Z123" s="36">
        <f>IF(OR(Q123="",R123=""),"",(L123-IF(Q123&gt;R123,1,0))^2+(M123-IF(Q123=R123,1,0))^2+(N123-IF(Q123&lt;R123,1,0))^2)</f>
        <v/>
      </c>
      <c r="AA123" s="36">
        <f>IF(OR(Q123="",R123="",F123="",F123=0,G123="",G123=0,H123="",H123=0),"",((1/F123/(1/F123+1/G123+1/H123))-IF(Q123&gt;R123,1,0))^2+((1/G123/(1/F123+1/G123+1/H123))-IF(Q123=R123,1,0))^2+((1/H123/(1/F123+1/G123+1/H123))-IF(Q123&lt;R123,1,0))^2)</f>
        <v/>
      </c>
      <c r="AB123" s="37" t="n">
        <v>1.2529</v>
      </c>
      <c r="AC123" s="33" t="inlineStr">
        <is>
          <t>NO</t>
        </is>
      </c>
    </row>
    <row r="124">
      <c r="A124" s="30" t="n">
        <v>46122</v>
      </c>
      <c r="B124" s="31" t="inlineStr">
        <is>
          <t>2026-04-10westhamunitedwolverhamptonwanderers</t>
        </is>
      </c>
      <c r="C124" s="31" t="inlineStr">
        <is>
          <t>West Ham United vs Wolverhampton Wanderers</t>
        </is>
      </c>
      <c r="D124" s="31" t="inlineStr">
        <is>
          <t>West Ham United</t>
        </is>
      </c>
      <c r="E124" s="31" t="inlineStr">
        <is>
          <t>Wolverhampton Wanderers</t>
        </is>
      </c>
      <c r="F124" s="32" t="n">
        <v>1.81</v>
      </c>
      <c r="G124" s="32" t="n">
        <v>3.87</v>
      </c>
      <c r="H124" s="32" t="n">
        <v>4.53</v>
      </c>
      <c r="I124" s="32" t="n">
        <v>1.85</v>
      </c>
      <c r="J124" s="32" t="n">
        <v>2.04</v>
      </c>
      <c r="K124" s="33" t="inlineStr">
        <is>
          <t>Inglaterra</t>
        </is>
      </c>
      <c r="L124" s="34" t="n">
        <v>0.383355</v>
      </c>
      <c r="M124" s="34" t="n">
        <v>0.181351</v>
      </c>
      <c r="N124" s="34" t="n">
        <v>0.435294</v>
      </c>
      <c r="O124" s="34" t="n">
        <v>0.8637651283904255</v>
      </c>
      <c r="P124" s="34" t="n">
        <v>0.1362348716095745</v>
      </c>
      <c r="Q124" s="38" t="n"/>
      <c r="R124" s="38" t="n"/>
      <c r="S124" s="31">
        <f>IF(OR(Q124="",R124=""),"[APOSTAR] VISITA",IF(Q124&lt;R124,"[GANADA] VISITA","[PERDIDA] VISITA"))</f>
        <v/>
      </c>
      <c r="T124" s="31" t="inlineStr">
        <is>
          <t>[PASAR] Overlap Riesgo (1X2 Priorizado)</t>
        </is>
      </c>
      <c r="U124" s="35" t="n">
        <v>2500</v>
      </c>
      <c r="V124" s="35" t="n">
        <v>0</v>
      </c>
      <c r="W124" s="31">
        <f>IF(L124="","",IF((MAX(L124,M124,N124)-MEDIAN(L124,M124,N124))&gt;0.05,IF(OR(Q124="",R124=""),"[PREDICCION] "&amp;IF(L124=MAX(L124,M124,N124),"LOCAL",IF(M124=MAX(L124,M124,N124),"EMPATE","VISITA")),IF(L124=MAX(L124,M124,N124),IF(Q124&gt;R124,"[ACIERTO]","[FALLO]"),IF(M124=MAX(L124,M124,N124),IF(Q124=R124,"[ACIERTO]","[FALLO]"),IF(Q124&lt;R124,"[ACIERTO]","[FALLO]")))),"[PASAR] Margen Insuf"))</f>
        <v/>
      </c>
      <c r="X124" s="35">
        <f>IFERROR(IF(U124=0,0,IF(ISNUMBER(SEARCH("[GANADA]",S124)),U124*(IF(ISNUMBER(SEARCH("LOCAL",S124)),F124,IF(ISNUMBER(SEARCH("EMPATE",S124)),G124,H124))-1),IF(ISNUMBER(SEARCH("[PERDIDA]",S124)),-U124,0))),0)+IFERROR(IF(V124=0,0,IF(ISNUMBER(SEARCH("[GANADA]",T124)),V124*(IF(ISNUMBER(SEARCH("OVER",T124)),I124,J124)-1),IF(ISNUMBER(SEARCH("[PERDIDA]",T124)),-V124,0))),0)</f>
        <v/>
      </c>
      <c r="Y124" s="35">
        <f>Y123+X124</f>
        <v/>
      </c>
      <c r="Z124" s="36">
        <f>IF(OR(Q124="",R124=""),"",(L124-IF(Q124&gt;R124,1,0))^2+(M124-IF(Q124=R124,1,0))^2+(N124-IF(Q124&lt;R124,1,0))^2)</f>
        <v/>
      </c>
      <c r="AA124" s="36">
        <f>IF(OR(Q124="",R124="",F124="",F124=0,G124="",G124=0,H124="",H124=0),"",((1/F124/(1/F124+1/G124+1/H124))-IF(Q124&gt;R124,1,0))^2+((1/G124/(1/F124+1/G124+1/H124))-IF(Q124=R124,1,0))^2+((1/H124/(1/F124+1/G124+1/H124))-IF(Q124&lt;R124,1,0))^2)</f>
        <v/>
      </c>
      <c r="AB124" s="37" t="n">
        <v>1.318</v>
      </c>
      <c r="AC124" s="33" t="inlineStr">
        <is>
          <t>NO</t>
        </is>
      </c>
    </row>
    <row r="125">
      <c r="A125" s="30" t="n">
        <v>46123</v>
      </c>
      <c r="B125" s="31" t="inlineStr">
        <is>
          <t>2026-04-11alanyasportrabzonspor</t>
        </is>
      </c>
      <c r="C125" s="31" t="inlineStr">
        <is>
          <t>Alanyaspor vs Trabzonspor</t>
        </is>
      </c>
      <c r="D125" s="31" t="inlineStr">
        <is>
          <t>Alanyaspor</t>
        </is>
      </c>
      <c r="E125" s="31" t="inlineStr">
        <is>
          <t>Trabzonspor</t>
        </is>
      </c>
      <c r="F125" s="32" t="n">
        <v>2.92</v>
      </c>
      <c r="G125" s="32" t="n">
        <v>3.29</v>
      </c>
      <c r="H125" s="32" t="n">
        <v>2.55</v>
      </c>
      <c r="I125" s="32" t="n">
        <v>1.92</v>
      </c>
      <c r="J125" s="32" t="n">
        <v>1.95</v>
      </c>
      <c r="K125" s="33" t="inlineStr">
        <is>
          <t>Turquia</t>
        </is>
      </c>
      <c r="L125" s="34" t="n">
        <v>0.44909</v>
      </c>
      <c r="M125" s="34" t="n">
        <v>0.192738</v>
      </c>
      <c r="N125" s="34" t="n">
        <v>0.358173</v>
      </c>
      <c r="O125" s="34" t="n">
        <v>0.8216013050648159</v>
      </c>
      <c r="P125" s="34" t="n">
        <v>0.1783986949351841</v>
      </c>
      <c r="Q125" s="38" t="n"/>
      <c r="R125" s="38" t="n"/>
      <c r="S125" s="31" t="inlineStr">
        <is>
          <t>[PASAR] Overlap Riesgo (O/U Priorizado)</t>
        </is>
      </c>
      <c r="T125" s="31">
        <f>IF(OR(Q125="",R125=""),"[APOSTAR] OVER 2.5",IF((Q125+R125)&gt;2.5,"[GANADA] OVER 2.5","[PERDIDA] OVER 2.5"))</f>
        <v/>
      </c>
      <c r="U125" s="35" t="n">
        <v>0</v>
      </c>
      <c r="V125" s="35" t="n">
        <v>1443.38</v>
      </c>
      <c r="W125" s="31">
        <f>IF(L125="","",IF((MAX(L125,M125,N125)-MEDIAN(L125,M125,N125))&gt;0.05,IF(OR(Q125="",R125=""),"[PREDICCION] "&amp;IF(L125=MAX(L125,M125,N125),"LOCAL",IF(M125=MAX(L125,M125,N125),"EMPATE","VISITA")),IF(L125=MAX(L125,M125,N125),IF(Q125&gt;R125,"[ACIERTO]","[FALLO]"),IF(M125=MAX(L125,M125,N125),IF(Q125=R125,"[ACIERTO]","[FALLO]"),IF(Q125&lt;R125,"[ACIERTO]","[FALLO]")))),"[PASAR] Margen Insuf"))</f>
        <v/>
      </c>
      <c r="X125" s="35">
        <f>IFERROR(IF(U125=0,0,IF(ISNUMBER(SEARCH("[GANADA]",S125)),U125*(IF(ISNUMBER(SEARCH("LOCAL",S125)),F125,IF(ISNUMBER(SEARCH("EMPATE",S125)),G125,H125))-1),IF(ISNUMBER(SEARCH("[PERDIDA]",S125)),-U125,0))),0)+IFERROR(IF(V125=0,0,IF(ISNUMBER(SEARCH("[GANADA]",T125)),V125*(IF(ISNUMBER(SEARCH("OVER",T125)),I125,J125)-1),IF(ISNUMBER(SEARCH("[PERDIDA]",T125)),-V125,0))),0)</f>
        <v/>
      </c>
      <c r="Y125" s="35">
        <f>Y124+X125</f>
        <v/>
      </c>
      <c r="Z125" s="36">
        <f>IF(OR(Q125="",R125=""),"",(L125-IF(Q125&gt;R125,1,0))^2+(M125-IF(Q125=R125,1,0))^2+(N125-IF(Q125&lt;R125,1,0))^2)</f>
        <v/>
      </c>
      <c r="AA125" s="36">
        <f>IF(OR(Q125="",R125="",F125="",F125=0,G125="",G125=0,H125="",H125=0),"",((1/F125/(1/F125+1/G125+1/H125))-IF(Q125&gt;R125,1,0))^2+((1/G125/(1/F125+1/G125+1/H125))-IF(Q125=R125,1,0))^2+((1/H125/(1/F125+1/G125+1/H125))-IF(Q125&lt;R125,1,0))^2)</f>
        <v/>
      </c>
      <c r="AB125" s="37" t="n">
        <v>1.3204</v>
      </c>
      <c r="AC125" s="33" t="inlineStr">
        <is>
          <t>NO</t>
        </is>
      </c>
    </row>
    <row r="126">
      <c r="A126" s="30" t="n">
        <v>46123</v>
      </c>
      <c r="B126" s="31" t="inlineStr">
        <is>
          <t>2026-04-11arsenalafcbournemouth</t>
        </is>
      </c>
      <c r="C126" s="31" t="inlineStr">
        <is>
          <t>Arsenal vs AFC Bournemouth</t>
        </is>
      </c>
      <c r="D126" s="31" t="inlineStr">
        <is>
          <t>Arsenal</t>
        </is>
      </c>
      <c r="E126" s="31" t="inlineStr">
        <is>
          <t>AFC Bournemouth</t>
        </is>
      </c>
      <c r="F126" s="32" t="n">
        <v>1.43</v>
      </c>
      <c r="G126" s="32" t="n">
        <v>4.7</v>
      </c>
      <c r="H126" s="32" t="n">
        <v>8.01</v>
      </c>
      <c r="I126" s="32" t="n"/>
      <c r="J126" s="32" t="n"/>
      <c r="K126" s="33" t="inlineStr">
        <is>
          <t>Inglaterra</t>
        </is>
      </c>
      <c r="L126" s="34" t="n">
        <v>0.449005</v>
      </c>
      <c r="M126" s="34" t="n">
        <v>0.180215</v>
      </c>
      <c r="N126" s="34" t="n">
        <v>0.370781</v>
      </c>
      <c r="O126" s="34" t="n">
        <v>0.8678504150504815</v>
      </c>
      <c r="P126" s="34" t="n">
        <v>0.1321495849495185</v>
      </c>
      <c r="Q126" s="38" t="n"/>
      <c r="R126" s="38" t="n"/>
      <c r="S126" s="31" t="inlineStr">
        <is>
          <t>[PASAR] Riesgo/Beneficio</t>
        </is>
      </c>
      <c r="T126" s="31" t="inlineStr">
        <is>
          <t>[PASAR] Sin Cuotas</t>
        </is>
      </c>
      <c r="U126" s="35" t="n">
        <v>0</v>
      </c>
      <c r="V126" s="35" t="n">
        <v>0</v>
      </c>
      <c r="W126" s="31">
        <f>IF(L126="","",IF((MAX(L126,M126,N126)-MEDIAN(L126,M126,N126))&gt;0.05,IF(OR(Q126="",R126=""),"[PREDICCION] "&amp;IF(L126=MAX(L126,M126,N126),"LOCAL",IF(M126=MAX(L126,M126,N126),"EMPATE","VISITA")),IF(L126=MAX(L126,M126,N126),IF(Q126&gt;R126,"[ACIERTO]","[FALLO]"),IF(M126=MAX(L126,M126,N126),IF(Q126=R126,"[ACIERTO]","[FALLO]"),IF(Q126&lt;R126,"[ACIERTO]","[FALLO]")))),"[PASAR] Margen Insuf"))</f>
        <v/>
      </c>
      <c r="X126" s="35">
        <f>IFERROR(IF(U126=0,0,IF(ISNUMBER(SEARCH("[GANADA]",S126)),U126*(IF(ISNUMBER(SEARCH("LOCAL",S126)),F126,IF(ISNUMBER(SEARCH("EMPATE",S126)),G126,H126))-1),IF(ISNUMBER(SEARCH("[PERDIDA]",S126)),-U126,0))),0)+IFERROR(IF(V126=0,0,IF(ISNUMBER(SEARCH("[GANADA]",T126)),V126*(IF(ISNUMBER(SEARCH("OVER",T126)),I126,J126)-1),IF(ISNUMBER(SEARCH("[PERDIDA]",T126)),-V126,0))),0)</f>
        <v/>
      </c>
      <c r="Y126" s="35">
        <f>Y125+X126</f>
        <v/>
      </c>
      <c r="Z126" s="36">
        <f>IF(OR(Q126="",R126=""),"",(L126-IF(Q126&gt;R126,1,0))^2+(M126-IF(Q126=R126,1,0))^2+(N126-IF(Q126&lt;R126,1,0))^2)</f>
        <v/>
      </c>
      <c r="AA126" s="36">
        <f>IF(OR(Q126="",R126="",F126="",F126=0,G126="",G126=0,H126="",H126=0),"",((1/F126/(1/F126+1/G126+1/H126))-IF(Q126&gt;R126,1,0))^2+((1/G126/(1/F126+1/G126+1/H126))-IF(Q126=R126,1,0))^2+((1/H126/(1/F126+1/G126+1/H126))-IF(Q126&lt;R126,1,0))^2)</f>
        <v/>
      </c>
      <c r="AB126" s="37" t="n">
        <v>1.2923</v>
      </c>
      <c r="AC126" s="33" t="inlineStr">
        <is>
          <t>NO</t>
        </is>
      </c>
    </row>
    <row r="127">
      <c r="A127" s="30" t="n">
        <v>46122</v>
      </c>
      <c r="B127" s="31" t="inlineStr">
        <is>
          <t>2026-04-11belgranocordobaaldosivi</t>
        </is>
      </c>
      <c r="C127" s="31" t="inlineStr">
        <is>
          <t>Belgrano (cordoba) vs Aldosivi</t>
        </is>
      </c>
      <c r="D127" s="31" t="inlineStr">
        <is>
          <t>Belgrano (cordoba)</t>
        </is>
      </c>
      <c r="E127" s="31" t="inlineStr">
        <is>
          <t>Aldosivi</t>
        </is>
      </c>
      <c r="F127" s="32" t="n">
        <v>1.62</v>
      </c>
      <c r="G127" s="32" t="n">
        <v>3.55</v>
      </c>
      <c r="H127" s="32" t="n">
        <v>7.13</v>
      </c>
      <c r="I127" s="32" t="n"/>
      <c r="J127" s="32" t="n"/>
      <c r="K127" s="33" t="inlineStr">
        <is>
          <t>Argentina</t>
        </is>
      </c>
      <c r="L127" s="34" t="n">
        <v>0.428574</v>
      </c>
      <c r="M127" s="34" t="n">
        <v>0.227558</v>
      </c>
      <c r="N127" s="34" t="n">
        <v>0.343869</v>
      </c>
      <c r="O127" s="34" t="n">
        <v>0.674774666543377</v>
      </c>
      <c r="P127" s="34" t="n">
        <v>0.325225333456623</v>
      </c>
      <c r="Q127" s="38" t="n"/>
      <c r="R127" s="38" t="n"/>
      <c r="S127" s="31" t="inlineStr">
        <is>
          <t>[PASAR] Riesgo/Beneficio</t>
        </is>
      </c>
      <c r="T127" s="31" t="inlineStr">
        <is>
          <t>[PASAR] Sin Cuotas</t>
        </is>
      </c>
      <c r="U127" s="35" t="n">
        <v>0</v>
      </c>
      <c r="V127" s="35" t="n">
        <v>0</v>
      </c>
      <c r="W127" s="31">
        <f>IF(L127="","",IF((MAX(L127,M127,N127)-MEDIAN(L127,M127,N127))&gt;0.05,IF(OR(Q127="",R127=""),"[PREDICCION] "&amp;IF(L127=MAX(L127,M127,N127),"LOCAL",IF(M127=MAX(L127,M127,N127),"EMPATE","VISITA")),IF(L127=MAX(L127,M127,N127),IF(Q127&gt;R127,"[ACIERTO]","[FALLO]"),IF(M127=MAX(L127,M127,N127),IF(Q127=R127,"[ACIERTO]","[FALLO]"),IF(Q127&lt;R127,"[ACIERTO]","[FALLO]")))),"[PASAR] Margen Insuf"))</f>
        <v/>
      </c>
      <c r="X127" s="35">
        <f>IFERROR(IF(U127=0,0,IF(ISNUMBER(SEARCH("[GANADA]",S127)),U127*(IF(ISNUMBER(SEARCH("LOCAL",S127)),F127,IF(ISNUMBER(SEARCH("EMPATE",S127)),G127,H127))-1),IF(ISNUMBER(SEARCH("[PERDIDA]",S127)),-U127,0))),0)+IFERROR(IF(V127=0,0,IF(ISNUMBER(SEARCH("[GANADA]",T127)),V127*(IF(ISNUMBER(SEARCH("OVER",T127)),I127,J127)-1),IF(ISNUMBER(SEARCH("[PERDIDA]",T127)),-V127,0))),0)</f>
        <v/>
      </c>
      <c r="Y127" s="35">
        <f>Y126+X127</f>
        <v/>
      </c>
      <c r="Z127" s="36">
        <f>IF(OR(Q127="",R127=""),"",(L127-IF(Q127&gt;R127,1,0))^2+(M127-IF(Q127=R127,1,0))^2+(N127-IF(Q127&lt;R127,1,0))^2)</f>
        <v/>
      </c>
      <c r="AA127" s="36">
        <f>IF(OR(Q127="",R127="",F127="",F127=0,G127="",G127=0,H127="",H127=0),"",((1/F127/(1/F127+1/G127+1/H127))-IF(Q127&gt;R127,1,0))^2+((1/G127/(1/F127+1/G127+1/H127))-IF(Q127=R127,1,0))^2+((1/H127/(1/F127+1/G127+1/H127))-IF(Q127&lt;R127,1,0))^2)</f>
        <v/>
      </c>
      <c r="AB127" s="37" t="n">
        <v>0.9176</v>
      </c>
      <c r="AC127" s="33" t="inlineStr">
        <is>
          <t>NO</t>
        </is>
      </c>
    </row>
    <row r="128">
      <c r="A128" s="30" t="n">
        <v>46123</v>
      </c>
      <c r="B128" s="31" t="inlineStr">
        <is>
          <t>2026-04-11bocajuniorsindependiente</t>
        </is>
      </c>
      <c r="C128" s="31" t="inlineStr">
        <is>
          <t>Boca Juniors vs Independiente</t>
        </is>
      </c>
      <c r="D128" s="31" t="inlineStr">
        <is>
          <t>Boca Juniors</t>
        </is>
      </c>
      <c r="E128" s="31" t="inlineStr">
        <is>
          <t>Independiente</t>
        </is>
      </c>
      <c r="F128" s="32" t="n">
        <v>2.26</v>
      </c>
      <c r="G128" s="32" t="n">
        <v>3.02</v>
      </c>
      <c r="H128" s="32" t="n">
        <v>3.61</v>
      </c>
      <c r="I128" s="32" t="n"/>
      <c r="J128" s="32" t="n"/>
      <c r="K128" s="33" t="inlineStr">
        <is>
          <t>Argentina</t>
        </is>
      </c>
      <c r="L128" s="34" t="n">
        <v>0.3998710295786238</v>
      </c>
      <c r="M128" s="34" t="n">
        <v>0.2368125313426514</v>
      </c>
      <c r="N128" s="34" t="n">
        <v>0.3633164390787248</v>
      </c>
      <c r="O128" s="34" t="n">
        <v>0.6767318585475198</v>
      </c>
      <c r="P128" s="34" t="n">
        <v>0.3232681414524802</v>
      </c>
      <c r="Q128" s="38" t="n"/>
      <c r="R128" s="38" t="n"/>
      <c r="S128" s="31">
        <f>IF(OR(Q128="",R128=""),"[APOSTAR] VISITA",IF(Q128&lt;R128,"[GANADA] VISITA","[PERDIDA] VISITA"))</f>
        <v/>
      </c>
      <c r="T128" s="31" t="inlineStr">
        <is>
          <t>[PASAR] Sin Cuotas</t>
        </is>
      </c>
      <c r="U128" s="35" t="n">
        <v>1443.38</v>
      </c>
      <c r="V128" s="35" t="n">
        <v>0</v>
      </c>
      <c r="W128" s="31">
        <f>IF(L128="","",IF((MAX(L128,M128,N128)-MEDIAN(L128,M128,N128))&gt;0.05,IF(OR(Q128="",R128=""),"[PREDICCION] "&amp;IF(L128=MAX(L128,M128,N128),"LOCAL",IF(M128=MAX(L128,M128,N128),"EMPATE","VISITA")),IF(L128=MAX(L128,M128,N128),IF(Q128&gt;R128,"[ACIERTO]","[FALLO]"),IF(M128=MAX(L128,M128,N128),IF(Q128=R128,"[ACIERTO]","[FALLO]"),IF(Q128&lt;R128,"[ACIERTO]","[FALLO]")))),"[PASAR] Margen Insuf"))</f>
        <v/>
      </c>
      <c r="X128" s="35">
        <f>IFERROR(IF(U128=0,0,IF(ISNUMBER(SEARCH("[GANADA]",S128)),U128*(IF(ISNUMBER(SEARCH("LOCAL",S128)),F128,IF(ISNUMBER(SEARCH("EMPATE",S128)),G128,H128))-1),IF(ISNUMBER(SEARCH("[PERDIDA]",S128)),-U128,0))),0)+IFERROR(IF(V128=0,0,IF(ISNUMBER(SEARCH("[GANADA]",T128)),V128*(IF(ISNUMBER(SEARCH("OVER",T128)),I128,J128)-1),IF(ISNUMBER(SEARCH("[PERDIDA]",T128)),-V128,0))),0)</f>
        <v/>
      </c>
      <c r="Y128" s="35">
        <f>Y127+X128</f>
        <v/>
      </c>
      <c r="Z128" s="36">
        <f>IF(OR(Q128="",R128=""),"",(L128-IF(Q128&gt;R128,1,0))^2+(M128-IF(Q128=R128,1,0))^2+(N128-IF(Q128&lt;R128,1,0))^2)</f>
        <v/>
      </c>
      <c r="AA128" s="36">
        <f>IF(OR(Q128="",R128="",F128="",F128=0,G128="",G128=0,H128="",H128=0),"",((1/F128/(1/F128+1/G128+1/H128))-IF(Q128&gt;R128,1,0))^2+((1/G128/(1/F128+1/G128+1/H128))-IF(Q128=R128,1,0))^2+((1/H128/(1/F128+1/G128+1/H128))-IF(Q128&lt;R128,1,0))^2)</f>
        <v/>
      </c>
      <c r="AB128" s="37" t="n">
        <v>0.8487</v>
      </c>
      <c r="AC128" s="33" t="inlineStr">
        <is>
          <t>NO</t>
        </is>
      </c>
    </row>
    <row r="129">
      <c r="A129" s="30" t="n">
        <v>46123</v>
      </c>
      <c r="B129" s="31" t="inlineStr">
        <is>
          <t>2026-04-11brentfordeverton</t>
        </is>
      </c>
      <c r="C129" s="31" t="inlineStr">
        <is>
          <t>Brentford vs Everton</t>
        </is>
      </c>
      <c r="D129" s="31" t="inlineStr">
        <is>
          <t>Brentford</t>
        </is>
      </c>
      <c r="E129" s="31" t="inlineStr">
        <is>
          <t>Everton</t>
        </is>
      </c>
      <c r="F129" s="32" t="n">
        <v>2.15</v>
      </c>
      <c r="G129" s="32" t="n">
        <v>3.4</v>
      </c>
      <c r="H129" s="32" t="n">
        <v>3.66</v>
      </c>
      <c r="I129" s="32" t="n">
        <v>2.01</v>
      </c>
      <c r="J129" s="32" t="n">
        <v>1.88</v>
      </c>
      <c r="K129" s="33" t="inlineStr">
        <is>
          <t>Inglaterra</t>
        </is>
      </c>
      <c r="L129" s="34" t="n">
        <v>0.415499</v>
      </c>
      <c r="M129" s="34" t="n">
        <v>0.172208</v>
      </c>
      <c r="N129" s="34" t="n">
        <v>0.412292</v>
      </c>
      <c r="O129" s="34" t="n">
        <v>0.873244262688208</v>
      </c>
      <c r="P129" s="34" t="n">
        <v>0.1267557373117921</v>
      </c>
      <c r="Q129" s="38" t="n"/>
      <c r="R129" s="38" t="n"/>
      <c r="S129" s="31" t="inlineStr">
        <is>
          <t>[PASAR] Margen Predictivo Insuficiente (&lt;5%)</t>
        </is>
      </c>
      <c r="T129" s="31">
        <f>IF(OR(Q129="",R129=""),"[APOSTAR] OVER 2.5",IF((Q129+R129)&gt;2.5,"[GANADA] OVER 2.5","[PERDIDA] OVER 2.5"))</f>
        <v/>
      </c>
      <c r="U129" s="35" t="n">
        <v>0</v>
      </c>
      <c r="V129" s="35" t="n">
        <v>2500</v>
      </c>
      <c r="W129" s="31">
        <f>IF(L129="","",IF((MAX(L129,M129,N129)-MEDIAN(L129,M129,N129))&gt;0.05,IF(OR(Q129="",R129=""),"[PREDICCION] "&amp;IF(L129=MAX(L129,M129,N129),"LOCAL",IF(M129=MAX(L129,M129,N129),"EMPATE","VISITA")),IF(L129=MAX(L129,M129,N129),IF(Q129&gt;R129,"[ACIERTO]","[FALLO]"),IF(M129=MAX(L129,M129,N129),IF(Q129=R129,"[ACIERTO]","[FALLO]"),IF(Q129&lt;R129,"[ACIERTO]","[FALLO]")))),"[PASAR] Margen Insuf"))</f>
        <v/>
      </c>
      <c r="X129" s="35">
        <f>IFERROR(IF(U129=0,0,IF(ISNUMBER(SEARCH("[GANADA]",S129)),U129*(IF(ISNUMBER(SEARCH("LOCAL",S129)),F129,IF(ISNUMBER(SEARCH("EMPATE",S129)),G129,H129))-1),IF(ISNUMBER(SEARCH("[PERDIDA]",S129)),-U129,0))),0)+IFERROR(IF(V129=0,0,IF(ISNUMBER(SEARCH("[GANADA]",T129)),V129*(IF(ISNUMBER(SEARCH("OVER",T129)),I129,J129)-1),IF(ISNUMBER(SEARCH("[PERDIDA]",T129)),-V129,0))),0)</f>
        <v/>
      </c>
      <c r="Y129" s="35">
        <f>Y128+X129</f>
        <v/>
      </c>
      <c r="Z129" s="36">
        <f>IF(OR(Q129="",R129=""),"",(L129-IF(Q129&gt;R129,1,0))^2+(M129-IF(Q129=R129,1,0))^2+(N129-IF(Q129&lt;R129,1,0))^2)</f>
        <v/>
      </c>
      <c r="AA129" s="36">
        <f>IF(OR(Q129="",R129="",F129="",F129=0,G129="",G129=0,H129="",H129=0),"",((1/F129/(1/F129+1/G129+1/H129))-IF(Q129&gt;R129,1,0))^2+((1/G129/(1/F129+1/G129+1/H129))-IF(Q129=R129,1,0))^2+((1/H129/(1/F129+1/G129+1/H129))-IF(Q129&lt;R129,1,0))^2)</f>
        <v/>
      </c>
      <c r="AB129" s="37" t="n">
        <v>1.3585</v>
      </c>
      <c r="AC129" s="33" t="inlineStr">
        <is>
          <t>NO</t>
        </is>
      </c>
    </row>
    <row r="130">
      <c r="A130" s="30" t="n">
        <v>46123</v>
      </c>
      <c r="B130" s="31" t="inlineStr">
        <is>
          <t>2026-04-11burnleybrightonhovealbion</t>
        </is>
      </c>
      <c r="C130" s="31" t="inlineStr">
        <is>
          <t>Burnley vs Brighton &amp; Hove Albion</t>
        </is>
      </c>
      <c r="D130" s="31" t="inlineStr">
        <is>
          <t>Burnley</t>
        </is>
      </c>
      <c r="E130" s="31" t="inlineStr">
        <is>
          <t>Brighton &amp; Hove Albion</t>
        </is>
      </c>
      <c r="F130" s="32" t="n">
        <v>4.55</v>
      </c>
      <c r="G130" s="32" t="n">
        <v>4.19</v>
      </c>
      <c r="H130" s="32" t="n">
        <v>1.73</v>
      </c>
      <c r="I130" s="32" t="n"/>
      <c r="J130" s="32" t="n"/>
      <c r="K130" s="33" t="inlineStr">
        <is>
          <t>Inglaterra</t>
        </is>
      </c>
      <c r="L130" s="34" t="n">
        <v>0.365928</v>
      </c>
      <c r="M130" s="34" t="n">
        <v>0.180042</v>
      </c>
      <c r="N130" s="34" t="n">
        <v>0.45403</v>
      </c>
      <c r="O130" s="34" t="n">
        <v>0.8680712345085403</v>
      </c>
      <c r="P130" s="34" t="n">
        <v>0.1319287654914597</v>
      </c>
      <c r="Q130" s="38" t="n"/>
      <c r="R130" s="38" t="n"/>
      <c r="S130" s="31" t="inlineStr">
        <is>
          <t>[PASAR] Riesgo/Beneficio</t>
        </is>
      </c>
      <c r="T130" s="31" t="inlineStr">
        <is>
          <t>[PASAR] Sin Cuotas</t>
        </is>
      </c>
      <c r="U130" s="35" t="n">
        <v>0</v>
      </c>
      <c r="V130" s="35" t="n">
        <v>0</v>
      </c>
      <c r="W130" s="31">
        <f>IF(L130="","",IF((MAX(L130,M130,N130)-MEDIAN(L130,M130,N130))&gt;0.05,IF(OR(Q130="",R130=""),"[PREDICCION] "&amp;IF(L130=MAX(L130,M130,N130),"LOCAL",IF(M130=MAX(L130,M130,N130),"EMPATE","VISITA")),IF(L130=MAX(L130,M130,N130),IF(Q130&gt;R130,"[ACIERTO]","[FALLO]"),IF(M130=MAX(L130,M130,N130),IF(Q130=R130,"[ACIERTO]","[FALLO]"),IF(Q130&lt;R130,"[ACIERTO]","[FALLO]")))),"[PASAR] Margen Insuf"))</f>
        <v/>
      </c>
      <c r="X130" s="35">
        <f>IFERROR(IF(U130=0,0,IF(ISNUMBER(SEARCH("[GANADA]",S130)),U130*(IF(ISNUMBER(SEARCH("LOCAL",S130)),F130,IF(ISNUMBER(SEARCH("EMPATE",S130)),G130,H130))-1),IF(ISNUMBER(SEARCH("[PERDIDA]",S130)),-U130,0))),0)+IFERROR(IF(V130=0,0,IF(ISNUMBER(SEARCH("[GANADA]",T130)),V130*(IF(ISNUMBER(SEARCH("OVER",T130)),I130,J130)-1),IF(ISNUMBER(SEARCH("[PERDIDA]",T130)),-V130,0))),0)</f>
        <v/>
      </c>
      <c r="Y130" s="35">
        <f>Y129+X130</f>
        <v/>
      </c>
      <c r="Z130" s="36">
        <f>IF(OR(Q130="",R130=""),"",(L130-IF(Q130&gt;R130,1,0))^2+(M130-IF(Q130=R130,1,0))^2+(N130-IF(Q130&lt;R130,1,0))^2)</f>
        <v/>
      </c>
      <c r="AA130" s="36">
        <f>IF(OR(Q130="",R130="",F130="",F130=0,G130="",G130=0,H130="",H130=0),"",((1/F130/(1/F130+1/G130+1/H130))-IF(Q130&gt;R130,1,0))^2+((1/G130/(1/F130+1/G130+1/H130))-IF(Q130=R130,1,0))^2+((1/H130/(1/F130+1/G130+1/H130))-IF(Q130&lt;R130,1,0))^2)</f>
        <v/>
      </c>
      <c r="AB130" s="37" t="n">
        <v>1.3309</v>
      </c>
      <c r="AC130" s="33" t="inlineStr">
        <is>
          <t>NO</t>
        </is>
      </c>
    </row>
    <row r="131">
      <c r="A131" s="30" t="n">
        <v>46123</v>
      </c>
      <c r="B131" s="31" t="inlineStr">
        <is>
          <t>2026-04-11deportivoriestrainstitutocordoba</t>
        </is>
      </c>
      <c r="C131" s="31" t="inlineStr">
        <is>
          <t>Deportivo Riestra vs Instituto (córdoba)</t>
        </is>
      </c>
      <c r="D131" s="31" t="inlineStr">
        <is>
          <t>Deportivo Riestra</t>
        </is>
      </c>
      <c r="E131" s="31" t="inlineStr">
        <is>
          <t>Instituto (córdoba)</t>
        </is>
      </c>
      <c r="F131" s="32" t="n">
        <v>2.92</v>
      </c>
      <c r="G131" s="32" t="n">
        <v>2.6</v>
      </c>
      <c r="H131" s="32" t="n">
        <v>3.1</v>
      </c>
      <c r="I131" s="32" t="n"/>
      <c r="J131" s="32" t="n"/>
      <c r="K131" s="33" t="inlineStr">
        <is>
          <t>Argentina</t>
        </is>
      </c>
      <c r="L131" s="34" t="n">
        <v>0.3967755457095888</v>
      </c>
      <c r="M131" s="34" t="n">
        <v>0.2366142133163112</v>
      </c>
      <c r="N131" s="34" t="n">
        <v>0.3666102409740999</v>
      </c>
      <c r="O131" s="34" t="n">
        <v>0.677939061194281</v>
      </c>
      <c r="P131" s="34" t="n">
        <v>0.322060938805719</v>
      </c>
      <c r="Q131" s="38" t="n"/>
      <c r="R131" s="38" t="n"/>
      <c r="S131" s="31">
        <f>IF(OR(Q131="",R131=""),"[APOSTAR] LOCAL",IF(Q131&gt;R131,"[GANADA] LOCAL","[PERDIDA] LOCAL"))</f>
        <v/>
      </c>
      <c r="T131" s="31" t="inlineStr">
        <is>
          <t>[PASAR] Sin Cuotas</t>
        </is>
      </c>
      <c r="U131" s="35" t="n">
        <v>1443.38</v>
      </c>
      <c r="V131" s="35" t="n">
        <v>0</v>
      </c>
      <c r="W131" s="31">
        <f>IF(L131="","",IF((MAX(L131,M131,N131)-MEDIAN(L131,M131,N131))&gt;0.05,IF(OR(Q131="",R131=""),"[PREDICCION] "&amp;IF(L131=MAX(L131,M131,N131),"LOCAL",IF(M131=MAX(L131,M131,N131),"EMPATE","VISITA")),IF(L131=MAX(L131,M131,N131),IF(Q131&gt;R131,"[ACIERTO]","[FALLO]"),IF(M131=MAX(L131,M131,N131),IF(Q131=R131,"[ACIERTO]","[FALLO]"),IF(Q131&lt;R131,"[ACIERTO]","[FALLO]")))),"[PASAR] Margen Insuf"))</f>
        <v/>
      </c>
      <c r="X131" s="35">
        <f>IFERROR(IF(U131=0,0,IF(ISNUMBER(SEARCH("[GANADA]",S131)),U131*(IF(ISNUMBER(SEARCH("LOCAL",S131)),F131,IF(ISNUMBER(SEARCH("EMPATE",S131)),G131,H131))-1),IF(ISNUMBER(SEARCH("[PERDIDA]",S131)),-U131,0))),0)+IFERROR(IF(V131=0,0,IF(ISNUMBER(SEARCH("[GANADA]",T131)),V131*(IF(ISNUMBER(SEARCH("OVER",T131)),I131,J131)-1),IF(ISNUMBER(SEARCH("[PERDIDA]",T131)),-V131,0))),0)</f>
        <v/>
      </c>
      <c r="Y131" s="35">
        <f>Y130+X131</f>
        <v/>
      </c>
      <c r="Z131" s="36">
        <f>IF(OR(Q131="",R131=""),"",(L131-IF(Q131&gt;R131,1,0))^2+(M131-IF(Q131=R131,1,0))^2+(N131-IF(Q131&lt;R131,1,0))^2)</f>
        <v/>
      </c>
      <c r="AA131" s="36">
        <f>IF(OR(Q131="",R131="",F131="",F131=0,G131="",G131=0,H131="",H131=0),"",((1/F131/(1/F131+1/G131+1/H131))-IF(Q131&gt;R131,1,0))^2+((1/G131/(1/F131+1/G131+1/H131))-IF(Q131=R131,1,0))^2+((1/H131/(1/F131+1/G131+1/H131))-IF(Q131&lt;R131,1,0))^2)</f>
        <v/>
      </c>
      <c r="AB131" s="37" t="n">
        <v>0.7863</v>
      </c>
      <c r="AC131" s="33" t="inlineStr">
        <is>
          <t>NO</t>
        </is>
      </c>
    </row>
    <row r="132">
      <c r="A132" s="30" t="n">
        <v>46123</v>
      </c>
      <c r="B132" s="31" t="inlineStr">
        <is>
          <t>2026-04-11estudiantesdelaplataunionsantafe</t>
        </is>
      </c>
      <c r="C132" s="31" t="inlineStr">
        <is>
          <t>Estudiantes de la Plata vs Union (santa Fe)</t>
        </is>
      </c>
      <c r="D132" s="31" t="inlineStr">
        <is>
          <t>Estudiantes de la Plata</t>
        </is>
      </c>
      <c r="E132" s="31" t="inlineStr">
        <is>
          <t>Union (santa Fe)</t>
        </is>
      </c>
      <c r="F132" s="32" t="n">
        <v>2.34</v>
      </c>
      <c r="G132" s="32" t="n">
        <v>2.68</v>
      </c>
      <c r="H132" s="32" t="n">
        <v>4</v>
      </c>
      <c r="I132" s="32" t="n"/>
      <c r="J132" s="32" t="n"/>
      <c r="K132" s="33" t="inlineStr">
        <is>
          <t>Argentina</t>
        </is>
      </c>
      <c r="L132" s="34" t="n">
        <v>0.469466</v>
      </c>
      <c r="M132" s="34" t="n">
        <v>0.216408</v>
      </c>
      <c r="N132" s="34" t="n">
        <v>0.314126</v>
      </c>
      <c r="O132" s="34" t="n">
        <v>0.7180025760599492</v>
      </c>
      <c r="P132" s="34" t="n">
        <v>0.2819974239400508</v>
      </c>
      <c r="Q132" s="38" t="n"/>
      <c r="R132" s="38" t="n"/>
      <c r="S132" s="31">
        <f>IF(OR(Q132="",R132=""),"[APOSTAR] LOCAL",IF(Q132&gt;R132,"[GANADA] LOCAL","[PERDIDA] LOCAL"))</f>
        <v/>
      </c>
      <c r="T132" s="31" t="inlineStr">
        <is>
          <t>[PASAR] Sin Cuotas</t>
        </is>
      </c>
      <c r="U132" s="35" t="n">
        <v>1443.38</v>
      </c>
      <c r="V132" s="35" t="n">
        <v>0</v>
      </c>
      <c r="W132" s="31">
        <f>IF(L132="","",IF((MAX(L132,M132,N132)-MEDIAN(L132,M132,N132))&gt;0.05,IF(OR(Q132="",R132=""),"[PREDICCION] "&amp;IF(L132=MAX(L132,M132,N132),"LOCAL",IF(M132=MAX(L132,M132,N132),"EMPATE","VISITA")),IF(L132=MAX(L132,M132,N132),IF(Q132&gt;R132,"[ACIERTO]","[FALLO]"),IF(M132=MAX(L132,M132,N132),IF(Q132=R132,"[ACIERTO]","[FALLO]"),IF(Q132&lt;R132,"[ACIERTO]","[FALLO]")))),"[PASAR] Margen Insuf"))</f>
        <v/>
      </c>
      <c r="X132" s="35">
        <f>IFERROR(IF(U132=0,0,IF(ISNUMBER(SEARCH("[GANADA]",S132)),U132*(IF(ISNUMBER(SEARCH("LOCAL",S132)),F132,IF(ISNUMBER(SEARCH("EMPATE",S132)),G132,H132))-1),IF(ISNUMBER(SEARCH("[PERDIDA]",S132)),-U132,0))),0)+IFERROR(IF(V132=0,0,IF(ISNUMBER(SEARCH("[GANADA]",T132)),V132*(IF(ISNUMBER(SEARCH("OVER",T132)),I132,J132)-1),IF(ISNUMBER(SEARCH("[PERDIDA]",T132)),-V132,0))),0)</f>
        <v/>
      </c>
      <c r="Y132" s="35">
        <f>Y131+X132</f>
        <v/>
      </c>
      <c r="Z132" s="36">
        <f>IF(OR(Q132="",R132=""),"",(L132-IF(Q132&gt;R132,1,0))^2+(M132-IF(Q132=R132,1,0))^2+(N132-IF(Q132&lt;R132,1,0))^2)</f>
        <v/>
      </c>
      <c r="AA132" s="36">
        <f>IF(OR(Q132="",R132="",F132="",F132=0,G132="",G132=0,H132="",H132=0),"",((1/F132/(1/F132+1/G132+1/H132))-IF(Q132&gt;R132,1,0))^2+((1/G132/(1/F132+1/G132+1/H132))-IF(Q132=R132,1,0))^2+((1/H132/(1/F132+1/G132+1/H132))-IF(Q132&lt;R132,1,0))^2)</f>
        <v/>
      </c>
      <c r="AB132" s="37" t="n">
        <v>1.0316</v>
      </c>
      <c r="AC132" s="33" t="inlineStr">
        <is>
          <t>NO</t>
        </is>
      </c>
    </row>
    <row r="133">
      <c r="A133" s="30" t="n">
        <v>46123</v>
      </c>
      <c r="B133" s="31" t="inlineStr">
        <is>
          <t>2026-04-11fluminenseflamengo</t>
        </is>
      </c>
      <c r="C133" s="31" t="inlineStr">
        <is>
          <t>Fluminense vs Flamengo</t>
        </is>
      </c>
      <c r="D133" s="31" t="inlineStr">
        <is>
          <t>Fluminense</t>
        </is>
      </c>
      <c r="E133" s="31" t="inlineStr">
        <is>
          <t>Flamengo</t>
        </is>
      </c>
      <c r="F133" s="32" t="n">
        <v>3.45</v>
      </c>
      <c r="G133" s="32" t="n">
        <v>3.05</v>
      </c>
      <c r="H133" s="32" t="n">
        <v>2.32</v>
      </c>
      <c r="I133" s="32" t="n"/>
      <c r="J133" s="32" t="n"/>
      <c r="K133" s="33" t="inlineStr">
        <is>
          <t>Brasil</t>
        </is>
      </c>
      <c r="L133" s="34" t="n">
        <v>0.489423</v>
      </c>
      <c r="M133" s="34" t="n">
        <v>0.187487</v>
      </c>
      <c r="N133" s="34" t="n">
        <v>0.32309</v>
      </c>
      <c r="O133" s="34" t="n">
        <v>0.8253582343649974</v>
      </c>
      <c r="P133" s="34" t="n">
        <v>0.1746417656350025</v>
      </c>
      <c r="Q133" s="38" t="n"/>
      <c r="R133" s="38" t="n"/>
      <c r="S133" s="31">
        <f>IF(OR(Q133="",R133=""),"[APOSTAR] LOCAL",IF(Q133&gt;R133,"[GANADA] LOCAL","[PERDIDA] LOCAL"))</f>
        <v/>
      </c>
      <c r="T133" s="31" t="inlineStr">
        <is>
          <t>[PASAR] Sin Cuotas</t>
        </is>
      </c>
      <c r="U133" s="35" t="n">
        <v>1020.62</v>
      </c>
      <c r="V133" s="35" t="n">
        <v>0</v>
      </c>
      <c r="W133" s="31">
        <f>IF(L133="","",IF((MAX(L133,M133,N133)-MEDIAN(L133,M133,N133))&gt;0.05,IF(OR(Q133="",R133=""),"[PREDICCION] "&amp;IF(L133=MAX(L133,M133,N133),"LOCAL",IF(M133=MAX(L133,M133,N133),"EMPATE","VISITA")),IF(L133=MAX(L133,M133,N133),IF(Q133&gt;R133,"[ACIERTO]","[FALLO]"),IF(M133=MAX(L133,M133,N133),IF(Q133=R133,"[ACIERTO]","[FALLO]"),IF(Q133&lt;R133,"[ACIERTO]","[FALLO]")))),"[PASAR] Margen Insuf"))</f>
        <v/>
      </c>
      <c r="X133" s="35">
        <f>IFERROR(IF(U133=0,0,IF(ISNUMBER(SEARCH("[GANADA]",S133)),U133*(IF(ISNUMBER(SEARCH("LOCAL",S133)),F133,IF(ISNUMBER(SEARCH("EMPATE",S133)),G133,H133))-1),IF(ISNUMBER(SEARCH("[PERDIDA]",S133)),-U133,0))),0)+IFERROR(IF(V133=0,0,IF(ISNUMBER(SEARCH("[GANADA]",T133)),V133*(IF(ISNUMBER(SEARCH("OVER",T133)),I133,J133)-1),IF(ISNUMBER(SEARCH("[PERDIDA]",T133)),-V133,0))),0)</f>
        <v/>
      </c>
      <c r="Y133" s="35">
        <f>Y132+X133</f>
        <v/>
      </c>
      <c r="Z133" s="36">
        <f>IF(OR(Q133="",R133=""),"",(L133-IF(Q133&gt;R133,1,0))^2+(M133-IF(Q133=R133,1,0))^2+(N133-IF(Q133&lt;R133,1,0))^2)</f>
        <v/>
      </c>
      <c r="AA133" s="36">
        <f>IF(OR(Q133="",R133="",F133="",F133=0,G133="",G133=0,H133="",H133=0),"",((1/F133/(1/F133+1/G133+1/H133))-IF(Q133&gt;R133,1,0))^2+((1/G133/(1/F133+1/G133+1/H133))-IF(Q133=R133,1,0))^2+((1/H133/(1/F133+1/G133+1/H133))-IF(Q133&lt;R133,1,0))^2)</f>
        <v/>
      </c>
      <c r="AB133" s="37" t="n">
        <v>1.2864</v>
      </c>
      <c r="AC133" s="33" t="inlineStr">
        <is>
          <t>NO</t>
        </is>
      </c>
    </row>
    <row r="134">
      <c r="A134" s="30" t="n">
        <v>46123</v>
      </c>
      <c r="B134" s="31" t="inlineStr">
        <is>
          <t>2026-04-11independienterivadaviaargentinosjuniors</t>
        </is>
      </c>
      <c r="C134" s="31" t="inlineStr">
        <is>
          <t>Independiente Rivadavia vs Argentinos Juniors</t>
        </is>
      </c>
      <c r="D134" s="31" t="inlineStr">
        <is>
          <t>Independiente Rivadavia</t>
        </is>
      </c>
      <c r="E134" s="31" t="inlineStr">
        <is>
          <t>Argentinos Juniors</t>
        </is>
      </c>
      <c r="F134" s="32" t="n">
        <v>3.23</v>
      </c>
      <c r="G134" s="32" t="n">
        <v>2.66</v>
      </c>
      <c r="H134" s="32" t="n">
        <v>2.76</v>
      </c>
      <c r="I134" s="32" t="n"/>
      <c r="J134" s="32" t="n"/>
      <c r="K134" s="33" t="inlineStr">
        <is>
          <t>Argentina</t>
        </is>
      </c>
      <c r="L134" s="34" t="n">
        <v>0.3947442980977806</v>
      </c>
      <c r="M134" s="34" t="n">
        <v>0.2334649708727827</v>
      </c>
      <c r="N134" s="34" t="n">
        <v>0.3717907310294367</v>
      </c>
      <c r="O134" s="34" t="n">
        <v>0.6923430160030771</v>
      </c>
      <c r="P134" s="34" t="n">
        <v>0.3076569839969228</v>
      </c>
      <c r="Q134" s="38" t="n"/>
      <c r="R134" s="38" t="n"/>
      <c r="S134" s="31" t="inlineStr">
        <is>
          <t>[PASAR] Margen Predictivo Insuficiente (&lt;5%)</t>
        </is>
      </c>
      <c r="T134" s="31" t="inlineStr">
        <is>
          <t>[PASAR] Sin Cuotas</t>
        </is>
      </c>
      <c r="U134" s="35" t="n">
        <v>0</v>
      </c>
      <c r="V134" s="35" t="n">
        <v>0</v>
      </c>
      <c r="W134" s="31">
        <f>IF(L134="","",IF((MAX(L134,M134,N134)-MEDIAN(L134,M134,N134))&gt;0.05,IF(OR(Q134="",R134=""),"[PREDICCION] "&amp;IF(L134=MAX(L134,M134,N134),"LOCAL",IF(M134=MAX(L134,M134,N134),"EMPATE","VISITA")),IF(L134=MAX(L134,M134,N134),IF(Q134&gt;R134,"[ACIERTO]","[FALLO]"),IF(M134=MAX(L134,M134,N134),IF(Q134=R134,"[ACIERTO]","[FALLO]"),IF(Q134&lt;R134,"[ACIERTO]","[FALLO]")))),"[PASAR] Margen Insuf"))</f>
        <v/>
      </c>
      <c r="X134" s="35">
        <f>IFERROR(IF(U134=0,0,IF(ISNUMBER(SEARCH("[GANADA]",S134)),U134*(IF(ISNUMBER(SEARCH("LOCAL",S134)),F134,IF(ISNUMBER(SEARCH("EMPATE",S134)),G134,H134))-1),IF(ISNUMBER(SEARCH("[PERDIDA]",S134)),-U134,0))),0)+IFERROR(IF(V134=0,0,IF(ISNUMBER(SEARCH("[GANADA]",T134)),V134*(IF(ISNUMBER(SEARCH("OVER",T134)),I134,J134)-1),IF(ISNUMBER(SEARCH("[PERDIDA]",T134)),-V134,0))),0)</f>
        <v/>
      </c>
      <c r="Y134" s="35">
        <f>Y133+X134</f>
        <v/>
      </c>
      <c r="Z134" s="36">
        <f>IF(OR(Q134="",R134=""),"",(L134-IF(Q134&gt;R134,1,0))^2+(M134-IF(Q134=R134,1,0))^2+(N134-IF(Q134&lt;R134,1,0))^2)</f>
        <v/>
      </c>
      <c r="AA134" s="36">
        <f>IF(OR(Q134="",R134="",F134="",F134=0,G134="",G134=0,H134="",H134=0),"",((1/F134/(1/F134+1/G134+1/H134))-IF(Q134&gt;R134,1,0))^2+((1/G134/(1/F134+1/G134+1/H134))-IF(Q134=R134,1,0))^2+((1/H134/(1/F134+1/G134+1/H134))-IF(Q134&lt;R134,1,0))^2)</f>
        <v/>
      </c>
      <c r="AB134" s="37" t="n">
        <v>0.7526</v>
      </c>
      <c r="AC134" s="33" t="inlineStr">
        <is>
          <t>NO</t>
        </is>
      </c>
    </row>
    <row r="135">
      <c r="A135" s="30" t="n">
        <v>46123</v>
      </c>
      <c r="B135" s="31" t="inlineStr">
        <is>
          <t>2026-04-11internacionalgremio</t>
        </is>
      </c>
      <c r="C135" s="31" t="inlineStr">
        <is>
          <t>Internacional vs Gremio</t>
        </is>
      </c>
      <c r="D135" s="31" t="inlineStr">
        <is>
          <t>Internacional</t>
        </is>
      </c>
      <c r="E135" s="31" t="inlineStr">
        <is>
          <t>Gremio</t>
        </is>
      </c>
      <c r="F135" s="32" t="n">
        <v>1.85</v>
      </c>
      <c r="G135" s="32" t="n">
        <v>3.64</v>
      </c>
      <c r="H135" s="32" t="n">
        <v>4.25</v>
      </c>
      <c r="I135" s="32" t="n">
        <v>1.94</v>
      </c>
      <c r="J135" s="32" t="n">
        <v>1.91</v>
      </c>
      <c r="K135" s="33" t="inlineStr">
        <is>
          <t>Brasil</t>
        </is>
      </c>
      <c r="L135" s="34" t="n">
        <v>0.44932</v>
      </c>
      <c r="M135" s="34" t="n">
        <v>0.191479</v>
      </c>
      <c r="N135" s="34" t="n">
        <v>0.359201</v>
      </c>
      <c r="O135" s="34" t="n">
        <v>0.8160040587408277</v>
      </c>
      <c r="P135" s="34" t="n">
        <v>0.1839959412591722</v>
      </c>
      <c r="Q135" s="38" t="n"/>
      <c r="R135" s="38" t="n"/>
      <c r="S135" s="31" t="inlineStr">
        <is>
          <t>[PASAR] Overlap Riesgo (O/U Priorizado)</t>
        </is>
      </c>
      <c r="T135" s="31">
        <f>IF(OR(Q135="",R135=""),"[APOSTAR] OVER 2.5",IF((Q135+R135)&gt;2.5,"[GANADA] OVER 2.5","[PERDIDA] OVER 2.5"))</f>
        <v/>
      </c>
      <c r="U135" s="35" t="n">
        <v>0</v>
      </c>
      <c r="V135" s="35" t="n">
        <v>1020.62</v>
      </c>
      <c r="W135" s="31">
        <f>IF(L135="","",IF((MAX(L135,M135,N135)-MEDIAN(L135,M135,N135))&gt;0.05,IF(OR(Q135="",R135=""),"[PREDICCION] "&amp;IF(L135=MAX(L135,M135,N135),"LOCAL",IF(M135=MAX(L135,M135,N135),"EMPATE","VISITA")),IF(L135=MAX(L135,M135,N135),IF(Q135&gt;R135,"[ACIERTO]","[FALLO]"),IF(M135=MAX(L135,M135,N135),IF(Q135=R135,"[ACIERTO]","[FALLO]"),IF(Q135&lt;R135,"[ACIERTO]","[FALLO]")))),"[PASAR] Margen Insuf"))</f>
        <v/>
      </c>
      <c r="X135" s="35">
        <f>IFERROR(IF(U135=0,0,IF(ISNUMBER(SEARCH("[GANADA]",S135)),U135*(IF(ISNUMBER(SEARCH("LOCAL",S135)),F135,IF(ISNUMBER(SEARCH("EMPATE",S135)),G135,H135))-1),IF(ISNUMBER(SEARCH("[PERDIDA]",S135)),-U135,0))),0)+IFERROR(IF(V135=0,0,IF(ISNUMBER(SEARCH("[GANADA]",T135)),V135*(IF(ISNUMBER(SEARCH("OVER",T135)),I135,J135)-1),IF(ISNUMBER(SEARCH("[PERDIDA]",T135)),-V135,0))),0)</f>
        <v/>
      </c>
      <c r="Y135" s="35">
        <f>Y134+X135</f>
        <v/>
      </c>
      <c r="Z135" s="36">
        <f>IF(OR(Q135="",R135=""),"",(L135-IF(Q135&gt;R135,1,0))^2+(M135-IF(Q135=R135,1,0))^2+(N135-IF(Q135&lt;R135,1,0))^2)</f>
        <v/>
      </c>
      <c r="AA135" s="36">
        <f>IF(OR(Q135="",R135="",F135="",F135=0,G135="",G135=0,H135="",H135=0),"",((1/F135/(1/F135+1/G135+1/H135))-IF(Q135&gt;R135,1,0))^2+((1/G135/(1/F135+1/G135+1/H135))-IF(Q135=R135,1,0))^2+((1/H135/(1/F135+1/G135+1/H135))-IF(Q135&lt;R135,1,0))^2)</f>
        <v/>
      </c>
      <c r="AB135" s="37" t="n">
        <v>1.2718</v>
      </c>
      <c r="AC135" s="33" t="inlineStr">
        <is>
          <t>NO</t>
        </is>
      </c>
    </row>
    <row r="136">
      <c r="A136" s="30" t="n">
        <v>46123</v>
      </c>
      <c r="B136" s="31" t="inlineStr">
        <is>
          <t>2026-04-11istanbulbasaksehirgenclerbirligi</t>
        </is>
      </c>
      <c r="C136" s="31" t="inlineStr">
        <is>
          <t>Istanbul Basaksehir vs Genclerbirligi</t>
        </is>
      </c>
      <c r="D136" s="31" t="inlineStr">
        <is>
          <t>Istanbul Basaksehir</t>
        </is>
      </c>
      <c r="E136" s="31" t="inlineStr">
        <is>
          <t>Genclerbirligi</t>
        </is>
      </c>
      <c r="F136" s="32" t="n">
        <v>1.55</v>
      </c>
      <c r="G136" s="32" t="n">
        <v>4.14</v>
      </c>
      <c r="H136" s="32" t="n">
        <v>6.31</v>
      </c>
      <c r="I136" s="32" t="n">
        <v>1.83</v>
      </c>
      <c r="J136" s="32" t="n">
        <v>2.03</v>
      </c>
      <c r="K136" s="33" t="inlineStr">
        <is>
          <t>Turquia</t>
        </is>
      </c>
      <c r="L136" s="34" t="n">
        <v>0.463114</v>
      </c>
      <c r="M136" s="34" t="n">
        <v>0.192742</v>
      </c>
      <c r="N136" s="34" t="n">
        <v>0.344144</v>
      </c>
      <c r="O136" s="34" t="n">
        <v>0.8191108446117275</v>
      </c>
      <c r="P136" s="34" t="n">
        <v>0.1808891553882725</v>
      </c>
      <c r="Q136" s="38" t="n"/>
      <c r="R136" s="38" t="n"/>
      <c r="S136" s="31" t="inlineStr">
        <is>
          <t>[PASAR] Riesgo/Beneficio</t>
        </is>
      </c>
      <c r="T136" s="31">
        <f>IF(OR(Q136="",R136=""),"[APOSTAR] OVER 2.5",IF((Q136+R136)&gt;2.5,"[GANADA] OVER 2.5","[PERDIDA] OVER 2.5"))</f>
        <v/>
      </c>
      <c r="U136" s="35" t="n">
        <v>0</v>
      </c>
      <c r="V136" s="35" t="n">
        <v>1443.38</v>
      </c>
      <c r="W136" s="31">
        <f>IF(L136="","",IF((MAX(L136,M136,N136)-MEDIAN(L136,M136,N136))&gt;0.05,IF(OR(Q136="",R136=""),"[PREDICCION] "&amp;IF(L136=MAX(L136,M136,N136),"LOCAL",IF(M136=MAX(L136,M136,N136),"EMPATE","VISITA")),IF(L136=MAX(L136,M136,N136),IF(Q136&gt;R136,"[ACIERTO]","[FALLO]"),IF(M136=MAX(L136,M136,N136),IF(Q136=R136,"[ACIERTO]","[FALLO]"),IF(Q136&lt;R136,"[ACIERTO]","[FALLO]")))),"[PASAR] Margen Insuf"))</f>
        <v/>
      </c>
      <c r="X136" s="35">
        <f>IFERROR(IF(U136=0,0,IF(ISNUMBER(SEARCH("[GANADA]",S136)),U136*(IF(ISNUMBER(SEARCH("LOCAL",S136)),F136,IF(ISNUMBER(SEARCH("EMPATE",S136)),G136,H136))-1),IF(ISNUMBER(SEARCH("[PERDIDA]",S136)),-U136,0))),0)+IFERROR(IF(V136=0,0,IF(ISNUMBER(SEARCH("[GANADA]",T136)),V136*(IF(ISNUMBER(SEARCH("OVER",T136)),I136,J136)-1),IF(ISNUMBER(SEARCH("[PERDIDA]",T136)),-V136,0))),0)</f>
        <v/>
      </c>
      <c r="Y136" s="35">
        <f>Y135+X136</f>
        <v/>
      </c>
      <c r="Z136" s="36">
        <f>IF(OR(Q136="",R136=""),"",(L136-IF(Q136&gt;R136,1,0))^2+(M136-IF(Q136=R136,1,0))^2+(N136-IF(Q136&lt;R136,1,0))^2)</f>
        <v/>
      </c>
      <c r="AA136" s="36">
        <f>IF(OR(Q136="",R136="",F136="",F136=0,G136="",G136=0,H136="",H136=0),"",((1/F136/(1/F136+1/G136+1/H136))-IF(Q136&gt;R136,1,0))^2+((1/G136/(1/F136+1/G136+1/H136))-IF(Q136=R136,1,0))^2+((1/H136/(1/F136+1/G136+1/H136))-IF(Q136&lt;R136,1,0))^2)</f>
        <v/>
      </c>
      <c r="AB136" s="37" t="n">
        <v>1.2489</v>
      </c>
      <c r="AC136" s="33" t="inlineStr">
        <is>
          <t>NO</t>
        </is>
      </c>
    </row>
    <row r="137">
      <c r="A137" s="30" t="n">
        <v>46123</v>
      </c>
      <c r="B137" s="31" t="inlineStr">
        <is>
          <t>2026-04-11kayserisporfenerbahce</t>
        </is>
      </c>
      <c r="C137" s="31" t="inlineStr">
        <is>
          <t>Kayserispor vs Fenerbahce</t>
        </is>
      </c>
      <c r="D137" s="31" t="inlineStr">
        <is>
          <t>Kayserispor</t>
        </is>
      </c>
      <c r="E137" s="31" t="inlineStr">
        <is>
          <t>Fenerbahce</t>
        </is>
      </c>
      <c r="F137" s="32" t="n">
        <v>6.51</v>
      </c>
      <c r="G137" s="32" t="n">
        <v>4.83</v>
      </c>
      <c r="H137" s="32" t="n">
        <v>1.44</v>
      </c>
      <c r="I137" s="32" t="n"/>
      <c r="J137" s="32" t="n"/>
      <c r="K137" s="33" t="inlineStr">
        <is>
          <t>Turquia</t>
        </is>
      </c>
      <c r="L137" s="34" t="n">
        <v>0.442843</v>
      </c>
      <c r="M137" s="34" t="n">
        <v>0.191906</v>
      </c>
      <c r="N137" s="34" t="n">
        <v>0.365251</v>
      </c>
      <c r="O137" s="34" t="n">
        <v>0.8260980760230097</v>
      </c>
      <c r="P137" s="34" t="n">
        <v>0.1739019239769904</v>
      </c>
      <c r="Q137" s="38" t="n"/>
      <c r="R137" s="38" t="n"/>
      <c r="S137" s="31">
        <f>IF(OR(Q137="",R137=""),"[APOSTAR] LOCAL",IF(Q137&gt;R137,"[GANADA] LOCAL","[PERDIDA] LOCAL"))</f>
        <v/>
      </c>
      <c r="T137" s="31" t="inlineStr">
        <is>
          <t>[PASAR] Sin Cuotas</t>
        </is>
      </c>
      <c r="U137" s="35" t="n">
        <v>1443.38</v>
      </c>
      <c r="V137" s="35" t="n">
        <v>0</v>
      </c>
      <c r="W137" s="31">
        <f>IF(L137="","",IF((MAX(L137,M137,N137)-MEDIAN(L137,M137,N137))&gt;0.05,IF(OR(Q137="",R137=""),"[PREDICCION] "&amp;IF(L137=MAX(L137,M137,N137),"LOCAL",IF(M137=MAX(L137,M137,N137),"EMPATE","VISITA")),IF(L137=MAX(L137,M137,N137),IF(Q137&gt;R137,"[ACIERTO]","[FALLO]"),IF(M137=MAX(L137,M137,N137),IF(Q137=R137,"[ACIERTO]","[FALLO]"),IF(Q137&lt;R137,"[ACIERTO]","[FALLO]")))),"[PASAR] Margen Insuf"))</f>
        <v/>
      </c>
      <c r="X137" s="35">
        <f>IFERROR(IF(U137=0,0,IF(ISNUMBER(SEARCH("[GANADA]",S137)),U137*(IF(ISNUMBER(SEARCH("LOCAL",S137)),F137,IF(ISNUMBER(SEARCH("EMPATE",S137)),G137,H137))-1),IF(ISNUMBER(SEARCH("[PERDIDA]",S137)),-U137,0))),0)+IFERROR(IF(V137=0,0,IF(ISNUMBER(SEARCH("[GANADA]",T137)),V137*(IF(ISNUMBER(SEARCH("OVER",T137)),I137,J137)-1),IF(ISNUMBER(SEARCH("[PERDIDA]",T137)),-V137,0))),0)</f>
        <v/>
      </c>
      <c r="Y137" s="35">
        <f>Y136+X137</f>
        <v/>
      </c>
      <c r="Z137" s="36">
        <f>IF(OR(Q137="",R137=""),"",(L137-IF(Q137&gt;R137,1,0))^2+(M137-IF(Q137=R137,1,0))^2+(N137-IF(Q137&lt;R137,1,0))^2)</f>
        <v/>
      </c>
      <c r="AA137" s="36">
        <f>IF(OR(Q137="",R137="",F137="",F137=0,G137="",G137=0,H137="",H137=0),"",((1/F137/(1/F137+1/G137+1/H137))-IF(Q137&gt;R137,1,0))^2+((1/G137/(1/F137+1/G137+1/H137))-IF(Q137=R137,1,0))^2+((1/H137/(1/F137+1/G137+1/H137))-IF(Q137&lt;R137,1,0))^2)</f>
        <v/>
      </c>
      <c r="AB137" s="37" t="n">
        <v>1.2347</v>
      </c>
      <c r="AC137" s="33" t="inlineStr">
        <is>
          <t>NO</t>
        </is>
      </c>
    </row>
    <row r="138">
      <c r="A138" s="30" t="n">
        <v>46123</v>
      </c>
      <c r="B138" s="31" t="inlineStr">
        <is>
          <t>2026-04-11lillestromikstart</t>
        </is>
      </c>
      <c r="C138" s="31" t="inlineStr">
        <is>
          <t>Lillestrom vs Ik Start</t>
        </is>
      </c>
      <c r="D138" s="31" t="inlineStr">
        <is>
          <t>Lillestrom</t>
        </is>
      </c>
      <c r="E138" s="31" t="inlineStr">
        <is>
          <t>Ik Start</t>
        </is>
      </c>
      <c r="F138" s="32" t="n">
        <v>1.53</v>
      </c>
      <c r="G138" s="32" t="n">
        <v>4.86</v>
      </c>
      <c r="H138" s="32" t="n">
        <v>5.48</v>
      </c>
      <c r="I138" s="32" t="n"/>
      <c r="J138" s="32" t="n"/>
      <c r="K138" s="33" t="inlineStr">
        <is>
          <t>Noruega</t>
        </is>
      </c>
      <c r="L138" s="34" t="n">
        <v>0.424249</v>
      </c>
      <c r="M138" s="34" t="n">
        <v>0.196162</v>
      </c>
      <c r="N138" s="34" t="n">
        <v>0.379589</v>
      </c>
      <c r="O138" s="34" t="n">
        <v>0.8321970267658978</v>
      </c>
      <c r="P138" s="34" t="n">
        <v>0.1678029732341022</v>
      </c>
      <c r="Q138" s="38" t="n"/>
      <c r="R138" s="38" t="n"/>
      <c r="S138" s="31" t="inlineStr">
        <is>
          <t>[PASAR] Riesgo/Beneficio</t>
        </is>
      </c>
      <c r="T138" s="31" t="inlineStr">
        <is>
          <t>[PASAR] Sin Cuotas</t>
        </is>
      </c>
      <c r="U138" s="35" t="n">
        <v>0</v>
      </c>
      <c r="V138" s="35" t="n">
        <v>0</v>
      </c>
      <c r="W138" s="31">
        <f>IF(L138="","",IF((MAX(L138,M138,N138)-MEDIAN(L138,M138,N138))&gt;0.05,IF(OR(Q138="",R138=""),"[PREDICCION] "&amp;IF(L138=MAX(L138,M138,N138),"LOCAL",IF(M138=MAX(L138,M138,N138),"EMPATE","VISITA")),IF(L138=MAX(L138,M138,N138),IF(Q138&gt;R138,"[ACIERTO]","[FALLO]"),IF(M138=MAX(L138,M138,N138),IF(Q138=R138,"[ACIERTO]","[FALLO]"),IF(Q138&lt;R138,"[ACIERTO]","[FALLO]")))),"[PASAR] Margen Insuf"))</f>
        <v/>
      </c>
      <c r="X138" s="35">
        <f>IFERROR(IF(U138=0,0,IF(ISNUMBER(SEARCH("[GANADA]",S138)),U138*(IF(ISNUMBER(SEARCH("LOCAL",S138)),F138,IF(ISNUMBER(SEARCH("EMPATE",S138)),G138,H138))-1),IF(ISNUMBER(SEARCH("[PERDIDA]",S138)),-U138,0))),0)+IFERROR(IF(V138=0,0,IF(ISNUMBER(SEARCH("[GANADA]",T138)),V138*(IF(ISNUMBER(SEARCH("OVER",T138)),I138,J138)-1),IF(ISNUMBER(SEARCH("[PERDIDA]",T138)),-V138,0))),0)</f>
        <v/>
      </c>
      <c r="Y138" s="35">
        <f>Y137+X138</f>
        <v/>
      </c>
      <c r="Z138" s="36">
        <f>IF(OR(Q138="",R138=""),"",(L138-IF(Q138&gt;R138,1,0))^2+(M138-IF(Q138=R138,1,0))^2+(N138-IF(Q138&lt;R138,1,0))^2)</f>
        <v/>
      </c>
      <c r="AA138" s="36">
        <f>IF(OR(Q138="",R138="",F138="",F138=0,G138="",G138=0,H138="",H138=0),"",((1/F138/(1/F138+1/G138+1/H138))-IF(Q138&gt;R138,1,0))^2+((1/G138/(1/F138+1/G138+1/H138))-IF(Q138=R138,1,0))^2+((1/H138/(1/F138+1/G138+1/H138))-IF(Q138&lt;R138,1,0))^2)</f>
        <v/>
      </c>
      <c r="AB138" s="37" t="n">
        <v>0.8417</v>
      </c>
      <c r="AC138" s="33" t="inlineStr">
        <is>
          <t>NO</t>
        </is>
      </c>
    </row>
    <row r="139">
      <c r="A139" s="30" t="n">
        <v>46123</v>
      </c>
      <c r="B139" s="31" t="inlineStr">
        <is>
          <t>2026-04-11liverpoolfulham</t>
        </is>
      </c>
      <c r="C139" s="31" t="inlineStr">
        <is>
          <t>Liverpool vs Fulham</t>
        </is>
      </c>
      <c r="D139" s="31" t="inlineStr">
        <is>
          <t>Liverpool</t>
        </is>
      </c>
      <c r="E139" s="31" t="inlineStr">
        <is>
          <t>Fulham</t>
        </is>
      </c>
      <c r="F139" s="32" t="n">
        <v>1.67</v>
      </c>
      <c r="G139" s="32" t="n">
        <v>4.22</v>
      </c>
      <c r="H139" s="32" t="n">
        <v>4.98</v>
      </c>
      <c r="I139" s="32" t="n"/>
      <c r="J139" s="32" t="n"/>
      <c r="K139" s="33" t="inlineStr">
        <is>
          <t>Inglaterra</t>
        </is>
      </c>
      <c r="L139" s="34" t="n">
        <v>0.438561</v>
      </c>
      <c r="M139" s="34" t="n">
        <v>0.179024</v>
      </c>
      <c r="N139" s="34" t="n">
        <v>0.382414</v>
      </c>
      <c r="O139" s="34" t="n">
        <v>0.8736278217023805</v>
      </c>
      <c r="P139" s="34" t="n">
        <v>0.1263721782976195</v>
      </c>
      <c r="Q139" s="38" t="n"/>
      <c r="R139" s="38" t="n"/>
      <c r="S139" s="31" t="inlineStr">
        <is>
          <t>[PASAR] Riesgo/Beneficio</t>
        </is>
      </c>
      <c r="T139" s="31" t="inlineStr">
        <is>
          <t>[PASAR] Sin Cuotas</t>
        </is>
      </c>
      <c r="U139" s="35" t="n">
        <v>0</v>
      </c>
      <c r="V139" s="35" t="n">
        <v>0</v>
      </c>
      <c r="W139" s="31">
        <f>IF(L139="","",IF((MAX(L139,M139,N139)-MEDIAN(L139,M139,N139))&gt;0.05,IF(OR(Q139="",R139=""),"[PREDICCION] "&amp;IF(L139=MAX(L139,M139,N139),"LOCAL",IF(M139=MAX(L139,M139,N139),"EMPATE","VISITA")),IF(L139=MAX(L139,M139,N139),IF(Q139&gt;R139,"[ACIERTO]","[FALLO]"),IF(M139=MAX(L139,M139,N139),IF(Q139=R139,"[ACIERTO]","[FALLO]"),IF(Q139&lt;R139,"[ACIERTO]","[FALLO]")))),"[PASAR] Margen Insuf"))</f>
        <v/>
      </c>
      <c r="X139" s="35">
        <f>IFERROR(IF(U139=0,0,IF(ISNUMBER(SEARCH("[GANADA]",S139)),U139*(IF(ISNUMBER(SEARCH("LOCAL",S139)),F139,IF(ISNUMBER(SEARCH("EMPATE",S139)),G139,H139))-1),IF(ISNUMBER(SEARCH("[PERDIDA]",S139)),-U139,0))),0)+IFERROR(IF(V139=0,0,IF(ISNUMBER(SEARCH("[GANADA]",T139)),V139*(IF(ISNUMBER(SEARCH("OVER",T139)),I139,J139)-1),IF(ISNUMBER(SEARCH("[PERDIDA]",T139)),-V139,0))),0)</f>
        <v/>
      </c>
      <c r="Y139" s="35">
        <f>Y138+X139</f>
        <v/>
      </c>
      <c r="Z139" s="36">
        <f>IF(OR(Q139="",R139=""),"",(L139-IF(Q139&gt;R139,1,0))^2+(M139-IF(Q139=R139,1,0))^2+(N139-IF(Q139&lt;R139,1,0))^2)</f>
        <v/>
      </c>
      <c r="AA139" s="36">
        <f>IF(OR(Q139="",R139="",F139="",F139=0,G139="",G139=0,H139="",H139=0),"",((1/F139/(1/F139+1/G139+1/H139))-IF(Q139&gt;R139,1,0))^2+((1/G139/(1/F139+1/G139+1/H139))-IF(Q139=R139,1,0))^2+((1/H139/(1/F139+1/G139+1/H139))-IF(Q139&lt;R139,1,0))^2)</f>
        <v/>
      </c>
      <c r="AB139" s="37" t="n">
        <v>1.3247</v>
      </c>
      <c r="AC139" s="33" t="inlineStr">
        <is>
          <t>NO</t>
        </is>
      </c>
    </row>
    <row r="140">
      <c r="A140" s="30" t="n">
        <v>46123</v>
      </c>
      <c r="B140" s="31" t="inlineStr">
        <is>
          <t>2026-04-11mirassolbahia</t>
        </is>
      </c>
      <c r="C140" s="31" t="inlineStr">
        <is>
          <t>Mirassol vs Bahia</t>
        </is>
      </c>
      <c r="D140" s="31" t="inlineStr">
        <is>
          <t>Mirassol</t>
        </is>
      </c>
      <c r="E140" s="31" t="inlineStr">
        <is>
          <t>Bahia</t>
        </is>
      </c>
      <c r="F140" s="32" t="n">
        <v>2.29</v>
      </c>
      <c r="G140" s="32" t="n">
        <v>3.36</v>
      </c>
      <c r="H140" s="32" t="n">
        <v>3.18</v>
      </c>
      <c r="I140" s="32" t="n">
        <v>1.97</v>
      </c>
      <c r="J140" s="32" t="n">
        <v>1.88</v>
      </c>
      <c r="K140" s="33" t="inlineStr">
        <is>
          <t>Brasil</t>
        </is>
      </c>
      <c r="L140" s="34" t="n">
        <v>0.456093</v>
      </c>
      <c r="M140" s="34" t="n">
        <v>0.188466</v>
      </c>
      <c r="N140" s="34" t="n">
        <v>0.355441</v>
      </c>
      <c r="O140" s="34" t="n">
        <v>0.8293912135758945</v>
      </c>
      <c r="P140" s="34" t="n">
        <v>0.1706087864241055</v>
      </c>
      <c r="Q140" s="38" t="n"/>
      <c r="R140" s="38" t="n"/>
      <c r="S140" s="31" t="inlineStr">
        <is>
          <t>[PASAR] EV Insuf (0.044&lt;0.080)</t>
        </is>
      </c>
      <c r="T140" s="31">
        <f>IF(OR(Q140="",R140=""),"[APOSTAR] OVER 2.5",IF((Q140+R140)&gt;2.5,"[GANADA] OVER 2.5","[PERDIDA] OVER 2.5"))</f>
        <v/>
      </c>
      <c r="U140" s="35" t="n">
        <v>0</v>
      </c>
      <c r="V140" s="35" t="n">
        <v>1020.62</v>
      </c>
      <c r="W140" s="31">
        <f>IF(L140="","",IF((MAX(L140,M140,N140)-MEDIAN(L140,M140,N140))&gt;0.05,IF(OR(Q140="",R140=""),"[PREDICCION] "&amp;IF(L140=MAX(L140,M140,N140),"LOCAL",IF(M140=MAX(L140,M140,N140),"EMPATE","VISITA")),IF(L140=MAX(L140,M140,N140),IF(Q140&gt;R140,"[ACIERTO]","[FALLO]"),IF(M140=MAX(L140,M140,N140),IF(Q140=R140,"[ACIERTO]","[FALLO]"),IF(Q140&lt;R140,"[ACIERTO]","[FALLO]")))),"[PASAR] Margen Insuf"))</f>
        <v/>
      </c>
      <c r="X140" s="35">
        <f>IFERROR(IF(U140=0,0,IF(ISNUMBER(SEARCH("[GANADA]",S140)),U140*(IF(ISNUMBER(SEARCH("LOCAL",S140)),F140,IF(ISNUMBER(SEARCH("EMPATE",S140)),G140,H140))-1),IF(ISNUMBER(SEARCH("[PERDIDA]",S140)),-U140,0))),0)+IFERROR(IF(V140=0,0,IF(ISNUMBER(SEARCH("[GANADA]",T140)),V140*(IF(ISNUMBER(SEARCH("OVER",T140)),I140,J140)-1),IF(ISNUMBER(SEARCH("[PERDIDA]",T140)),-V140,0))),0)</f>
        <v/>
      </c>
      <c r="Y140" s="35">
        <f>Y139+X140</f>
        <v/>
      </c>
      <c r="Z140" s="36">
        <f>IF(OR(Q140="",R140=""),"",(L140-IF(Q140&gt;R140,1,0))^2+(M140-IF(Q140=R140,1,0))^2+(N140-IF(Q140&lt;R140,1,0))^2)</f>
        <v/>
      </c>
      <c r="AA140" s="36">
        <f>IF(OR(Q140="",R140="",F140="",F140=0,G140="",G140=0,H140="",H140=0),"",((1/F140/(1/F140+1/G140+1/H140))-IF(Q140&gt;R140,1,0))^2+((1/G140/(1/F140+1/G140+1/H140))-IF(Q140=R140,1,0))^2+((1/H140/(1/F140+1/G140+1/H140))-IF(Q140&lt;R140,1,0))^2)</f>
        <v/>
      </c>
      <c r="AB140" s="37" t="n">
        <v>1.2224</v>
      </c>
      <c r="AC140" s="33" t="inlineStr">
        <is>
          <t>NO</t>
        </is>
      </c>
    </row>
    <row r="141">
      <c r="A141" s="30" t="n">
        <v>46123</v>
      </c>
      <c r="B141" s="31" t="inlineStr">
        <is>
          <t>2026-04-11removascodagama</t>
        </is>
      </c>
      <c r="C141" s="31" t="inlineStr">
        <is>
          <t>Remo vs Vasco da Gama</t>
        </is>
      </c>
      <c r="D141" s="31" t="inlineStr">
        <is>
          <t>Remo</t>
        </is>
      </c>
      <c r="E141" s="31" t="inlineStr">
        <is>
          <t>Vasco da Gama</t>
        </is>
      </c>
      <c r="F141" s="32" t="n">
        <v>2.92</v>
      </c>
      <c r="G141" s="32" t="n">
        <v>3.35</v>
      </c>
      <c r="H141" s="32" t="n">
        <v>2.46</v>
      </c>
      <c r="I141" s="32" t="n">
        <v>2.01</v>
      </c>
      <c r="J141" s="32" t="n">
        <v>1.85</v>
      </c>
      <c r="K141" s="33" t="inlineStr">
        <is>
          <t>Brasil</t>
        </is>
      </c>
      <c r="L141" s="34" t="n">
        <v>0.456695</v>
      </c>
      <c r="M141" s="34" t="n">
        <v>0.180558</v>
      </c>
      <c r="N141" s="34" t="n">
        <v>0.362747</v>
      </c>
      <c r="O141" s="34" t="n">
        <v>0.8654831555669318</v>
      </c>
      <c r="P141" s="34" t="n">
        <v>0.1345168444330683</v>
      </c>
      <c r="Q141" s="38" t="n"/>
      <c r="R141" s="38" t="n"/>
      <c r="S141" s="31" t="inlineStr">
        <is>
          <t>[PASAR] Overlap Riesgo (O/U Priorizado)</t>
        </is>
      </c>
      <c r="T141" s="31">
        <f>IF(OR(Q141="",R141=""),"[APOSTAR] OVER 2.5",IF((Q141+R141)&gt;2.5,"[GANADA] OVER 2.5","[PERDIDA] OVER 2.5"))</f>
        <v/>
      </c>
      <c r="U141" s="35" t="n">
        <v>0</v>
      </c>
      <c r="V141" s="35" t="n">
        <v>1020.62</v>
      </c>
      <c r="W141" s="31">
        <f>IF(L141="","",IF((MAX(L141,M141,N141)-MEDIAN(L141,M141,N141))&gt;0.05,IF(OR(Q141="",R141=""),"[PREDICCION] "&amp;IF(L141=MAX(L141,M141,N141),"LOCAL",IF(M141=MAX(L141,M141,N141),"EMPATE","VISITA")),IF(L141=MAX(L141,M141,N141),IF(Q141&gt;R141,"[ACIERTO]","[FALLO]"),IF(M141=MAX(L141,M141,N141),IF(Q141=R141,"[ACIERTO]","[FALLO]"),IF(Q141&lt;R141,"[ACIERTO]","[FALLO]")))),"[PASAR] Margen Insuf"))</f>
        <v/>
      </c>
      <c r="X141" s="35">
        <f>IFERROR(IF(U141=0,0,IF(ISNUMBER(SEARCH("[GANADA]",S141)),U141*(IF(ISNUMBER(SEARCH("LOCAL",S141)),F141,IF(ISNUMBER(SEARCH("EMPATE",S141)),G141,H141))-1),IF(ISNUMBER(SEARCH("[PERDIDA]",S141)),-U141,0))),0)+IFERROR(IF(V141=0,0,IF(ISNUMBER(SEARCH("[GANADA]",T141)),V141*(IF(ISNUMBER(SEARCH("OVER",T141)),I141,J141)-1),IF(ISNUMBER(SEARCH("[PERDIDA]",T141)),-V141,0))),0)</f>
        <v/>
      </c>
      <c r="Y141" s="35">
        <f>Y140+X141</f>
        <v/>
      </c>
      <c r="Z141" s="36">
        <f>IF(OR(Q141="",R141=""),"",(L141-IF(Q141&gt;R141,1,0))^2+(M141-IF(Q141=R141,1,0))^2+(N141-IF(Q141&lt;R141,1,0))^2)</f>
        <v/>
      </c>
      <c r="AA141" s="36">
        <f>IF(OR(Q141="",R141="",F141="",F141=0,G141="",G141=0,H141="",H141=0),"",((1/F141/(1/F141+1/G141+1/H141))-IF(Q141&gt;R141,1,0))^2+((1/G141/(1/F141+1/G141+1/H141))-IF(Q141=R141,1,0))^2+((1/H141/(1/F141+1/G141+1/H141))-IF(Q141&lt;R141,1,0))^2)</f>
        <v/>
      </c>
      <c r="AB141" s="37" t="n">
        <v>1.2364</v>
      </c>
      <c r="AC141" s="33" t="inlineStr">
        <is>
          <t>NO</t>
        </is>
      </c>
    </row>
    <row r="142">
      <c r="A142" s="30" t="n">
        <v>46123</v>
      </c>
      <c r="B142" s="31" t="inlineStr">
        <is>
          <t>2026-04-11santosatleticomg</t>
        </is>
      </c>
      <c r="C142" s="31" t="inlineStr">
        <is>
          <t>Santos vs Atlético-mg</t>
        </is>
      </c>
      <c r="D142" s="31" t="inlineStr">
        <is>
          <t>Santos</t>
        </is>
      </c>
      <c r="E142" s="31" t="inlineStr">
        <is>
          <t>Atlético-mg</t>
        </is>
      </c>
      <c r="F142" s="32" t="n">
        <v>2.28</v>
      </c>
      <c r="G142" s="32" t="n">
        <v>3.18</v>
      </c>
      <c r="H142" s="32" t="n">
        <v>3.38</v>
      </c>
      <c r="I142" s="32" t="n"/>
      <c r="J142" s="32" t="n"/>
      <c r="K142" s="33" t="inlineStr">
        <is>
          <t>Brasil</t>
        </is>
      </c>
      <c r="L142" s="34" t="n">
        <v>0.364249</v>
      </c>
      <c r="M142" s="34" t="n">
        <v>0.188933</v>
      </c>
      <c r="N142" s="34" t="n">
        <v>0.446817</v>
      </c>
      <c r="O142" s="34" t="n">
        <v>0.8285040910575568</v>
      </c>
      <c r="P142" s="34" t="n">
        <v>0.1714959089424432</v>
      </c>
      <c r="Q142" s="38" t="n"/>
      <c r="R142" s="38" t="n"/>
      <c r="S142" s="31">
        <f>IF(OR(Q142="",R142=""),"[APOSTAR] VISITA",IF(Q142&lt;R142,"[GANADA] VISITA","[PERDIDA] VISITA"))</f>
        <v/>
      </c>
      <c r="T142" s="31" t="inlineStr">
        <is>
          <t>[PASAR] Sin Cuotas</t>
        </is>
      </c>
      <c r="U142" s="35" t="n">
        <v>1020.62</v>
      </c>
      <c r="V142" s="35" t="n">
        <v>0</v>
      </c>
      <c r="W142" s="31">
        <f>IF(L142="","",IF((MAX(L142,M142,N142)-MEDIAN(L142,M142,N142))&gt;0.05,IF(OR(Q142="",R142=""),"[PREDICCION] "&amp;IF(L142=MAX(L142,M142,N142),"LOCAL",IF(M142=MAX(L142,M142,N142),"EMPATE","VISITA")),IF(L142=MAX(L142,M142,N142),IF(Q142&gt;R142,"[ACIERTO]","[FALLO]"),IF(M142=MAX(L142,M142,N142),IF(Q142=R142,"[ACIERTO]","[FALLO]"),IF(Q142&lt;R142,"[ACIERTO]","[FALLO]")))),"[PASAR] Margen Insuf"))</f>
        <v/>
      </c>
      <c r="X142" s="35">
        <f>IFERROR(IF(U142=0,0,IF(ISNUMBER(SEARCH("[GANADA]",S142)),U142*(IF(ISNUMBER(SEARCH("LOCAL",S142)),F142,IF(ISNUMBER(SEARCH("EMPATE",S142)),G142,H142))-1),IF(ISNUMBER(SEARCH("[PERDIDA]",S142)),-U142,0))),0)+IFERROR(IF(V142=0,0,IF(ISNUMBER(SEARCH("[GANADA]",T142)),V142*(IF(ISNUMBER(SEARCH("OVER",T142)),I142,J142)-1),IF(ISNUMBER(SEARCH("[PERDIDA]",T142)),-V142,0))),0)</f>
        <v/>
      </c>
      <c r="Y142" s="35">
        <f>Y141+X142</f>
        <v/>
      </c>
      <c r="Z142" s="36">
        <f>IF(OR(Q142="",R142=""),"",(L142-IF(Q142&gt;R142,1,0))^2+(M142-IF(Q142=R142,1,0))^2+(N142-IF(Q142&lt;R142,1,0))^2)</f>
        <v/>
      </c>
      <c r="AA142" s="36">
        <f>IF(OR(Q142="",R142="",F142="",F142=0,G142="",G142=0,H142="",H142=0),"",((1/F142/(1/F142+1/G142+1/H142))-IF(Q142&gt;R142,1,0))^2+((1/G142/(1/F142+1/G142+1/H142))-IF(Q142=R142,1,0))^2+((1/H142/(1/F142+1/G142+1/H142))-IF(Q142&lt;R142,1,0))^2)</f>
        <v/>
      </c>
      <c r="AB142" s="37" t="n">
        <v>1.2923</v>
      </c>
      <c r="AC142" s="33" t="inlineStr">
        <is>
          <t>NO</t>
        </is>
      </c>
    </row>
    <row r="143">
      <c r="A143" s="30" t="n">
        <v>46123</v>
      </c>
      <c r="B143" s="31" t="inlineStr">
        <is>
          <t>2026-04-11tromsokristiansundbk</t>
        </is>
      </c>
      <c r="C143" s="31" t="inlineStr">
        <is>
          <t>Tromso vs Kristiansund bk</t>
        </is>
      </c>
      <c r="D143" s="31" t="inlineStr">
        <is>
          <t>Tromso</t>
        </is>
      </c>
      <c r="E143" s="31" t="inlineStr">
        <is>
          <t>Kristiansund bk</t>
        </is>
      </c>
      <c r="F143" s="32" t="n">
        <v>1.33</v>
      </c>
      <c r="G143" s="32" t="n">
        <v>5.59</v>
      </c>
      <c r="H143" s="32" t="n">
        <v>8.92</v>
      </c>
      <c r="I143" s="32" t="n"/>
      <c r="J143" s="32" t="n"/>
      <c r="K143" s="33" t="inlineStr">
        <is>
          <t>Noruega</t>
        </is>
      </c>
      <c r="L143" s="34" t="n">
        <v>0.473942</v>
      </c>
      <c r="M143" s="34" t="n">
        <v>0.181034</v>
      </c>
      <c r="N143" s="34" t="n">
        <v>0.345023</v>
      </c>
      <c r="O143" s="34" t="n">
        <v>0.8840338278652803</v>
      </c>
      <c r="P143" s="34" t="n">
        <v>0.1159661721347198</v>
      </c>
      <c r="Q143" s="38" t="n"/>
      <c r="R143" s="38" t="n"/>
      <c r="S143" s="31" t="inlineStr">
        <is>
          <t>[PASAR] Riesgo/Beneficio</t>
        </is>
      </c>
      <c r="T143" s="31" t="inlineStr">
        <is>
          <t>[PASAR] Sin Cuotas</t>
        </is>
      </c>
      <c r="U143" s="35" t="n">
        <v>0</v>
      </c>
      <c r="V143" s="35" t="n">
        <v>0</v>
      </c>
      <c r="W143" s="31">
        <f>IF(L143="","",IF((MAX(L143,M143,N143)-MEDIAN(L143,M143,N143))&gt;0.05,IF(OR(Q143="",R143=""),"[PREDICCION] "&amp;IF(L143=MAX(L143,M143,N143),"LOCAL",IF(M143=MAX(L143,M143,N143),"EMPATE","VISITA")),IF(L143=MAX(L143,M143,N143),IF(Q143&gt;R143,"[ACIERTO]","[FALLO]"),IF(M143=MAX(L143,M143,N143),IF(Q143=R143,"[ACIERTO]","[FALLO]"),IF(Q143&lt;R143,"[ACIERTO]","[FALLO]")))),"[PASAR] Margen Insuf"))</f>
        <v/>
      </c>
      <c r="X143" s="35">
        <f>IFERROR(IF(U143=0,0,IF(ISNUMBER(SEARCH("[GANADA]",S143)),U143*(IF(ISNUMBER(SEARCH("LOCAL",S143)),F143,IF(ISNUMBER(SEARCH("EMPATE",S143)),G143,H143))-1),IF(ISNUMBER(SEARCH("[PERDIDA]",S143)),-U143,0))),0)+IFERROR(IF(V143=0,0,IF(ISNUMBER(SEARCH("[GANADA]",T143)),V143*(IF(ISNUMBER(SEARCH("OVER",T143)),I143,J143)-1),IF(ISNUMBER(SEARCH("[PERDIDA]",T143)),-V143,0))),0)</f>
        <v/>
      </c>
      <c r="Y143" s="35">
        <f>Y142+X143</f>
        <v/>
      </c>
      <c r="Z143" s="36">
        <f>IF(OR(Q143="",R143=""),"",(L143-IF(Q143&gt;R143,1,0))^2+(M143-IF(Q143=R143,1,0))^2+(N143-IF(Q143&lt;R143,1,0))^2)</f>
        <v/>
      </c>
      <c r="AA143" s="36">
        <f>IF(OR(Q143="",R143="",F143="",F143=0,G143="",G143=0,H143="",H143=0),"",((1/F143/(1/F143+1/G143+1/H143))-IF(Q143&gt;R143,1,0))^2+((1/G143/(1/F143+1/G143+1/H143))-IF(Q143=R143,1,0))^2+((1/H143/(1/F143+1/G143+1/H143))-IF(Q143&lt;R143,1,0))^2)</f>
        <v/>
      </c>
      <c r="AB143" s="37" t="n">
        <v>1.7401</v>
      </c>
      <c r="AC143" s="33" t="inlineStr">
        <is>
          <t>NO</t>
        </is>
      </c>
    </row>
    <row r="144">
      <c r="A144" s="30" t="n">
        <v>46123</v>
      </c>
      <c r="B144" s="31" t="inlineStr">
        <is>
          <t>2026-04-11vikingfkbodoglimt</t>
        </is>
      </c>
      <c r="C144" s="31" t="inlineStr">
        <is>
          <t>Viking fk vs Bodo/glimt</t>
        </is>
      </c>
      <c r="D144" s="31" t="inlineStr">
        <is>
          <t>Viking fk</t>
        </is>
      </c>
      <c r="E144" s="31" t="inlineStr">
        <is>
          <t>Bodo/glimt</t>
        </is>
      </c>
      <c r="F144" s="32" t="n">
        <v>3.5</v>
      </c>
      <c r="G144" s="32" t="n">
        <v>4.26</v>
      </c>
      <c r="H144" s="32" t="n">
        <v>1.88</v>
      </c>
      <c r="I144" s="32" t="n"/>
      <c r="J144" s="32" t="n"/>
      <c r="K144" s="33" t="inlineStr">
        <is>
          <t>Noruega</t>
        </is>
      </c>
      <c r="L144" s="34" t="n">
        <v>0.351381</v>
      </c>
      <c r="M144" s="34" t="n">
        <v>0.176757</v>
      </c>
      <c r="N144" s="34" t="n">
        <v>0.471862</v>
      </c>
      <c r="O144" s="34" t="n">
        <v>0.8992250126845134</v>
      </c>
      <c r="P144" s="34" t="n">
        <v>0.1007749873154866</v>
      </c>
      <c r="Q144" s="38" t="n"/>
      <c r="R144" s="38" t="n"/>
      <c r="S144" s="31">
        <f>IF(OR(Q144="",R144=""),"[APOSTAR] LOCAL",IF(Q144&gt;R144,"[GANADA] LOCAL","[PERDIDA] LOCAL"))</f>
        <v/>
      </c>
      <c r="T144" s="31" t="inlineStr">
        <is>
          <t>[PASAR] Sin Cuotas</t>
        </is>
      </c>
      <c r="U144" s="35" t="n">
        <v>2500</v>
      </c>
      <c r="V144" s="35" t="n">
        <v>0</v>
      </c>
      <c r="W144" s="31">
        <f>IF(L144="","",IF((MAX(L144,M144,N144)-MEDIAN(L144,M144,N144))&gt;0.05,IF(OR(Q144="",R144=""),"[PREDICCION] "&amp;IF(L144=MAX(L144,M144,N144),"LOCAL",IF(M144=MAX(L144,M144,N144),"EMPATE","VISITA")),IF(L144=MAX(L144,M144,N144),IF(Q144&gt;R144,"[ACIERTO]","[FALLO]"),IF(M144=MAX(L144,M144,N144),IF(Q144=R144,"[ACIERTO]","[FALLO]"),IF(Q144&lt;R144,"[ACIERTO]","[FALLO]")))),"[PASAR] Margen Insuf"))</f>
        <v/>
      </c>
      <c r="X144" s="35">
        <f>IFERROR(IF(U144=0,0,IF(ISNUMBER(SEARCH("[GANADA]",S144)),U144*(IF(ISNUMBER(SEARCH("LOCAL",S144)),F144,IF(ISNUMBER(SEARCH("EMPATE",S144)),G144,H144))-1),IF(ISNUMBER(SEARCH("[PERDIDA]",S144)),-U144,0))),0)+IFERROR(IF(V144=0,0,IF(ISNUMBER(SEARCH("[GANADA]",T144)),V144*(IF(ISNUMBER(SEARCH("OVER",T144)),I144,J144)-1),IF(ISNUMBER(SEARCH("[PERDIDA]",T144)),-V144,0))),0)</f>
        <v/>
      </c>
      <c r="Y144" s="35">
        <f>Y143+X144</f>
        <v/>
      </c>
      <c r="Z144" s="36">
        <f>IF(OR(Q144="",R144=""),"",(L144-IF(Q144&gt;R144,1,0))^2+(M144-IF(Q144=R144,1,0))^2+(N144-IF(Q144&lt;R144,1,0))^2)</f>
        <v/>
      </c>
      <c r="AA144" s="36">
        <f>IF(OR(Q144="",R144="",F144="",F144=0,G144="",G144=0,H144="",H144=0),"",((1/F144/(1/F144+1/G144+1/H144))-IF(Q144&gt;R144,1,0))^2+((1/G144/(1/F144+1/G144+1/H144))-IF(Q144=R144,1,0))^2+((1/H144/(1/F144+1/G144+1/H144))-IF(Q144&lt;R144,1,0))^2)</f>
        <v/>
      </c>
      <c r="AB144" s="37" t="n">
        <v>1.6059</v>
      </c>
      <c r="AC144" s="33" t="inlineStr">
        <is>
          <t>NO</t>
        </is>
      </c>
    </row>
    <row r="145">
      <c r="A145" s="30" t="n">
        <v>46123</v>
      </c>
      <c r="B145" s="31" t="inlineStr">
        <is>
          <t>2026-04-11vitoriasaopaulo</t>
        </is>
      </c>
      <c r="C145" s="31" t="inlineStr">
        <is>
          <t>Vitoria vs Sao Paulo</t>
        </is>
      </c>
      <c r="D145" s="31" t="inlineStr">
        <is>
          <t>Vitoria</t>
        </is>
      </c>
      <c r="E145" s="31" t="inlineStr">
        <is>
          <t>Sao Paulo</t>
        </is>
      </c>
      <c r="F145" s="32" t="n">
        <v>3.35</v>
      </c>
      <c r="G145" s="32" t="n">
        <v>3.07</v>
      </c>
      <c r="H145" s="32" t="n">
        <v>2.36</v>
      </c>
      <c r="I145" s="32" t="n"/>
      <c r="J145" s="32" t="n"/>
      <c r="K145" s="33" t="inlineStr">
        <is>
          <t>Brasil</t>
        </is>
      </c>
      <c r="L145" s="34" t="n">
        <v>0.451875</v>
      </c>
      <c r="M145" s="34" t="n">
        <v>0.192209</v>
      </c>
      <c r="N145" s="34" t="n">
        <v>0.355915</v>
      </c>
      <c r="O145" s="34" t="n">
        <v>0.8120694564556591</v>
      </c>
      <c r="P145" s="34" t="n">
        <v>0.1879305435443409</v>
      </c>
      <c r="Q145" s="38" t="n"/>
      <c r="R145" s="38" t="n"/>
      <c r="S145" s="31">
        <f>IF(OR(Q145="",R145=""),"[APOSTAR] LOCAL",IF(Q145&gt;R145,"[GANADA] LOCAL","[PERDIDA] LOCAL"))</f>
        <v/>
      </c>
      <c r="T145" s="31" t="inlineStr">
        <is>
          <t>[PASAR] Sin Cuotas</t>
        </is>
      </c>
      <c r="U145" s="35" t="n">
        <v>1020.62</v>
      </c>
      <c r="V145" s="35" t="n">
        <v>0</v>
      </c>
      <c r="W145" s="31">
        <f>IF(L145="","",IF((MAX(L145,M145,N145)-MEDIAN(L145,M145,N145))&gt;0.05,IF(OR(Q145="",R145=""),"[PREDICCION] "&amp;IF(L145=MAX(L145,M145,N145),"LOCAL",IF(M145=MAX(L145,M145,N145),"EMPATE","VISITA")),IF(L145=MAX(L145,M145,N145),IF(Q145&gt;R145,"[ACIERTO]","[FALLO]"),IF(M145=MAX(L145,M145,N145),IF(Q145=R145,"[ACIERTO]","[FALLO]"),IF(Q145&lt;R145,"[ACIERTO]","[FALLO]")))),"[PASAR] Margen Insuf"))</f>
        <v/>
      </c>
      <c r="X145" s="35">
        <f>IFERROR(IF(U145=0,0,IF(ISNUMBER(SEARCH("[GANADA]",S145)),U145*(IF(ISNUMBER(SEARCH("LOCAL",S145)),F145,IF(ISNUMBER(SEARCH("EMPATE",S145)),G145,H145))-1),IF(ISNUMBER(SEARCH("[PERDIDA]",S145)),-U145,0))),0)+IFERROR(IF(V145=0,0,IF(ISNUMBER(SEARCH("[GANADA]",T145)),V145*(IF(ISNUMBER(SEARCH("OVER",T145)),I145,J145)-1),IF(ISNUMBER(SEARCH("[PERDIDA]",T145)),-V145,0))),0)</f>
        <v/>
      </c>
      <c r="Y145" s="35">
        <f>Y144+X145</f>
        <v/>
      </c>
      <c r="Z145" s="36">
        <f>IF(OR(Q145="",R145=""),"",(L145-IF(Q145&gt;R145,1,0))^2+(M145-IF(Q145=R145,1,0))^2+(N145-IF(Q145&lt;R145,1,0))^2)</f>
        <v/>
      </c>
      <c r="AA145" s="36">
        <f>IF(OR(Q145="",R145="",F145="",F145=0,G145="",G145=0,H145="",H145=0),"",((1/F145/(1/F145+1/G145+1/H145))-IF(Q145&gt;R145,1,0))^2+((1/G145/(1/F145+1/G145+1/H145))-IF(Q145=R145,1,0))^2+((1/H145/(1/F145+1/G145+1/H145))-IF(Q145&lt;R145,1,0))^2)</f>
        <v/>
      </c>
      <c r="AB145" s="37" t="n">
        <v>1.3008</v>
      </c>
      <c r="AC145" s="33" t="inlineStr">
        <is>
          <t>NO</t>
        </is>
      </c>
    </row>
    <row r="146">
      <c r="A146" s="30" t="n">
        <v>46124</v>
      </c>
      <c r="B146" s="31" t="inlineStr">
        <is>
          <t>2026-04-12aalesundkfumoslo</t>
        </is>
      </c>
      <c r="C146" s="31" t="inlineStr">
        <is>
          <t>Aalesund vs Kfum Oslo</t>
        </is>
      </c>
      <c r="D146" s="31" t="inlineStr">
        <is>
          <t>Aalesund</t>
        </is>
      </c>
      <c r="E146" s="31" t="inlineStr">
        <is>
          <t>Kfum Oslo</t>
        </is>
      </c>
      <c r="F146" s="32" t="n">
        <v>2.64</v>
      </c>
      <c r="G146" s="32" t="n">
        <v>3.61</v>
      </c>
      <c r="H146" s="32" t="n">
        <v>2.55</v>
      </c>
      <c r="I146" s="32" t="n"/>
      <c r="J146" s="32" t="n"/>
      <c r="K146" s="33" t="inlineStr">
        <is>
          <t>Noruega</t>
        </is>
      </c>
      <c r="L146" s="34" t="n">
        <v>0.407755</v>
      </c>
      <c r="M146" s="34" t="n">
        <v>0.164441</v>
      </c>
      <c r="N146" s="34" t="n">
        <v>0.427804</v>
      </c>
      <c r="O146" s="34" t="n">
        <v>0.9197610406248048</v>
      </c>
      <c r="P146" s="34" t="n">
        <v>0.08023895937519526</v>
      </c>
      <c r="Q146" s="38" t="n"/>
      <c r="R146" s="38" t="n"/>
      <c r="S146" s="31" t="inlineStr">
        <is>
          <t>[PASAR] Margen Predictivo Insuficiente (&lt;5%)</t>
        </is>
      </c>
      <c r="T146" s="31" t="inlineStr">
        <is>
          <t>[PASAR] Sin Cuotas</t>
        </is>
      </c>
      <c r="U146" s="35" t="n">
        <v>0</v>
      </c>
      <c r="V146" s="35" t="n">
        <v>0</v>
      </c>
      <c r="W146" s="31">
        <f>IF(L146="","",IF((MAX(L146,M146,N146)-MEDIAN(L146,M146,N146))&gt;0.05,IF(OR(Q146="",R146=""),"[PREDICCION] "&amp;IF(L146=MAX(L146,M146,N146),"LOCAL",IF(M146=MAX(L146,M146,N146),"EMPATE","VISITA")),IF(L146=MAX(L146,M146,N146),IF(Q146&gt;R146,"[ACIERTO]","[FALLO]"),IF(M146=MAX(L146,M146,N146),IF(Q146=R146,"[ACIERTO]","[FALLO]"),IF(Q146&lt;R146,"[ACIERTO]","[FALLO]")))),"[PASAR] Margen Insuf"))</f>
        <v/>
      </c>
      <c r="X146" s="35">
        <f>IFERROR(IF(U146=0,0,IF(ISNUMBER(SEARCH("[GANADA]",S146)),U146*(IF(ISNUMBER(SEARCH("LOCAL",S146)),F146,IF(ISNUMBER(SEARCH("EMPATE",S146)),G146,H146))-1),IF(ISNUMBER(SEARCH("[PERDIDA]",S146)),-U146,0))),0)+IFERROR(IF(V146=0,0,IF(ISNUMBER(SEARCH("[GANADA]",T146)),V146*(IF(ISNUMBER(SEARCH("OVER",T146)),I146,J146)-1),IF(ISNUMBER(SEARCH("[PERDIDA]",T146)),-V146,0))),0)</f>
        <v/>
      </c>
      <c r="Y146" s="35">
        <f>Y145+X146</f>
        <v/>
      </c>
      <c r="Z146" s="36">
        <f>IF(OR(Q146="",R146=""),"",(L146-IF(Q146&gt;R146,1,0))^2+(M146-IF(Q146=R146,1,0))^2+(N146-IF(Q146&lt;R146,1,0))^2)</f>
        <v/>
      </c>
      <c r="AA146" s="36">
        <f>IF(OR(Q146="",R146="",F146="",F146=0,G146="",G146=0,H146="",H146=0),"",((1/F146/(1/F146+1/G146+1/H146))-IF(Q146&gt;R146,1,0))^2+((1/G146/(1/F146+1/G146+1/H146))-IF(Q146=R146,1,0))^2+((1/H146/(1/F146+1/G146+1/H146))-IF(Q146&lt;R146,1,0))^2)</f>
        <v/>
      </c>
      <c r="AB146" s="37" t="n">
        <v>1.3995</v>
      </c>
      <c r="AC146" s="33" t="inlineStr">
        <is>
          <t>NO</t>
        </is>
      </c>
    </row>
    <row r="147">
      <c r="A147" s="30" t="n">
        <v>46124</v>
      </c>
      <c r="B147" s="31" t="inlineStr">
        <is>
          <t>2026-04-12athleticoparanaensechapecoense</t>
        </is>
      </c>
      <c r="C147" s="31" t="inlineStr">
        <is>
          <t>Athletico Paranaense vs Chapecoense</t>
        </is>
      </c>
      <c r="D147" s="31" t="inlineStr">
        <is>
          <t>Athletico Paranaense</t>
        </is>
      </c>
      <c r="E147" s="31" t="inlineStr">
        <is>
          <t>Chapecoense</t>
        </is>
      </c>
      <c r="F147" s="32" t="n">
        <v>1.51</v>
      </c>
      <c r="G147" s="32" t="n">
        <v>4.22</v>
      </c>
      <c r="H147" s="32" t="n">
        <v>6.59</v>
      </c>
      <c r="I147" s="32" t="n">
        <v>1.89</v>
      </c>
      <c r="J147" s="32" t="n">
        <v>1.94</v>
      </c>
      <c r="K147" s="33" t="inlineStr">
        <is>
          <t>Brasil</t>
        </is>
      </c>
      <c r="L147" s="34" t="n">
        <v>0.464305</v>
      </c>
      <c r="M147" s="34" t="n">
        <v>0.176556</v>
      </c>
      <c r="N147" s="34" t="n">
        <v>0.359139</v>
      </c>
      <c r="O147" s="34" t="n">
        <v>0.8815683491777673</v>
      </c>
      <c r="P147" s="34" t="n">
        <v>0.1184316508222327</v>
      </c>
      <c r="Q147" s="38" t="n"/>
      <c r="R147" s="38" t="n"/>
      <c r="S147" s="31" t="inlineStr">
        <is>
          <t>[PASAR] Riesgo/Beneficio</t>
        </is>
      </c>
      <c r="T147" s="31">
        <f>IF(OR(Q147="",R147=""),"[APOSTAR] OVER 2.5",IF((Q147+R147)&gt;2.5,"[GANADA] OVER 2.5","[PERDIDA] OVER 2.5"))</f>
        <v/>
      </c>
      <c r="U147" s="35" t="n">
        <v>0</v>
      </c>
      <c r="V147" s="35" t="n">
        <v>1250</v>
      </c>
      <c r="W147" s="31">
        <f>IF(L147="","",IF((MAX(L147,M147,N147)-MEDIAN(L147,M147,N147))&gt;0.05,IF(OR(Q147="",R147=""),"[PREDICCION] "&amp;IF(L147=MAX(L147,M147,N147),"LOCAL",IF(M147=MAX(L147,M147,N147),"EMPATE","VISITA")),IF(L147=MAX(L147,M147,N147),IF(Q147&gt;R147,"[ACIERTO]","[FALLO]"),IF(M147=MAX(L147,M147,N147),IF(Q147=R147,"[ACIERTO]","[FALLO]"),IF(Q147&lt;R147,"[ACIERTO]","[FALLO]")))),"[PASAR] Margen Insuf"))</f>
        <v/>
      </c>
      <c r="X147" s="35">
        <f>IFERROR(IF(U147=0,0,IF(ISNUMBER(SEARCH("[GANADA]",S147)),U147*(IF(ISNUMBER(SEARCH("LOCAL",S147)),F147,IF(ISNUMBER(SEARCH("EMPATE",S147)),G147,H147))-1),IF(ISNUMBER(SEARCH("[PERDIDA]",S147)),-U147,0))),0)+IFERROR(IF(V147=0,0,IF(ISNUMBER(SEARCH("[GANADA]",T147)),V147*(IF(ISNUMBER(SEARCH("OVER",T147)),I147,J147)-1),IF(ISNUMBER(SEARCH("[PERDIDA]",T147)),-V147,0))),0)</f>
        <v/>
      </c>
      <c r="Y147" s="35">
        <f>Y146+X147</f>
        <v/>
      </c>
      <c r="Z147" s="36">
        <f>IF(OR(Q147="",R147=""),"",(L147-IF(Q147&gt;R147,1,0))^2+(M147-IF(Q147=R147,1,0))^2+(N147-IF(Q147&lt;R147,1,0))^2)</f>
        <v/>
      </c>
      <c r="AA147" s="36">
        <f>IF(OR(Q147="",R147="",F147="",F147=0,G147="",G147=0,H147="",H147=0),"",((1/F147/(1/F147+1/G147+1/H147))-IF(Q147&gt;R147,1,0))^2+((1/G147/(1/F147+1/G147+1/H147))-IF(Q147=R147,1,0))^2+((1/H147/(1/F147+1/G147+1/H147))-IF(Q147&lt;R147,1,0))^2)</f>
        <v/>
      </c>
      <c r="AB147" s="37" t="n">
        <v>1.2345</v>
      </c>
      <c r="AC147" s="33" t="inlineStr">
        <is>
          <t>NO</t>
        </is>
      </c>
    </row>
    <row r="148">
      <c r="A148" s="30" t="n">
        <v>46124</v>
      </c>
      <c r="B148" s="31" t="inlineStr">
        <is>
          <t>2026-04-12atleticotucumantigre</t>
        </is>
      </c>
      <c r="C148" s="31" t="inlineStr">
        <is>
          <t>Atletico Tucuman vs Tigre</t>
        </is>
      </c>
      <c r="D148" s="31" t="inlineStr">
        <is>
          <t>Atletico Tucuman</t>
        </is>
      </c>
      <c r="E148" s="31" t="inlineStr">
        <is>
          <t>Tigre</t>
        </is>
      </c>
      <c r="F148" s="32" t="n">
        <v>2.67</v>
      </c>
      <c r="G148" s="32" t="n">
        <v>2.94</v>
      </c>
      <c r="H148" s="32" t="n">
        <v>2.99</v>
      </c>
      <c r="I148" s="32" t="n"/>
      <c r="J148" s="32" t="n"/>
      <c r="K148" s="33" t="inlineStr">
        <is>
          <t>Argentina</t>
        </is>
      </c>
      <c r="L148" s="34" t="n">
        <v>0.3965508494414146</v>
      </c>
      <c r="M148" s="34" t="n">
        <v>0.2371111419878301</v>
      </c>
      <c r="N148" s="34" t="n">
        <v>0.3663380085707554</v>
      </c>
      <c r="O148" s="34" t="n">
        <v>0.6757078738015532</v>
      </c>
      <c r="P148" s="34" t="n">
        <v>0.3242921261984468</v>
      </c>
      <c r="Q148" s="38" t="n"/>
      <c r="R148" s="38" t="n"/>
      <c r="S148" s="31" t="inlineStr">
        <is>
          <t>[PASAR] EV Insuf (0.059&lt;0.120)</t>
        </is>
      </c>
      <c r="T148" s="31" t="inlineStr">
        <is>
          <t>[PASAR] Sin Cuotas</t>
        </is>
      </c>
      <c r="U148" s="35" t="n">
        <v>0</v>
      </c>
      <c r="V148" s="35" t="n">
        <v>0</v>
      </c>
      <c r="W148" s="31">
        <f>IF(L148="","",IF((MAX(L148,M148,N148)-MEDIAN(L148,M148,N148))&gt;0.05,IF(OR(Q148="",R148=""),"[PREDICCION] "&amp;IF(L148=MAX(L148,M148,N148),"LOCAL",IF(M148=MAX(L148,M148,N148),"EMPATE","VISITA")),IF(L148=MAX(L148,M148,N148),IF(Q148&gt;R148,"[ACIERTO]","[FALLO]"),IF(M148=MAX(L148,M148,N148),IF(Q148=R148,"[ACIERTO]","[FALLO]"),IF(Q148&lt;R148,"[ACIERTO]","[FALLO]")))),"[PASAR] Margen Insuf"))</f>
        <v/>
      </c>
      <c r="X148" s="35">
        <f>IFERROR(IF(U148=0,0,IF(ISNUMBER(SEARCH("[GANADA]",S148)),U148*(IF(ISNUMBER(SEARCH("LOCAL",S148)),F148,IF(ISNUMBER(SEARCH("EMPATE",S148)),G148,H148))-1),IF(ISNUMBER(SEARCH("[PERDIDA]",S148)),-U148,0))),0)+IFERROR(IF(V148=0,0,IF(ISNUMBER(SEARCH("[GANADA]",T148)),V148*(IF(ISNUMBER(SEARCH("OVER",T148)),I148,J148)-1),IF(ISNUMBER(SEARCH("[PERDIDA]",T148)),-V148,0))),0)</f>
        <v/>
      </c>
      <c r="Y148" s="35">
        <f>Y147+X148</f>
        <v/>
      </c>
      <c r="Z148" s="36">
        <f>IF(OR(Q148="",R148=""),"",(L148-IF(Q148&gt;R148,1,0))^2+(M148-IF(Q148=R148,1,0))^2+(N148-IF(Q148&lt;R148,1,0))^2)</f>
        <v/>
      </c>
      <c r="AA148" s="36">
        <f>IF(OR(Q148="",R148="",F148="",F148=0,G148="",G148=0,H148="",H148=0),"",((1/F148/(1/F148+1/G148+1/H148))-IF(Q148&gt;R148,1,0))^2+((1/G148/(1/F148+1/G148+1/H148))-IF(Q148=R148,1,0))^2+((1/H148/(1/F148+1/G148+1/H148))-IF(Q148&lt;R148,1,0))^2)</f>
        <v/>
      </c>
      <c r="AB148" s="37" t="n">
        <v>0.958</v>
      </c>
      <c r="AC148" s="33" t="inlineStr">
        <is>
          <t>NO</t>
        </is>
      </c>
    </row>
    <row r="149">
      <c r="A149" s="30" t="n">
        <v>46124</v>
      </c>
      <c r="B149" s="31" t="inlineStr">
        <is>
          <t>2026-04-12botafogocoritiba</t>
        </is>
      </c>
      <c r="C149" s="31" t="inlineStr">
        <is>
          <t>Botafogo vs Coritiba</t>
        </is>
      </c>
      <c r="D149" s="31" t="inlineStr">
        <is>
          <t>Botafogo</t>
        </is>
      </c>
      <c r="E149" s="31" t="inlineStr">
        <is>
          <t>Coritiba</t>
        </is>
      </c>
      <c r="F149" s="32" t="n">
        <v>1.77</v>
      </c>
      <c r="G149" s="32" t="n">
        <v>3.65</v>
      </c>
      <c r="H149" s="32" t="n">
        <v>4.72</v>
      </c>
      <c r="I149" s="32" t="n"/>
      <c r="J149" s="32" t="n"/>
      <c r="K149" s="33" t="inlineStr">
        <is>
          <t>Brasil</t>
        </is>
      </c>
      <c r="L149" s="34" t="n">
        <v>0.441981</v>
      </c>
      <c r="M149" s="34" t="n">
        <v>0.182834</v>
      </c>
      <c r="N149" s="34" t="n">
        <v>0.375185</v>
      </c>
      <c r="O149" s="34" t="n">
        <v>0.8569284695318948</v>
      </c>
      <c r="P149" s="34" t="n">
        <v>0.1430715304681051</v>
      </c>
      <c r="Q149" s="38" t="n"/>
      <c r="R149" s="38" t="n"/>
      <c r="S149" s="31">
        <f>IF(OR(Q149="",R149=""),"[APOSTAR] VISITA",IF(Q149&lt;R149,"[GANADA] VISITA","[PERDIDA] VISITA"))</f>
        <v/>
      </c>
      <c r="T149" s="31" t="inlineStr">
        <is>
          <t>[PASAR] Sin Cuotas</t>
        </is>
      </c>
      <c r="U149" s="35" t="n">
        <v>1250</v>
      </c>
      <c r="V149" s="35" t="n">
        <v>0</v>
      </c>
      <c r="W149" s="31">
        <f>IF(L149="","",IF((MAX(L149,M149,N149)-MEDIAN(L149,M149,N149))&gt;0.05,IF(OR(Q149="",R149=""),"[PREDICCION] "&amp;IF(L149=MAX(L149,M149,N149),"LOCAL",IF(M149=MAX(L149,M149,N149),"EMPATE","VISITA")),IF(L149=MAX(L149,M149,N149),IF(Q149&gt;R149,"[ACIERTO]","[FALLO]"),IF(M149=MAX(L149,M149,N149),IF(Q149=R149,"[ACIERTO]","[FALLO]"),IF(Q149&lt;R149,"[ACIERTO]","[FALLO]")))),"[PASAR] Margen Insuf"))</f>
        <v/>
      </c>
      <c r="X149" s="35">
        <f>IFERROR(IF(U149=0,0,IF(ISNUMBER(SEARCH("[GANADA]",S149)),U149*(IF(ISNUMBER(SEARCH("LOCAL",S149)),F149,IF(ISNUMBER(SEARCH("EMPATE",S149)),G149,H149))-1),IF(ISNUMBER(SEARCH("[PERDIDA]",S149)),-U149,0))),0)+IFERROR(IF(V149=0,0,IF(ISNUMBER(SEARCH("[GANADA]",T149)),V149*(IF(ISNUMBER(SEARCH("OVER",T149)),I149,J149)-1),IF(ISNUMBER(SEARCH("[PERDIDA]",T149)),-V149,0))),0)</f>
        <v/>
      </c>
      <c r="Y149" s="35">
        <f>Y148+X149</f>
        <v/>
      </c>
      <c r="Z149" s="36">
        <f>IF(OR(Q149="",R149=""),"",(L149-IF(Q149&gt;R149,1,0))^2+(M149-IF(Q149=R149,1,0))^2+(N149-IF(Q149&lt;R149,1,0))^2)</f>
        <v/>
      </c>
      <c r="AA149" s="36">
        <f>IF(OR(Q149="",R149="",F149="",F149=0,G149="",G149=0,H149="",H149=0),"",((1/F149/(1/F149+1/G149+1/H149))-IF(Q149&gt;R149,1,0))^2+((1/G149/(1/F149+1/G149+1/H149))-IF(Q149=R149,1,0))^2+((1/H149/(1/F149+1/G149+1/H149))-IF(Q149&lt;R149,1,0))^2)</f>
        <v/>
      </c>
      <c r="AB149" s="37" t="n">
        <v>1.1562</v>
      </c>
      <c r="AC149" s="33" t="inlineStr">
        <is>
          <t>NO</t>
        </is>
      </c>
    </row>
    <row r="150">
      <c r="A150" s="30" t="n">
        <v>46124</v>
      </c>
      <c r="B150" s="31" t="inlineStr">
        <is>
          <t>2026-04-12chelseamanchestercity</t>
        </is>
      </c>
      <c r="C150" s="31" t="inlineStr">
        <is>
          <t>Chelsea vs Manchester City</t>
        </is>
      </c>
      <c r="D150" s="31" t="inlineStr">
        <is>
          <t>Chelsea</t>
        </is>
      </c>
      <c r="E150" s="31" t="inlineStr">
        <is>
          <t>Manchester City</t>
        </is>
      </c>
      <c r="F150" s="32" t="n">
        <v>3.09</v>
      </c>
      <c r="G150" s="32" t="n">
        <v>3.97</v>
      </c>
      <c r="H150" s="32" t="n">
        <v>2.18</v>
      </c>
      <c r="I150" s="32" t="n"/>
      <c r="J150" s="32" t="n"/>
      <c r="K150" s="33" t="inlineStr">
        <is>
          <t>Inglaterra</t>
        </is>
      </c>
      <c r="L150" s="34" t="n">
        <v>0.371549</v>
      </c>
      <c r="M150" s="34" t="n">
        <v>0.179908</v>
      </c>
      <c r="N150" s="34" t="n">
        <v>0.448543</v>
      </c>
      <c r="O150" s="34" t="n">
        <v>0.8692174436264934</v>
      </c>
      <c r="P150" s="34" t="n">
        <v>0.1307825563735065</v>
      </c>
      <c r="Q150" s="38" t="n"/>
      <c r="R150" s="38" t="n"/>
      <c r="S150" s="31">
        <f>IF(OR(Q150="",R150=""),"[APOSTAR] LOCAL",IF(Q150&gt;R150,"[GANADA] LOCAL","[PERDIDA] LOCAL"))</f>
        <v/>
      </c>
      <c r="T150" s="31" t="inlineStr">
        <is>
          <t>[PASAR] Sin Cuotas</t>
        </is>
      </c>
      <c r="U150" s="35" t="n">
        <v>1250</v>
      </c>
      <c r="V150" s="35" t="n">
        <v>0</v>
      </c>
      <c r="W150" s="31">
        <f>IF(L150="","",IF((MAX(L150,M150,N150)-MEDIAN(L150,M150,N150))&gt;0.05,IF(OR(Q150="",R150=""),"[PREDICCION] "&amp;IF(L150=MAX(L150,M150,N150),"LOCAL",IF(M150=MAX(L150,M150,N150),"EMPATE","VISITA")),IF(L150=MAX(L150,M150,N150),IF(Q150&gt;R150,"[ACIERTO]","[FALLO]"),IF(M150=MAX(L150,M150,N150),IF(Q150=R150,"[ACIERTO]","[FALLO]"),IF(Q150&lt;R150,"[ACIERTO]","[FALLO]")))),"[PASAR] Margen Insuf"))</f>
        <v/>
      </c>
      <c r="X150" s="35">
        <f>IFERROR(IF(U150=0,0,IF(ISNUMBER(SEARCH("[GANADA]",S150)),U150*(IF(ISNUMBER(SEARCH("LOCAL",S150)),F150,IF(ISNUMBER(SEARCH("EMPATE",S150)),G150,H150))-1),IF(ISNUMBER(SEARCH("[PERDIDA]",S150)),-U150,0))),0)+IFERROR(IF(V150=0,0,IF(ISNUMBER(SEARCH("[GANADA]",T150)),V150*(IF(ISNUMBER(SEARCH("OVER",T150)),I150,J150)-1),IF(ISNUMBER(SEARCH("[PERDIDA]",T150)),-V150,0))),0)</f>
        <v/>
      </c>
      <c r="Y150" s="35">
        <f>Y149+X150</f>
        <v/>
      </c>
      <c r="Z150" s="36">
        <f>IF(OR(Q150="",R150=""),"",(L150-IF(Q150&gt;R150,1,0))^2+(M150-IF(Q150=R150,1,0))^2+(N150-IF(Q150&lt;R150,1,0))^2)</f>
        <v/>
      </c>
      <c r="AA150" s="36">
        <f>IF(OR(Q150="",R150="",F150="",F150=0,G150="",G150=0,H150="",H150=0),"",((1/F150/(1/F150+1/G150+1/H150))-IF(Q150&gt;R150,1,0))^2+((1/G150/(1/F150+1/G150+1/H150))-IF(Q150=R150,1,0))^2+((1/H150/(1/F150+1/G150+1/H150))-IF(Q150&lt;R150,1,0))^2)</f>
        <v/>
      </c>
      <c r="AB150" s="37" t="n">
        <v>1.3041</v>
      </c>
      <c r="AC150" s="33" t="inlineStr">
        <is>
          <t>NO</t>
        </is>
      </c>
    </row>
    <row r="151">
      <c r="A151" s="30" t="n">
        <v>46124</v>
      </c>
      <c r="B151" s="31" t="inlineStr">
        <is>
          <t>2026-04-12corinthianspalmeiras</t>
        </is>
      </c>
      <c r="C151" s="31" t="inlineStr">
        <is>
          <t>Corinthians vs Palmeiras</t>
        </is>
      </c>
      <c r="D151" s="31" t="inlineStr">
        <is>
          <t>Corinthians</t>
        </is>
      </c>
      <c r="E151" s="31" t="inlineStr">
        <is>
          <t>Palmeiras</t>
        </is>
      </c>
      <c r="F151" s="32" t="n">
        <v>2.98</v>
      </c>
      <c r="G151" s="32" t="n">
        <v>3.22</v>
      </c>
      <c r="H151" s="32" t="n">
        <v>2.49</v>
      </c>
      <c r="I151" s="32" t="n"/>
      <c r="J151" s="32" t="n"/>
      <c r="K151" s="33" t="inlineStr">
        <is>
          <t>Brasil</t>
        </is>
      </c>
      <c r="L151" s="34" t="n">
        <v>0.36412</v>
      </c>
      <c r="M151" s="34" t="n">
        <v>0.193823</v>
      </c>
      <c r="N151" s="34" t="n">
        <v>0.442057</v>
      </c>
      <c r="O151" s="34" t="n">
        <v>0.8055400750928456</v>
      </c>
      <c r="P151" s="34" t="n">
        <v>0.1944599249071544</v>
      </c>
      <c r="Q151" s="38" t="n"/>
      <c r="R151" s="38" t="n"/>
      <c r="S151" s="31">
        <f>IF(OR(Q151="",R151=""),"[APOSTAR] VISITA",IF(Q151&lt;R151,"[GANADA] VISITA","[PERDIDA] VISITA"))</f>
        <v/>
      </c>
      <c r="T151" s="31" t="inlineStr">
        <is>
          <t>[PASAR] Sin Cuotas</t>
        </is>
      </c>
      <c r="U151" s="35" t="n">
        <v>1250</v>
      </c>
      <c r="V151" s="35" t="n">
        <v>0</v>
      </c>
      <c r="W151" s="31">
        <f>IF(L151="","",IF((MAX(L151,M151,N151)-MEDIAN(L151,M151,N151))&gt;0.05,IF(OR(Q151="",R151=""),"[PREDICCION] "&amp;IF(L151=MAX(L151,M151,N151),"LOCAL",IF(M151=MAX(L151,M151,N151),"EMPATE","VISITA")),IF(L151=MAX(L151,M151,N151),IF(Q151&gt;R151,"[ACIERTO]","[FALLO]"),IF(M151=MAX(L151,M151,N151),IF(Q151=R151,"[ACIERTO]","[FALLO]"),IF(Q151&lt;R151,"[ACIERTO]","[FALLO]")))),"[PASAR] Margen Insuf"))</f>
        <v/>
      </c>
      <c r="X151" s="35">
        <f>IFERROR(IF(U151=0,0,IF(ISNUMBER(SEARCH("[GANADA]",S151)),U151*(IF(ISNUMBER(SEARCH("LOCAL",S151)),F151,IF(ISNUMBER(SEARCH("EMPATE",S151)),G151,H151))-1),IF(ISNUMBER(SEARCH("[PERDIDA]",S151)),-U151,0))),0)+IFERROR(IF(V151=0,0,IF(ISNUMBER(SEARCH("[GANADA]",T151)),V151*(IF(ISNUMBER(SEARCH("OVER",T151)),I151,J151)-1),IF(ISNUMBER(SEARCH("[PERDIDA]",T151)),-V151,0))),0)</f>
        <v/>
      </c>
      <c r="Y151" s="35">
        <f>Y150+X151</f>
        <v/>
      </c>
      <c r="Z151" s="36">
        <f>IF(OR(Q151="",R151=""),"",(L151-IF(Q151&gt;R151,1,0))^2+(M151-IF(Q151=R151,1,0))^2+(N151-IF(Q151&lt;R151,1,0))^2)</f>
        <v/>
      </c>
      <c r="AA151" s="36">
        <f>IF(OR(Q151="",R151="",F151="",F151=0,G151="",G151=0,H151="",H151=0),"",((1/F151/(1/F151+1/G151+1/H151))-IF(Q151&gt;R151,1,0))^2+((1/G151/(1/F151+1/G151+1/H151))-IF(Q151=R151,1,0))^2+((1/H151/(1/F151+1/G151+1/H151))-IF(Q151&lt;R151,1,0))^2)</f>
        <v/>
      </c>
      <c r="AB151" s="37" t="n">
        <v>1.2647</v>
      </c>
      <c r="AC151" s="33" t="inlineStr">
        <is>
          <t>NO</t>
        </is>
      </c>
    </row>
    <row r="152">
      <c r="A152" s="30" t="n">
        <v>46124</v>
      </c>
      <c r="B152" s="31" t="inlineStr">
        <is>
          <t>2026-04-12cruzeiroredbullbragantino</t>
        </is>
      </c>
      <c r="C152" s="31" t="inlineStr">
        <is>
          <t>Cruzeiro vs Red Bull Bragantino</t>
        </is>
      </c>
      <c r="D152" s="31" t="inlineStr">
        <is>
          <t>Cruzeiro</t>
        </is>
      </c>
      <c r="E152" s="31" t="inlineStr">
        <is>
          <t>Red Bull Bragantino</t>
        </is>
      </c>
      <c r="F152" s="32" t="n">
        <v>1.85</v>
      </c>
      <c r="G152" s="32" t="n">
        <v>3.52</v>
      </c>
      <c r="H152" s="32" t="n">
        <v>4.38</v>
      </c>
      <c r="I152" s="32" t="n"/>
      <c r="J152" s="32" t="n"/>
      <c r="K152" s="33" t="inlineStr">
        <is>
          <t>Brasil</t>
        </is>
      </c>
      <c r="L152" s="34" t="n">
        <v>0.45575</v>
      </c>
      <c r="M152" s="34" t="n">
        <v>0.189643</v>
      </c>
      <c r="N152" s="34" t="n">
        <v>0.354608</v>
      </c>
      <c r="O152" s="34" t="n">
        <v>0.8238327445501378</v>
      </c>
      <c r="P152" s="34" t="n">
        <v>0.1761672554498623</v>
      </c>
      <c r="Q152" s="38" t="n"/>
      <c r="R152" s="38" t="n"/>
      <c r="S152" s="31">
        <f>IF(OR(Q152="",R152=""),"[APOSTAR] VISITA",IF(Q152&lt;R152,"[GANADA] VISITA","[PERDIDA] VISITA"))</f>
        <v/>
      </c>
      <c r="T152" s="31" t="inlineStr">
        <is>
          <t>[PASAR] Sin Cuotas</t>
        </is>
      </c>
      <c r="U152" s="35" t="n">
        <v>1250</v>
      </c>
      <c r="V152" s="35" t="n">
        <v>0</v>
      </c>
      <c r="W152" s="31">
        <f>IF(L152="","",IF((MAX(L152,M152,N152)-MEDIAN(L152,M152,N152))&gt;0.05,IF(OR(Q152="",R152=""),"[PREDICCION] "&amp;IF(L152=MAX(L152,M152,N152),"LOCAL",IF(M152=MAX(L152,M152,N152),"EMPATE","VISITA")),IF(L152=MAX(L152,M152,N152),IF(Q152&gt;R152,"[ACIERTO]","[FALLO]"),IF(M152=MAX(L152,M152,N152),IF(Q152=R152,"[ACIERTO]","[FALLO]"),IF(Q152&lt;R152,"[ACIERTO]","[FALLO]")))),"[PASAR] Margen Insuf"))</f>
        <v/>
      </c>
      <c r="X152" s="35">
        <f>IFERROR(IF(U152=0,0,IF(ISNUMBER(SEARCH("[GANADA]",S152)),U152*(IF(ISNUMBER(SEARCH("LOCAL",S152)),F152,IF(ISNUMBER(SEARCH("EMPATE",S152)),G152,H152))-1),IF(ISNUMBER(SEARCH("[PERDIDA]",S152)),-U152,0))),0)+IFERROR(IF(V152=0,0,IF(ISNUMBER(SEARCH("[GANADA]",T152)),V152*(IF(ISNUMBER(SEARCH("OVER",T152)),I152,J152)-1),IF(ISNUMBER(SEARCH("[PERDIDA]",T152)),-V152,0))),0)</f>
        <v/>
      </c>
      <c r="Y152" s="35">
        <f>Y151+X152</f>
        <v/>
      </c>
      <c r="Z152" s="36">
        <f>IF(OR(Q152="",R152=""),"",(L152-IF(Q152&gt;R152,1,0))^2+(M152-IF(Q152=R152,1,0))^2+(N152-IF(Q152&lt;R152,1,0))^2)</f>
        <v/>
      </c>
      <c r="AA152" s="36">
        <f>IF(OR(Q152="",R152="",F152="",F152=0,G152="",G152=0,H152="",H152=0),"",((1/F152/(1/F152+1/G152+1/H152))-IF(Q152&gt;R152,1,0))^2+((1/G152/(1/F152+1/G152+1/H152))-IF(Q152=R152,1,0))^2+((1/H152/(1/F152+1/G152+1/H152))-IF(Q152&lt;R152,1,0))^2)</f>
        <v/>
      </c>
      <c r="AB152" s="37" t="n">
        <v>1.319</v>
      </c>
      <c r="AC152" s="33" t="inlineStr">
        <is>
          <t>NO</t>
        </is>
      </c>
    </row>
    <row r="153">
      <c r="A153" s="30" t="n">
        <v>46124</v>
      </c>
      <c r="B153" s="31" t="inlineStr">
        <is>
          <t>2026-04-12crystalpalacenewcastleunited</t>
        </is>
      </c>
      <c r="C153" s="31" t="inlineStr">
        <is>
          <t>Crystal Palace vs Newcastle United</t>
        </is>
      </c>
      <c r="D153" s="31" t="inlineStr">
        <is>
          <t>Crystal Palace</t>
        </is>
      </c>
      <c r="E153" s="31" t="inlineStr">
        <is>
          <t>Newcastle United</t>
        </is>
      </c>
      <c r="F153" s="32" t="n">
        <v>3.16</v>
      </c>
      <c r="G153" s="32" t="n">
        <v>3.63</v>
      </c>
      <c r="H153" s="32" t="n">
        <v>2.27</v>
      </c>
      <c r="I153" s="32" t="n"/>
      <c r="J153" s="32" t="n"/>
      <c r="K153" s="33" t="inlineStr">
        <is>
          <t>Inglaterra</t>
        </is>
      </c>
      <c r="L153" s="34" t="n">
        <v>0.376495</v>
      </c>
      <c r="M153" s="34" t="n">
        <v>0.180802</v>
      </c>
      <c r="N153" s="34" t="n">
        <v>0.442703</v>
      </c>
      <c r="O153" s="34" t="n">
        <v>0.8657991460674097</v>
      </c>
      <c r="P153" s="34" t="n">
        <v>0.1342008539325902</v>
      </c>
      <c r="Q153" s="38" t="n"/>
      <c r="R153" s="38" t="n"/>
      <c r="S153" s="31">
        <f>IF(OR(Q153="",R153=""),"[APOSTAR] LOCAL",IF(Q153&gt;R153,"[GANADA] LOCAL","[PERDIDA] LOCAL"))</f>
        <v/>
      </c>
      <c r="T153" s="31" t="inlineStr">
        <is>
          <t>[PASAR] Sin Cuotas</t>
        </is>
      </c>
      <c r="U153" s="35" t="n">
        <v>1250</v>
      </c>
      <c r="V153" s="35" t="n">
        <v>0</v>
      </c>
      <c r="W153" s="31">
        <f>IF(L153="","",IF((MAX(L153,M153,N153)-MEDIAN(L153,M153,N153))&gt;0.05,IF(OR(Q153="",R153=""),"[PREDICCION] "&amp;IF(L153=MAX(L153,M153,N153),"LOCAL",IF(M153=MAX(L153,M153,N153),"EMPATE","VISITA")),IF(L153=MAX(L153,M153,N153),IF(Q153&gt;R153,"[ACIERTO]","[FALLO]"),IF(M153=MAX(L153,M153,N153),IF(Q153=R153,"[ACIERTO]","[FALLO]"),IF(Q153&lt;R153,"[ACIERTO]","[FALLO]")))),"[PASAR] Margen Insuf"))</f>
        <v/>
      </c>
      <c r="X153" s="35">
        <f>IFERROR(IF(U153=0,0,IF(ISNUMBER(SEARCH("[GANADA]",S153)),U153*(IF(ISNUMBER(SEARCH("LOCAL",S153)),F153,IF(ISNUMBER(SEARCH("EMPATE",S153)),G153,H153))-1),IF(ISNUMBER(SEARCH("[PERDIDA]",S153)),-U153,0))),0)+IFERROR(IF(V153=0,0,IF(ISNUMBER(SEARCH("[GANADA]",T153)),V153*(IF(ISNUMBER(SEARCH("OVER",T153)),I153,J153)-1),IF(ISNUMBER(SEARCH("[PERDIDA]",T153)),-V153,0))),0)</f>
        <v/>
      </c>
      <c r="Y153" s="35">
        <f>Y152+X153</f>
        <v/>
      </c>
      <c r="Z153" s="36">
        <f>IF(OR(Q153="",R153=""),"",(L153-IF(Q153&gt;R153,1,0))^2+(M153-IF(Q153=R153,1,0))^2+(N153-IF(Q153&lt;R153,1,0))^2)</f>
        <v/>
      </c>
      <c r="AA153" s="36">
        <f>IF(OR(Q153="",R153="",F153="",F153=0,G153="",G153=0,H153="",H153=0),"",((1/F153/(1/F153+1/G153+1/H153))-IF(Q153&gt;R153,1,0))^2+((1/G153/(1/F153+1/G153+1/H153))-IF(Q153=R153,1,0))^2+((1/H153/(1/F153+1/G153+1/H153))-IF(Q153&lt;R153,1,0))^2)</f>
        <v/>
      </c>
      <c r="AB153" s="37" t="n">
        <v>1.4124</v>
      </c>
      <c r="AC153" s="33" t="inlineStr">
        <is>
          <t>NO</t>
        </is>
      </c>
    </row>
    <row r="154">
      <c r="A154" s="30" t="n">
        <v>46123</v>
      </c>
      <c r="B154" s="31" t="inlineStr">
        <is>
          <t>2026-04-12estudiantesderiocuartobarracascentral</t>
        </is>
      </c>
      <c r="C154" s="31" t="inlineStr">
        <is>
          <t>Estudiantes de Rio Cuarto vs Barracas Central</t>
        </is>
      </c>
      <c r="D154" s="31" t="inlineStr">
        <is>
          <t>Estudiantes de Rio Cuarto</t>
        </is>
      </c>
      <c r="E154" s="31" t="inlineStr">
        <is>
          <t>Barracas Central</t>
        </is>
      </c>
      <c r="F154" s="32" t="n">
        <v>2.45</v>
      </c>
      <c r="G154" s="32" t="n">
        <v>2.81</v>
      </c>
      <c r="H154" s="32" t="n">
        <v>3.5</v>
      </c>
      <c r="I154" s="32" t="n"/>
      <c r="J154" s="32" t="n"/>
      <c r="K154" s="33" t="inlineStr">
        <is>
          <t>Argentina</t>
        </is>
      </c>
      <c r="L154" s="34" t="n">
        <v>0.3943900717579275</v>
      </c>
      <c r="M154" s="34" t="n">
        <v>0.2329158896141687</v>
      </c>
      <c r="N154" s="34" t="n">
        <v>0.3726940386279037</v>
      </c>
      <c r="O154" s="34" t="n">
        <v>0.6948441594527209</v>
      </c>
      <c r="P154" s="34" t="n">
        <v>0.3051558405472792</v>
      </c>
      <c r="Q154" s="38" t="n"/>
      <c r="R154" s="38" t="n"/>
      <c r="S154" s="31" t="inlineStr">
        <is>
          <t>[PASAR] Margen Predictivo Insuficiente (&lt;5%)</t>
        </is>
      </c>
      <c r="T154" s="31" t="inlineStr">
        <is>
          <t>[PASAR] Sin Cuotas</t>
        </is>
      </c>
      <c r="U154" s="35" t="n">
        <v>0</v>
      </c>
      <c r="V154" s="35" t="n">
        <v>0</v>
      </c>
      <c r="W154" s="31">
        <f>IF(L154="","",IF((MAX(L154,M154,N154)-MEDIAN(L154,M154,N154))&gt;0.05,IF(OR(Q154="",R154=""),"[PREDICCION] "&amp;IF(L154=MAX(L154,M154,N154),"LOCAL",IF(M154=MAX(L154,M154,N154),"EMPATE","VISITA")),IF(L154=MAX(L154,M154,N154),IF(Q154&gt;R154,"[ACIERTO]","[FALLO]"),IF(M154=MAX(L154,M154,N154),IF(Q154=R154,"[ACIERTO]","[FALLO]"),IF(Q154&lt;R154,"[ACIERTO]","[FALLO]")))),"[PASAR] Margen Insuf"))</f>
        <v/>
      </c>
      <c r="X154" s="35">
        <f>IFERROR(IF(U154=0,0,IF(ISNUMBER(SEARCH("[GANADA]",S154)),U154*(IF(ISNUMBER(SEARCH("LOCAL",S154)),F154,IF(ISNUMBER(SEARCH("EMPATE",S154)),G154,H154))-1),IF(ISNUMBER(SEARCH("[PERDIDA]",S154)),-U154,0))),0)+IFERROR(IF(V154=0,0,IF(ISNUMBER(SEARCH("[GANADA]",T154)),V154*(IF(ISNUMBER(SEARCH("OVER",T154)),I154,J154)-1),IF(ISNUMBER(SEARCH("[PERDIDA]",T154)),-V154,0))),0)</f>
        <v/>
      </c>
      <c r="Y154" s="35">
        <f>Y153+X154</f>
        <v/>
      </c>
      <c r="Z154" s="36">
        <f>IF(OR(Q154="",R154=""),"",(L154-IF(Q154&gt;R154,1,0))^2+(M154-IF(Q154=R154,1,0))^2+(N154-IF(Q154&lt;R154,1,0))^2)</f>
        <v/>
      </c>
      <c r="AA154" s="36">
        <f>IF(OR(Q154="",R154="",F154="",F154=0,G154="",G154=0,H154="",H154=0),"",((1/F154/(1/F154+1/G154+1/H154))-IF(Q154&gt;R154,1,0))^2+((1/G154/(1/F154+1/G154+1/H154))-IF(Q154=R154,1,0))^2+((1/H154/(1/F154+1/G154+1/H154))-IF(Q154&lt;R154,1,0))^2)</f>
        <v/>
      </c>
      <c r="AB154" s="37" t="n">
        <v>0.9323</v>
      </c>
      <c r="AC154" s="33" t="inlineStr">
        <is>
          <t>NO</t>
        </is>
      </c>
    </row>
    <row r="155">
      <c r="A155" s="30" t="n">
        <v>46124</v>
      </c>
      <c r="B155" s="31" t="inlineStr">
        <is>
          <t>2026-04-12fredrikstadvalerenga</t>
        </is>
      </c>
      <c r="C155" s="31" t="inlineStr">
        <is>
          <t>Fredrikstad vs Valerenga</t>
        </is>
      </c>
      <c r="D155" s="31" t="inlineStr">
        <is>
          <t>Fredrikstad</t>
        </is>
      </c>
      <c r="E155" s="31" t="inlineStr">
        <is>
          <t>Valerenga</t>
        </is>
      </c>
      <c r="F155" s="32" t="n">
        <v>2.42</v>
      </c>
      <c r="G155" s="32" t="n">
        <v>3.57</v>
      </c>
      <c r="H155" s="32" t="n">
        <v>2.82</v>
      </c>
      <c r="I155" s="32" t="n"/>
      <c r="J155" s="32" t="n"/>
      <c r="K155" s="33" t="inlineStr">
        <is>
          <t>Noruega</t>
        </is>
      </c>
      <c r="L155" s="34" t="n">
        <v>0.457443</v>
      </c>
      <c r="M155" s="34" t="n">
        <v>0.174338</v>
      </c>
      <c r="N155" s="34" t="n">
        <v>0.368219</v>
      </c>
      <c r="O155" s="34" t="n">
        <v>0.9088598664214891</v>
      </c>
      <c r="P155" s="34" t="n">
        <v>0.09114013357851096</v>
      </c>
      <c r="Q155" s="38" t="n"/>
      <c r="R155" s="38" t="n"/>
      <c r="S155" s="31">
        <f>IF(OR(Q155="",R155=""),"[APOSTAR] LOCAL",IF(Q155&gt;R155,"[GANADA] LOCAL","[PERDIDA] LOCAL"))</f>
        <v/>
      </c>
      <c r="T155" s="31" t="inlineStr">
        <is>
          <t>[PASAR] Sin Cuotas</t>
        </is>
      </c>
      <c r="U155" s="35" t="n">
        <v>1767.77</v>
      </c>
      <c r="V155" s="35" t="n">
        <v>0</v>
      </c>
      <c r="W155" s="31">
        <f>IF(L155="","",IF((MAX(L155,M155,N155)-MEDIAN(L155,M155,N155))&gt;0.05,IF(OR(Q155="",R155=""),"[PREDICCION] "&amp;IF(L155=MAX(L155,M155,N155),"LOCAL",IF(M155=MAX(L155,M155,N155),"EMPATE","VISITA")),IF(L155=MAX(L155,M155,N155),IF(Q155&gt;R155,"[ACIERTO]","[FALLO]"),IF(M155=MAX(L155,M155,N155),IF(Q155=R155,"[ACIERTO]","[FALLO]"),IF(Q155&lt;R155,"[ACIERTO]","[FALLO]")))),"[PASAR] Margen Insuf"))</f>
        <v/>
      </c>
      <c r="X155" s="35">
        <f>IFERROR(IF(U155=0,0,IF(ISNUMBER(SEARCH("[GANADA]",S155)),U155*(IF(ISNUMBER(SEARCH("LOCAL",S155)),F155,IF(ISNUMBER(SEARCH("EMPATE",S155)),G155,H155))-1),IF(ISNUMBER(SEARCH("[PERDIDA]",S155)),-U155,0))),0)+IFERROR(IF(V155=0,0,IF(ISNUMBER(SEARCH("[GANADA]",T155)),V155*(IF(ISNUMBER(SEARCH("OVER",T155)),I155,J155)-1),IF(ISNUMBER(SEARCH("[PERDIDA]",T155)),-V155,0))),0)</f>
        <v/>
      </c>
      <c r="Y155" s="35">
        <f>Y154+X155</f>
        <v/>
      </c>
      <c r="Z155" s="36">
        <f>IF(OR(Q155="",R155=""),"",(L155-IF(Q155&gt;R155,1,0))^2+(M155-IF(Q155=R155,1,0))^2+(N155-IF(Q155&lt;R155,1,0))^2)</f>
        <v/>
      </c>
      <c r="AA155" s="36">
        <f>IF(OR(Q155="",R155="",F155="",F155=0,G155="",G155=0,H155="",H155=0),"",((1/F155/(1/F155+1/G155+1/H155))-IF(Q155&gt;R155,1,0))^2+((1/G155/(1/F155+1/G155+1/H155))-IF(Q155=R155,1,0))^2+((1/H155/(1/F155+1/G155+1/H155))-IF(Q155&lt;R155,1,0))^2)</f>
        <v/>
      </c>
      <c r="AB155" s="37" t="n">
        <v>1.6803</v>
      </c>
      <c r="AC155" s="33" t="inlineStr">
        <is>
          <t>NO</t>
        </is>
      </c>
    </row>
    <row r="156">
      <c r="A156" s="30" t="n">
        <v>46124</v>
      </c>
      <c r="B156" s="31" t="inlineStr">
        <is>
          <t>2026-04-12galatasaraykocaelispor</t>
        </is>
      </c>
      <c r="C156" s="31" t="inlineStr">
        <is>
          <t>Galatasaray vs Kocaelispor</t>
        </is>
      </c>
      <c r="D156" s="31" t="inlineStr">
        <is>
          <t>Galatasaray</t>
        </is>
      </c>
      <c r="E156" s="31" t="inlineStr">
        <is>
          <t>Kocaelispor</t>
        </is>
      </c>
      <c r="F156" s="32" t="n">
        <v>1.19</v>
      </c>
      <c r="G156" s="32" t="n">
        <v>6.72</v>
      </c>
      <c r="H156" s="32" t="n">
        <v>13.59</v>
      </c>
      <c r="I156" s="32" t="n"/>
      <c r="J156" s="32" t="n"/>
      <c r="K156" s="33" t="inlineStr">
        <is>
          <t>Turquia</t>
        </is>
      </c>
      <c r="L156" s="34" t="n">
        <v>0.506307</v>
      </c>
      <c r="M156" s="34" t="n">
        <v>0.18444</v>
      </c>
      <c r="N156" s="34" t="n">
        <v>0.309253</v>
      </c>
      <c r="O156" s="34" t="n">
        <v>0.8436747050240128</v>
      </c>
      <c r="P156" s="34" t="n">
        <v>0.1563252949759873</v>
      </c>
      <c r="Q156" s="38" t="n"/>
      <c r="R156" s="38" t="n"/>
      <c r="S156" s="31" t="inlineStr">
        <is>
          <t>[PASAR] Riesgo/Beneficio</t>
        </is>
      </c>
      <c r="T156" s="31" t="inlineStr">
        <is>
          <t>[PASAR] Sin Cuotas</t>
        </is>
      </c>
      <c r="U156" s="35" t="n">
        <v>0</v>
      </c>
      <c r="V156" s="35" t="n">
        <v>0</v>
      </c>
      <c r="W156" s="31">
        <f>IF(L156="","",IF((MAX(L156,M156,N156)-MEDIAN(L156,M156,N156))&gt;0.05,IF(OR(Q156="",R156=""),"[PREDICCION] "&amp;IF(L156=MAX(L156,M156,N156),"LOCAL",IF(M156=MAX(L156,M156,N156),"EMPATE","VISITA")),IF(L156=MAX(L156,M156,N156),IF(Q156&gt;R156,"[ACIERTO]","[FALLO]"),IF(M156=MAX(L156,M156,N156),IF(Q156=R156,"[ACIERTO]","[FALLO]"),IF(Q156&lt;R156,"[ACIERTO]","[FALLO]")))),"[PASAR] Margen Insuf"))</f>
        <v/>
      </c>
      <c r="X156" s="35">
        <f>IFERROR(IF(U156=0,0,IF(ISNUMBER(SEARCH("[GANADA]",S156)),U156*(IF(ISNUMBER(SEARCH("LOCAL",S156)),F156,IF(ISNUMBER(SEARCH("EMPATE",S156)),G156,H156))-1),IF(ISNUMBER(SEARCH("[PERDIDA]",S156)),-U156,0))),0)+IFERROR(IF(V156=0,0,IF(ISNUMBER(SEARCH("[GANADA]",T156)),V156*(IF(ISNUMBER(SEARCH("OVER",T156)),I156,J156)-1),IF(ISNUMBER(SEARCH("[PERDIDA]",T156)),-V156,0))),0)</f>
        <v/>
      </c>
      <c r="Y156" s="35">
        <f>Y155+X156</f>
        <v/>
      </c>
      <c r="Z156" s="36">
        <f>IF(OR(Q156="",R156=""),"",(L156-IF(Q156&gt;R156,1,0))^2+(M156-IF(Q156=R156,1,0))^2+(N156-IF(Q156&lt;R156,1,0))^2)</f>
        <v/>
      </c>
      <c r="AA156" s="36">
        <f>IF(OR(Q156="",R156="",F156="",F156=0,G156="",G156=0,H156="",H156=0),"",((1/F156/(1/F156+1/G156+1/H156))-IF(Q156&gt;R156,1,0))^2+((1/G156/(1/F156+1/G156+1/H156))-IF(Q156=R156,1,0))^2+((1/H156/(1/F156+1/G156+1/H156))-IF(Q156&lt;R156,1,0))^2)</f>
        <v/>
      </c>
      <c r="AB156" s="37" t="n">
        <v>1.3341</v>
      </c>
      <c r="AC156" s="33" t="inlineStr">
        <is>
          <t>NO</t>
        </is>
      </c>
    </row>
    <row r="157">
      <c r="A157" s="30" t="n">
        <v>46124</v>
      </c>
      <c r="B157" s="31" t="inlineStr">
        <is>
          <t>2026-04-12goztepekasimpasa</t>
        </is>
      </c>
      <c r="C157" s="31" t="inlineStr">
        <is>
          <t>Goztepe vs Kasimpasa</t>
        </is>
      </c>
      <c r="D157" s="31" t="inlineStr">
        <is>
          <t>Goztepe</t>
        </is>
      </c>
      <c r="E157" s="31" t="inlineStr">
        <is>
          <t>Kasimpasa</t>
        </is>
      </c>
      <c r="F157" s="32" t="n">
        <v>1.9</v>
      </c>
      <c r="G157" s="32" t="n">
        <v>3.42</v>
      </c>
      <c r="H157" s="32" t="n">
        <v>4.28</v>
      </c>
      <c r="I157" s="32" t="n"/>
      <c r="J157" s="32" t="n"/>
      <c r="K157" s="33" t="inlineStr">
        <is>
          <t>Turquia</t>
        </is>
      </c>
      <c r="L157" s="34" t="n">
        <v>0.450062</v>
      </c>
      <c r="M157" s="34" t="n">
        <v>0.193178</v>
      </c>
      <c r="N157" s="34" t="n">
        <v>0.35676</v>
      </c>
      <c r="O157" s="34" t="n">
        <v>0.8194613821545871</v>
      </c>
      <c r="P157" s="34" t="n">
        <v>0.1805386178454129</v>
      </c>
      <c r="Q157" s="38" t="n"/>
      <c r="R157" s="38" t="n"/>
      <c r="S157" s="31">
        <f>IF(OR(Q157="",R157=""),"[APOSTAR] VISITA",IF(Q157&lt;R157,"[GANADA] VISITA","[PERDIDA] VISITA"))</f>
        <v/>
      </c>
      <c r="T157" s="31" t="inlineStr">
        <is>
          <t>[PASAR] Sin Cuotas</t>
        </is>
      </c>
      <c r="U157" s="35" t="n">
        <v>1767.77</v>
      </c>
      <c r="V157" s="35" t="n">
        <v>0</v>
      </c>
      <c r="W157" s="31">
        <f>IF(L157="","",IF((MAX(L157,M157,N157)-MEDIAN(L157,M157,N157))&gt;0.05,IF(OR(Q157="",R157=""),"[PREDICCION] "&amp;IF(L157=MAX(L157,M157,N157),"LOCAL",IF(M157=MAX(L157,M157,N157),"EMPATE","VISITA")),IF(L157=MAX(L157,M157,N157),IF(Q157&gt;R157,"[ACIERTO]","[FALLO]"),IF(M157=MAX(L157,M157,N157),IF(Q157=R157,"[ACIERTO]","[FALLO]"),IF(Q157&lt;R157,"[ACIERTO]","[FALLO]")))),"[PASAR] Margen Insuf"))</f>
        <v/>
      </c>
      <c r="X157" s="35">
        <f>IFERROR(IF(U157=0,0,IF(ISNUMBER(SEARCH("[GANADA]",S157)),U157*(IF(ISNUMBER(SEARCH("LOCAL",S157)),F157,IF(ISNUMBER(SEARCH("EMPATE",S157)),G157,H157))-1),IF(ISNUMBER(SEARCH("[PERDIDA]",S157)),-U157,0))),0)+IFERROR(IF(V157=0,0,IF(ISNUMBER(SEARCH("[GANADA]",T157)),V157*(IF(ISNUMBER(SEARCH("OVER",T157)),I157,J157)-1),IF(ISNUMBER(SEARCH("[PERDIDA]",T157)),-V157,0))),0)</f>
        <v/>
      </c>
      <c r="Y157" s="35">
        <f>Y156+X157</f>
        <v/>
      </c>
      <c r="Z157" s="36">
        <f>IF(OR(Q157="",R157=""),"",(L157-IF(Q157&gt;R157,1,0))^2+(M157-IF(Q157=R157,1,0))^2+(N157-IF(Q157&lt;R157,1,0))^2)</f>
        <v/>
      </c>
      <c r="AA157" s="36">
        <f>IF(OR(Q157="",R157="",F157="",F157=0,G157="",G157=0,H157="",H157=0),"",((1/F157/(1/F157+1/G157+1/H157))-IF(Q157&gt;R157,1,0))^2+((1/G157/(1/F157+1/G157+1/H157))-IF(Q157=R157,1,0))^2+((1/H157/(1/F157+1/G157+1/H157))-IF(Q157&lt;R157,1,0))^2)</f>
        <v/>
      </c>
      <c r="AB157" s="37" t="n">
        <v>1.2632</v>
      </c>
      <c r="AC157" s="33" t="inlineStr">
        <is>
          <t>NO</t>
        </is>
      </c>
    </row>
    <row r="158">
      <c r="A158" s="30" t="n">
        <v>46124</v>
      </c>
      <c r="B158" s="31" t="inlineStr">
        <is>
          <t>2026-04-12huracanrosariocentral</t>
        </is>
      </c>
      <c r="C158" s="31" t="inlineStr">
        <is>
          <t>Huracan vs Rosario Central</t>
        </is>
      </c>
      <c r="D158" s="31" t="inlineStr">
        <is>
          <t>Huracan</t>
        </is>
      </c>
      <c r="E158" s="31" t="inlineStr">
        <is>
          <t>Rosario Central</t>
        </is>
      </c>
      <c r="F158" s="32" t="n"/>
      <c r="G158" s="32" t="n"/>
      <c r="H158" s="32" t="n"/>
      <c r="I158" s="32" t="n"/>
      <c r="J158" s="32" t="n"/>
      <c r="K158" s="33" t="inlineStr">
        <is>
          <t>Argentina</t>
        </is>
      </c>
      <c r="L158" s="34" t="n">
        <v>0.3940609558568708</v>
      </c>
      <c r="M158" s="34" t="n">
        <v>0.2373835959638476</v>
      </c>
      <c r="N158" s="34" t="n">
        <v>0.3685554481792815</v>
      </c>
      <c r="O158" s="34" t="n">
        <v>0.6746814648322969</v>
      </c>
      <c r="P158" s="34" t="n">
        <v>0.3253185351677031</v>
      </c>
      <c r="Q158" s="38" t="n"/>
      <c r="R158" s="38" t="n"/>
      <c r="S158" s="31" t="inlineStr">
        <is>
          <t>[PASAR] Sin Cuotas</t>
        </is>
      </c>
      <c r="T158" s="31" t="inlineStr">
        <is>
          <t>[PASAR] Sin Cuotas</t>
        </is>
      </c>
      <c r="U158" s="35" t="n">
        <v>0</v>
      </c>
      <c r="V158" s="35" t="n">
        <v>0</v>
      </c>
      <c r="W158" s="31">
        <f>IF(L158="","",IF((MAX(L158,M158,N158)-MEDIAN(L158,M158,N158))&gt;0.05,IF(OR(Q158="",R158=""),"[PREDICCION] "&amp;IF(L158=MAX(L158,M158,N158),"LOCAL",IF(M158=MAX(L158,M158,N158),"EMPATE","VISITA")),IF(L158=MAX(L158,M158,N158),IF(Q158&gt;R158,"[ACIERTO]","[FALLO]"),IF(M158=MAX(L158,M158,N158),IF(Q158=R158,"[ACIERTO]","[FALLO]"),IF(Q158&lt;R158,"[ACIERTO]","[FALLO]")))),"[PASAR] Margen Insuf"))</f>
        <v/>
      </c>
      <c r="X158" s="35">
        <f>IFERROR(IF(U158=0,0,IF(ISNUMBER(SEARCH("[GANADA]",S158)),U158*(IF(ISNUMBER(SEARCH("LOCAL",S158)),F158,IF(ISNUMBER(SEARCH("EMPATE",S158)),G158,H158))-1),IF(ISNUMBER(SEARCH("[PERDIDA]",S158)),-U158,0))),0)+IFERROR(IF(V158=0,0,IF(ISNUMBER(SEARCH("[GANADA]",T158)),V158*(IF(ISNUMBER(SEARCH("OVER",T158)),I158,J158)-1),IF(ISNUMBER(SEARCH("[PERDIDA]",T158)),-V158,0))),0)</f>
        <v/>
      </c>
      <c r="Y158" s="35">
        <f>Y157+X158</f>
        <v/>
      </c>
      <c r="Z158" s="36">
        <f>IF(OR(Q158="",R158=""),"",(L158-IF(Q158&gt;R158,1,0))^2+(M158-IF(Q158=R158,1,0))^2+(N158-IF(Q158&lt;R158,1,0))^2)</f>
        <v/>
      </c>
      <c r="AA158" s="36">
        <f>IF(OR(Q158="",R158="",F158="",F158=0,G158="",G158=0,H158="",H158=0),"",((1/F158/(1/F158+1/G158+1/H158))-IF(Q158&gt;R158,1,0))^2+((1/G158/(1/F158+1/G158+1/H158))-IF(Q158=R158,1,0))^2+((1/H158/(1/F158+1/G158+1/H158))-IF(Q158&lt;R158,1,0))^2)</f>
        <v/>
      </c>
      <c r="AB158" s="37" t="n">
        <v>0.8921</v>
      </c>
      <c r="AC158" s="33" t="inlineStr">
        <is>
          <t>NO</t>
        </is>
      </c>
    </row>
    <row r="159">
      <c r="A159" s="30" t="n">
        <v>46124</v>
      </c>
      <c r="B159" s="31" t="inlineStr">
        <is>
          <t>2026-04-12konyasporfatihkaragumruk</t>
        </is>
      </c>
      <c r="C159" s="31" t="inlineStr">
        <is>
          <t>Konyaspor vs Fatih Karagümrük</t>
        </is>
      </c>
      <c r="D159" s="31" t="inlineStr">
        <is>
          <t>Konyaspor</t>
        </is>
      </c>
      <c r="E159" s="31" t="inlineStr">
        <is>
          <t>Fatih Karagümrük</t>
        </is>
      </c>
      <c r="F159" s="32" t="n">
        <v>1.68</v>
      </c>
      <c r="G159" s="32" t="n">
        <v>3.72</v>
      </c>
      <c r="H159" s="32" t="n">
        <v>5.24</v>
      </c>
      <c r="I159" s="32" t="n">
        <v>2.04</v>
      </c>
      <c r="J159" s="32" t="n">
        <v>1.81</v>
      </c>
      <c r="K159" s="33" t="inlineStr">
        <is>
          <t>Turquia</t>
        </is>
      </c>
      <c r="L159" s="34" t="n">
        <v>0.470232</v>
      </c>
      <c r="M159" s="34" t="n">
        <v>0.194368</v>
      </c>
      <c r="N159" s="34" t="n">
        <v>0.3354</v>
      </c>
      <c r="O159" s="34" t="n">
        <v>0.8098303351519444</v>
      </c>
      <c r="P159" s="34" t="n">
        <v>0.1901696648480556</v>
      </c>
      <c r="Q159" s="38" t="n"/>
      <c r="R159" s="38" t="n"/>
      <c r="S159" s="31" t="inlineStr">
        <is>
          <t>[PASAR] Riesgo/Beneficio</t>
        </is>
      </c>
      <c r="T159" s="31">
        <f>IF(OR(Q159="",R159=""),"[APOSTAR] OVER 2.5",IF((Q159+R159)&gt;2.5,"[GANADA] OVER 2.5","[PERDIDA] OVER 2.5"))</f>
        <v/>
      </c>
      <c r="U159" s="35" t="n">
        <v>0</v>
      </c>
      <c r="V159" s="35" t="n">
        <v>1767.77</v>
      </c>
      <c r="W159" s="31">
        <f>IF(L159="","",IF((MAX(L159,M159,N159)-MEDIAN(L159,M159,N159))&gt;0.05,IF(OR(Q159="",R159=""),"[PREDICCION] "&amp;IF(L159=MAX(L159,M159,N159),"LOCAL",IF(M159=MAX(L159,M159,N159),"EMPATE","VISITA")),IF(L159=MAX(L159,M159,N159),IF(Q159&gt;R159,"[ACIERTO]","[FALLO]"),IF(M159=MAX(L159,M159,N159),IF(Q159=R159,"[ACIERTO]","[FALLO]"),IF(Q159&lt;R159,"[ACIERTO]","[FALLO]")))),"[PASAR] Margen Insuf"))</f>
        <v/>
      </c>
      <c r="X159" s="35">
        <f>IFERROR(IF(U159=0,0,IF(ISNUMBER(SEARCH("[GANADA]",S159)),U159*(IF(ISNUMBER(SEARCH("LOCAL",S159)),F159,IF(ISNUMBER(SEARCH("EMPATE",S159)),G159,H159))-1),IF(ISNUMBER(SEARCH("[PERDIDA]",S159)),-U159,0))),0)+IFERROR(IF(V159=0,0,IF(ISNUMBER(SEARCH("[GANADA]",T159)),V159*(IF(ISNUMBER(SEARCH("OVER",T159)),I159,J159)-1),IF(ISNUMBER(SEARCH("[PERDIDA]",T159)),-V159,0))),0)</f>
        <v/>
      </c>
      <c r="Y159" s="35">
        <f>Y158+X159</f>
        <v/>
      </c>
      <c r="Z159" s="36">
        <f>IF(OR(Q159="",R159=""),"",(L159-IF(Q159&gt;R159,1,0))^2+(M159-IF(Q159=R159,1,0))^2+(N159-IF(Q159&lt;R159,1,0))^2)</f>
        <v/>
      </c>
      <c r="AA159" s="36">
        <f>IF(OR(Q159="",R159="",F159="",F159=0,G159="",G159=0,H159="",H159=0),"",((1/F159/(1/F159+1/G159+1/H159))-IF(Q159&gt;R159,1,0))^2+((1/G159/(1/F159+1/G159+1/H159))-IF(Q159=R159,1,0))^2+((1/H159/(1/F159+1/G159+1/H159))-IF(Q159&lt;R159,1,0))^2)</f>
        <v/>
      </c>
      <c r="AB159" s="37" t="n">
        <v>1.2653</v>
      </c>
      <c r="AC159" s="33" t="inlineStr">
        <is>
          <t>NO</t>
        </is>
      </c>
    </row>
    <row r="160">
      <c r="A160" s="30" t="n">
        <v>46124</v>
      </c>
      <c r="B160" s="31" t="inlineStr">
        <is>
          <t>2026-04-12moldehamkam</t>
        </is>
      </c>
      <c r="C160" s="31" t="inlineStr">
        <is>
          <t>Molde vs Hamkam</t>
        </is>
      </c>
      <c r="D160" s="31" t="inlineStr">
        <is>
          <t>Molde</t>
        </is>
      </c>
      <c r="E160" s="31" t="inlineStr">
        <is>
          <t>Hamkam</t>
        </is>
      </c>
      <c r="F160" s="32" t="n">
        <v>1.56</v>
      </c>
      <c r="G160" s="32" t="n">
        <v>4.36</v>
      </c>
      <c r="H160" s="32" t="n">
        <v>5.44</v>
      </c>
      <c r="I160" s="32" t="n"/>
      <c r="J160" s="32" t="n"/>
      <c r="K160" s="33" t="inlineStr">
        <is>
          <t>Noruega</t>
        </is>
      </c>
      <c r="L160" s="34" t="n">
        <v>0.447376</v>
      </c>
      <c r="M160" s="34" t="n">
        <v>0.181944</v>
      </c>
      <c r="N160" s="34" t="n">
        <v>0.370681</v>
      </c>
      <c r="O160" s="34" t="n">
        <v>0.8841170701918618</v>
      </c>
      <c r="P160" s="34" t="n">
        <v>0.1158829298081381</v>
      </c>
      <c r="Q160" s="38" t="n"/>
      <c r="R160" s="38" t="n"/>
      <c r="S160" s="31" t="inlineStr">
        <is>
          <t>[PASAR] Riesgo/Beneficio</t>
        </is>
      </c>
      <c r="T160" s="31" t="inlineStr">
        <is>
          <t>[PASAR] Sin Cuotas</t>
        </is>
      </c>
      <c r="U160" s="35" t="n">
        <v>0</v>
      </c>
      <c r="V160" s="35" t="n">
        <v>0</v>
      </c>
      <c r="W160" s="31">
        <f>IF(L160="","",IF((MAX(L160,M160,N160)-MEDIAN(L160,M160,N160))&gt;0.05,IF(OR(Q160="",R160=""),"[PREDICCION] "&amp;IF(L160=MAX(L160,M160,N160),"LOCAL",IF(M160=MAX(L160,M160,N160),"EMPATE","VISITA")),IF(L160=MAX(L160,M160,N160),IF(Q160&gt;R160,"[ACIERTO]","[FALLO]"),IF(M160=MAX(L160,M160,N160),IF(Q160=R160,"[ACIERTO]","[FALLO]"),IF(Q160&lt;R160,"[ACIERTO]","[FALLO]")))),"[PASAR] Margen Insuf"))</f>
        <v/>
      </c>
      <c r="X160" s="35">
        <f>IFERROR(IF(U160=0,0,IF(ISNUMBER(SEARCH("[GANADA]",S160)),U160*(IF(ISNUMBER(SEARCH("LOCAL",S160)),F160,IF(ISNUMBER(SEARCH("EMPATE",S160)),G160,H160))-1),IF(ISNUMBER(SEARCH("[PERDIDA]",S160)),-U160,0))),0)+IFERROR(IF(V160=0,0,IF(ISNUMBER(SEARCH("[GANADA]",T160)),V160*(IF(ISNUMBER(SEARCH("OVER",T160)),I160,J160)-1),IF(ISNUMBER(SEARCH("[PERDIDA]",T160)),-V160,0))),0)</f>
        <v/>
      </c>
      <c r="Y160" s="35">
        <f>Y159+X160</f>
        <v/>
      </c>
      <c r="Z160" s="36">
        <f>IF(OR(Q160="",R160=""),"",(L160-IF(Q160&gt;R160,1,0))^2+(M160-IF(Q160=R160,1,0))^2+(N160-IF(Q160&lt;R160,1,0))^2)</f>
        <v/>
      </c>
      <c r="AA160" s="36">
        <f>IF(OR(Q160="",R160="",F160="",F160=0,G160="",G160=0,H160="",H160=0),"",((1/F160/(1/F160+1/G160+1/H160))-IF(Q160&gt;R160,1,0))^2+((1/G160/(1/F160+1/G160+1/H160))-IF(Q160=R160,1,0))^2+((1/H160/(1/F160+1/G160+1/H160))-IF(Q160&lt;R160,1,0))^2)</f>
        <v/>
      </c>
      <c r="AB160" s="37" t="n">
        <v>1.6797</v>
      </c>
      <c r="AC160" s="33" t="inlineStr">
        <is>
          <t>NO</t>
        </is>
      </c>
    </row>
    <row r="161">
      <c r="A161" s="30" t="n">
        <v>46124</v>
      </c>
      <c r="B161" s="31" t="inlineStr">
        <is>
          <t>2026-04-12newellsoldboyssanlorenzo</t>
        </is>
      </c>
      <c r="C161" s="31" t="inlineStr">
        <is>
          <t>Newell's Old Boys vs San Lorenzo</t>
        </is>
      </c>
      <c r="D161" s="31" t="inlineStr">
        <is>
          <t>Newell's Old Boys</t>
        </is>
      </c>
      <c r="E161" s="31" t="inlineStr">
        <is>
          <t>San Lorenzo</t>
        </is>
      </c>
      <c r="F161" s="32" t="n">
        <v>2.73</v>
      </c>
      <c r="G161" s="32" t="n">
        <v>2.8</v>
      </c>
      <c r="H161" s="32" t="n">
        <v>3.07</v>
      </c>
      <c r="I161" s="32" t="n"/>
      <c r="J161" s="32" t="n"/>
      <c r="K161" s="33" t="inlineStr">
        <is>
          <t>Argentina</t>
        </is>
      </c>
      <c r="L161" s="34" t="n">
        <v>0.3809577912208987</v>
      </c>
      <c r="M161" s="34" t="n">
        <v>0.2384971583998098</v>
      </c>
      <c r="N161" s="34" t="n">
        <v>0.3805450503792916</v>
      </c>
      <c r="O161" s="34" t="n">
        <v>0.6701744125591808</v>
      </c>
      <c r="P161" s="34" t="n">
        <v>0.3298255874408192</v>
      </c>
      <c r="Q161" s="38" t="n"/>
      <c r="R161" s="38" t="n"/>
      <c r="S161" s="31" t="inlineStr">
        <is>
          <t>[PASAR] Margen Predictivo Insuficiente (&lt;5%)</t>
        </is>
      </c>
      <c r="T161" s="31" t="inlineStr">
        <is>
          <t>[PASAR] Sin Cuotas</t>
        </is>
      </c>
      <c r="U161" s="35" t="n">
        <v>0</v>
      </c>
      <c r="V161" s="35" t="n">
        <v>0</v>
      </c>
      <c r="W161" s="31">
        <f>IF(L161="","",IF((MAX(L161,M161,N161)-MEDIAN(L161,M161,N161))&gt;0.05,IF(OR(Q161="",R161=""),"[PREDICCION] "&amp;IF(L161=MAX(L161,M161,N161),"LOCAL",IF(M161=MAX(L161,M161,N161),"EMPATE","VISITA")),IF(L161=MAX(L161,M161,N161),IF(Q161&gt;R161,"[ACIERTO]","[FALLO]"),IF(M161=MAX(L161,M161,N161),IF(Q161=R161,"[ACIERTO]","[FALLO]"),IF(Q161&lt;R161,"[ACIERTO]","[FALLO]")))),"[PASAR] Margen Insuf"))</f>
        <v/>
      </c>
      <c r="X161" s="35">
        <f>IFERROR(IF(U161=0,0,IF(ISNUMBER(SEARCH("[GANADA]",S161)),U161*(IF(ISNUMBER(SEARCH("LOCAL",S161)),F161,IF(ISNUMBER(SEARCH("EMPATE",S161)),G161,H161))-1),IF(ISNUMBER(SEARCH("[PERDIDA]",S161)),-U161,0))),0)+IFERROR(IF(V161=0,0,IF(ISNUMBER(SEARCH("[GANADA]",T161)),V161*(IF(ISNUMBER(SEARCH("OVER",T161)),I161,J161)-1),IF(ISNUMBER(SEARCH("[PERDIDA]",T161)),-V161,0))),0)</f>
        <v/>
      </c>
      <c r="Y161" s="35">
        <f>Y160+X161</f>
        <v/>
      </c>
      <c r="Z161" s="36">
        <f>IF(OR(Q161="",R161=""),"",(L161-IF(Q161&gt;R161,1,0))^2+(M161-IF(Q161=R161,1,0))^2+(N161-IF(Q161&lt;R161,1,0))^2)</f>
        <v/>
      </c>
      <c r="AA161" s="36">
        <f>IF(OR(Q161="",R161="",F161="",F161=0,G161="",G161=0,H161="",H161=0),"",((1/F161/(1/F161+1/G161+1/H161))-IF(Q161&gt;R161,1,0))^2+((1/G161/(1/F161+1/G161+1/H161))-IF(Q161=R161,1,0))^2+((1/H161/(1/F161+1/G161+1/H161))-IF(Q161&lt;R161,1,0))^2)</f>
        <v/>
      </c>
      <c r="AB161" s="37" t="n">
        <v>0.8489</v>
      </c>
      <c r="AC161" s="33" t="inlineStr">
        <is>
          <t>NO</t>
        </is>
      </c>
    </row>
    <row r="162">
      <c r="A162" s="30" t="n">
        <v>46124</v>
      </c>
      <c r="B162" s="31" t="inlineStr">
        <is>
          <t>2026-04-12nottinghamforestastonvilla</t>
        </is>
      </c>
      <c r="C162" s="31" t="inlineStr">
        <is>
          <t>Nottingham Forest vs Aston Villa</t>
        </is>
      </c>
      <c r="D162" s="31" t="inlineStr">
        <is>
          <t>Nottingham Forest</t>
        </is>
      </c>
      <c r="E162" s="31" t="inlineStr">
        <is>
          <t>Aston Villa</t>
        </is>
      </c>
      <c r="F162" s="32" t="n">
        <v>2.77</v>
      </c>
      <c r="G162" s="32" t="n">
        <v>3.34</v>
      </c>
      <c r="H162" s="32" t="n">
        <v>2.69</v>
      </c>
      <c r="I162" s="32" t="n">
        <v>2.01</v>
      </c>
      <c r="J162" s="32" t="n">
        <v>1.88</v>
      </c>
      <c r="K162" s="33" t="inlineStr">
        <is>
          <t>Inglaterra</t>
        </is>
      </c>
      <c r="L162" s="34" t="n">
        <v>0.443803</v>
      </c>
      <c r="M162" s="34" t="n">
        <v>0.181566</v>
      </c>
      <c r="N162" s="34" t="n">
        <v>0.37463</v>
      </c>
      <c r="O162" s="34" t="n">
        <v>0.8623934161136466</v>
      </c>
      <c r="P162" s="34" t="n">
        <v>0.1376065838863534</v>
      </c>
      <c r="Q162" s="38" t="n"/>
      <c r="R162" s="38" t="n"/>
      <c r="S162" s="31" t="inlineStr">
        <is>
          <t>[PASAR] Overlap Riesgo (O/U Priorizado)</t>
        </is>
      </c>
      <c r="T162" s="31">
        <f>IF(OR(Q162="",R162=""),"[APOSTAR] OVER 2.5",IF((Q162+R162)&gt;2.5,"[GANADA] OVER 2.5","[PERDIDA] OVER 2.5"))</f>
        <v/>
      </c>
      <c r="U162" s="35" t="n">
        <v>0</v>
      </c>
      <c r="V162" s="35" t="n">
        <v>1250</v>
      </c>
      <c r="W162" s="31">
        <f>IF(L162="","",IF((MAX(L162,M162,N162)-MEDIAN(L162,M162,N162))&gt;0.05,IF(OR(Q162="",R162=""),"[PREDICCION] "&amp;IF(L162=MAX(L162,M162,N162),"LOCAL",IF(M162=MAX(L162,M162,N162),"EMPATE","VISITA")),IF(L162=MAX(L162,M162,N162),IF(Q162&gt;R162,"[ACIERTO]","[FALLO]"),IF(M162=MAX(L162,M162,N162),IF(Q162=R162,"[ACIERTO]","[FALLO]"),IF(Q162&lt;R162,"[ACIERTO]","[FALLO]")))),"[PASAR] Margen Insuf"))</f>
        <v/>
      </c>
      <c r="X162" s="35">
        <f>IFERROR(IF(U162=0,0,IF(ISNUMBER(SEARCH("[GANADA]",S162)),U162*(IF(ISNUMBER(SEARCH("LOCAL",S162)),F162,IF(ISNUMBER(SEARCH("EMPATE",S162)),G162,H162))-1),IF(ISNUMBER(SEARCH("[PERDIDA]",S162)),-U162,0))),0)+IFERROR(IF(V162=0,0,IF(ISNUMBER(SEARCH("[GANADA]",T162)),V162*(IF(ISNUMBER(SEARCH("OVER",T162)),I162,J162)-1),IF(ISNUMBER(SEARCH("[PERDIDA]",T162)),-V162,0))),0)</f>
        <v/>
      </c>
      <c r="Y162" s="35">
        <f>Y161+X162</f>
        <v/>
      </c>
      <c r="Z162" s="36">
        <f>IF(OR(Q162="",R162=""),"",(L162-IF(Q162&gt;R162,1,0))^2+(M162-IF(Q162=R162,1,0))^2+(N162-IF(Q162&lt;R162,1,0))^2)</f>
        <v/>
      </c>
      <c r="AA162" s="36">
        <f>IF(OR(Q162="",R162="",F162="",F162=0,G162="",G162=0,H162="",H162=0),"",((1/F162/(1/F162+1/G162+1/H162))-IF(Q162&gt;R162,1,0))^2+((1/G162/(1/F162+1/G162+1/H162))-IF(Q162=R162,1,0))^2+((1/H162/(1/F162+1/G162+1/H162))-IF(Q162&lt;R162,1,0))^2)</f>
        <v/>
      </c>
      <c r="AB162" s="37" t="n">
        <v>1.4079</v>
      </c>
      <c r="AC162" s="33" t="inlineStr">
        <is>
          <t>NO</t>
        </is>
      </c>
    </row>
    <row r="163">
      <c r="A163" s="30" t="n">
        <v>46124</v>
      </c>
      <c r="B163" s="31" t="inlineStr">
        <is>
          <t>2026-04-12platensegimnasiamendoza</t>
        </is>
      </c>
      <c r="C163" s="31" t="inlineStr">
        <is>
          <t>Platense vs Gimnasia Mendoza</t>
        </is>
      </c>
      <c r="D163" s="31" t="inlineStr">
        <is>
          <t>Platense</t>
        </is>
      </c>
      <c r="E163" s="31" t="inlineStr">
        <is>
          <t>Gimnasia Mendoza</t>
        </is>
      </c>
      <c r="F163" s="32" t="n">
        <v>2</v>
      </c>
      <c r="G163" s="32" t="n">
        <v>3</v>
      </c>
      <c r="H163" s="32" t="n">
        <v>4.57</v>
      </c>
      <c r="I163" s="32" t="n"/>
      <c r="J163" s="32" t="n"/>
      <c r="K163" s="33" t="inlineStr">
        <is>
          <t>Argentina</t>
        </is>
      </c>
      <c r="L163" s="34" t="n">
        <v>0.3824886623034319</v>
      </c>
      <c r="M163" s="34" t="n">
        <v>0.2327934508683966</v>
      </c>
      <c r="N163" s="34" t="n">
        <v>0.3847178868281715</v>
      </c>
      <c r="O163" s="34" t="n">
        <v>0.6957337538044741</v>
      </c>
      <c r="P163" s="34" t="n">
        <v>0.3042662461955258</v>
      </c>
      <c r="Q163" s="38" t="n"/>
      <c r="R163" s="38" t="n"/>
      <c r="S163" s="31" t="inlineStr">
        <is>
          <t>[PASAR] Margen Predictivo Insuficiente (&lt;5%)</t>
        </is>
      </c>
      <c r="T163" s="31" t="inlineStr">
        <is>
          <t>[PASAR] Sin Cuotas</t>
        </is>
      </c>
      <c r="U163" s="35" t="n">
        <v>0</v>
      </c>
      <c r="V163" s="35" t="n">
        <v>0</v>
      </c>
      <c r="W163" s="31">
        <f>IF(L163="","",IF((MAX(L163,M163,N163)-MEDIAN(L163,M163,N163))&gt;0.05,IF(OR(Q163="",R163=""),"[PREDICCION] "&amp;IF(L163=MAX(L163,M163,N163),"LOCAL",IF(M163=MAX(L163,M163,N163),"EMPATE","VISITA")),IF(L163=MAX(L163,M163,N163),IF(Q163&gt;R163,"[ACIERTO]","[FALLO]"),IF(M163=MAX(L163,M163,N163),IF(Q163=R163,"[ACIERTO]","[FALLO]"),IF(Q163&lt;R163,"[ACIERTO]","[FALLO]")))),"[PASAR] Margen Insuf"))</f>
        <v/>
      </c>
      <c r="X163" s="35">
        <f>IFERROR(IF(U163=0,0,IF(ISNUMBER(SEARCH("[GANADA]",S163)),U163*(IF(ISNUMBER(SEARCH("LOCAL",S163)),F163,IF(ISNUMBER(SEARCH("EMPATE",S163)),G163,H163))-1),IF(ISNUMBER(SEARCH("[PERDIDA]",S163)),-U163,0))),0)+IFERROR(IF(V163=0,0,IF(ISNUMBER(SEARCH("[GANADA]",T163)),V163*(IF(ISNUMBER(SEARCH("OVER",T163)),I163,J163)-1),IF(ISNUMBER(SEARCH("[PERDIDA]",T163)),-V163,0))),0)</f>
        <v/>
      </c>
      <c r="Y163" s="35">
        <f>Y162+X163</f>
        <v/>
      </c>
      <c r="Z163" s="36">
        <f>IF(OR(Q163="",R163=""),"",(L163-IF(Q163&gt;R163,1,0))^2+(M163-IF(Q163=R163,1,0))^2+(N163-IF(Q163&lt;R163,1,0))^2)</f>
        <v/>
      </c>
      <c r="AA163" s="36">
        <f>IF(OR(Q163="",R163="",F163="",F163=0,G163="",G163=0,H163="",H163=0),"",((1/F163/(1/F163+1/G163+1/H163))-IF(Q163&gt;R163,1,0))^2+((1/G163/(1/F163+1/G163+1/H163))-IF(Q163=R163,1,0))^2+((1/H163/(1/F163+1/G163+1/H163))-IF(Q163&lt;R163,1,0))^2)</f>
        <v/>
      </c>
      <c r="AB163" s="37" t="n">
        <v>0.8197</v>
      </c>
      <c r="AC163" s="33" t="inlineStr">
        <is>
          <t>NO</t>
        </is>
      </c>
    </row>
    <row r="164">
      <c r="A164" s="30" t="n">
        <v>46124</v>
      </c>
      <c r="B164" s="31" t="inlineStr">
        <is>
          <t>2026-04-12racingclubriverplate</t>
        </is>
      </c>
      <c r="C164" s="31" t="inlineStr">
        <is>
          <t>Racing Club vs River Plate</t>
        </is>
      </c>
      <c r="D164" s="31" t="inlineStr">
        <is>
          <t>Racing Club</t>
        </is>
      </c>
      <c r="E164" s="31" t="inlineStr">
        <is>
          <t>River Plate</t>
        </is>
      </c>
      <c r="F164" s="32" t="n">
        <v>2.68</v>
      </c>
      <c r="G164" s="32" t="n">
        <v>2.94</v>
      </c>
      <c r="H164" s="32" t="n">
        <v>2.98</v>
      </c>
      <c r="I164" s="32" t="n"/>
      <c r="J164" s="32" t="n"/>
      <c r="K164" s="33" t="inlineStr">
        <is>
          <t>Argentina</t>
        </is>
      </c>
      <c r="L164" s="34" t="n">
        <v>0.3819232473804304</v>
      </c>
      <c r="M164" s="34" t="n">
        <v>0.2405147763835156</v>
      </c>
      <c r="N164" s="34" t="n">
        <v>0.377561976236054</v>
      </c>
      <c r="O164" s="34" t="n">
        <v>0.6611191377960927</v>
      </c>
      <c r="P164" s="34" t="n">
        <v>0.3388808622039073</v>
      </c>
      <c r="Q164" s="38" t="n"/>
      <c r="R164" s="38" t="n"/>
      <c r="S164" s="31" t="inlineStr">
        <is>
          <t>[PASAR] Margen Predictivo Insuficiente (&lt;5%)</t>
        </is>
      </c>
      <c r="T164" s="31" t="inlineStr">
        <is>
          <t>[PASAR] Sin Cuotas</t>
        </is>
      </c>
      <c r="U164" s="35" t="n">
        <v>0</v>
      </c>
      <c r="V164" s="35" t="n">
        <v>0</v>
      </c>
      <c r="W164" s="31">
        <f>IF(L164="","",IF((MAX(L164,M164,N164)-MEDIAN(L164,M164,N164))&gt;0.05,IF(OR(Q164="",R164=""),"[PREDICCION] "&amp;IF(L164=MAX(L164,M164,N164),"LOCAL",IF(M164=MAX(L164,M164,N164),"EMPATE","VISITA")),IF(L164=MAX(L164,M164,N164),IF(Q164&gt;R164,"[ACIERTO]","[FALLO]"),IF(M164=MAX(L164,M164,N164),IF(Q164=R164,"[ACIERTO]","[FALLO]"),IF(Q164&lt;R164,"[ACIERTO]","[FALLO]")))),"[PASAR] Margen Insuf"))</f>
        <v/>
      </c>
      <c r="X164" s="35">
        <f>IFERROR(IF(U164=0,0,IF(ISNUMBER(SEARCH("[GANADA]",S164)),U164*(IF(ISNUMBER(SEARCH("LOCAL",S164)),F164,IF(ISNUMBER(SEARCH("EMPATE",S164)),G164,H164))-1),IF(ISNUMBER(SEARCH("[PERDIDA]",S164)),-U164,0))),0)+IFERROR(IF(V164=0,0,IF(ISNUMBER(SEARCH("[GANADA]",T164)),V164*(IF(ISNUMBER(SEARCH("OVER",T164)),I164,J164)-1),IF(ISNUMBER(SEARCH("[PERDIDA]",T164)),-V164,0))),0)</f>
        <v/>
      </c>
      <c r="Y164" s="35">
        <f>Y163+X164</f>
        <v/>
      </c>
      <c r="Z164" s="36">
        <f>IF(OR(Q164="",R164=""),"",(L164-IF(Q164&gt;R164,1,0))^2+(M164-IF(Q164=R164,1,0))^2+(N164-IF(Q164&lt;R164,1,0))^2)</f>
        <v/>
      </c>
      <c r="AA164" s="36">
        <f>IF(OR(Q164="",R164="",F164="",F164=0,G164="",G164=0,H164="",H164=0),"",((1/F164/(1/F164+1/G164+1/H164))-IF(Q164&gt;R164,1,0))^2+((1/G164/(1/F164+1/G164+1/H164))-IF(Q164=R164,1,0))^2+((1/H164/(1/F164+1/G164+1/H164))-IF(Q164&lt;R164,1,0))^2)</f>
        <v/>
      </c>
      <c r="AB164" s="37" t="n">
        <v>0.8295</v>
      </c>
      <c r="AC164" s="33" t="inlineStr">
        <is>
          <t>NO</t>
        </is>
      </c>
    </row>
    <row r="165">
      <c r="A165" s="30" t="n">
        <v>46124</v>
      </c>
      <c r="B165" s="31" t="inlineStr">
        <is>
          <t>2026-04-12rosenborgsarpsborgfk</t>
        </is>
      </c>
      <c r="C165" s="31" t="inlineStr">
        <is>
          <t>Rosenborg vs Sarpsborg fk</t>
        </is>
      </c>
      <c r="D165" s="31" t="inlineStr">
        <is>
          <t>Rosenborg</t>
        </is>
      </c>
      <c r="E165" s="31" t="inlineStr">
        <is>
          <t>Sarpsborg fk</t>
        </is>
      </c>
      <c r="F165" s="32" t="n">
        <v>2.29</v>
      </c>
      <c r="G165" s="32" t="n">
        <v>3.66</v>
      </c>
      <c r="H165" s="32" t="n">
        <v>2.95</v>
      </c>
      <c r="I165" s="32" t="n"/>
      <c r="J165" s="32" t="n"/>
      <c r="K165" s="33" t="inlineStr">
        <is>
          <t>Noruega</t>
        </is>
      </c>
      <c r="L165" s="34" t="n">
        <v>0.472862</v>
      </c>
      <c r="M165" s="34" t="n">
        <v>0.175149</v>
      </c>
      <c r="N165" s="34" t="n">
        <v>0.351989</v>
      </c>
      <c r="O165" s="34" t="n">
        <v>0.9044490721974714</v>
      </c>
      <c r="P165" s="34" t="n">
        <v>0.09555092780252859</v>
      </c>
      <c r="Q165" s="38" t="n"/>
      <c r="R165" s="38" t="n"/>
      <c r="S165" s="31">
        <f>IF(OR(Q165="",R165=""),"[APOSTAR] LOCAL",IF(Q165&gt;R165,"[GANADA] LOCAL","[PERDIDA] LOCAL"))</f>
        <v/>
      </c>
      <c r="T165" s="31" t="inlineStr">
        <is>
          <t>[PASAR] Sin Cuotas</t>
        </is>
      </c>
      <c r="U165" s="35" t="n">
        <v>1767.77</v>
      </c>
      <c r="V165" s="35" t="n">
        <v>0</v>
      </c>
      <c r="W165" s="31">
        <f>IF(L165="","",IF((MAX(L165,M165,N165)-MEDIAN(L165,M165,N165))&gt;0.05,IF(OR(Q165="",R165=""),"[PREDICCION] "&amp;IF(L165=MAX(L165,M165,N165),"LOCAL",IF(M165=MAX(L165,M165,N165),"EMPATE","VISITA")),IF(L165=MAX(L165,M165,N165),IF(Q165&gt;R165,"[ACIERTO]","[FALLO]"),IF(M165=MAX(L165,M165,N165),IF(Q165=R165,"[ACIERTO]","[FALLO]"),IF(Q165&lt;R165,"[ACIERTO]","[FALLO]")))),"[PASAR] Margen Insuf"))</f>
        <v/>
      </c>
      <c r="X165" s="35">
        <f>IFERROR(IF(U165=0,0,IF(ISNUMBER(SEARCH("[GANADA]",S165)),U165*(IF(ISNUMBER(SEARCH("LOCAL",S165)),F165,IF(ISNUMBER(SEARCH("EMPATE",S165)),G165,H165))-1),IF(ISNUMBER(SEARCH("[PERDIDA]",S165)),-U165,0))),0)+IFERROR(IF(V165=0,0,IF(ISNUMBER(SEARCH("[GANADA]",T165)),V165*(IF(ISNUMBER(SEARCH("OVER",T165)),I165,J165)-1),IF(ISNUMBER(SEARCH("[PERDIDA]",T165)),-V165,0))),0)</f>
        <v/>
      </c>
      <c r="Y165" s="35">
        <f>Y164+X165</f>
        <v/>
      </c>
      <c r="Z165" s="36">
        <f>IF(OR(Q165="",R165=""),"",(L165-IF(Q165&gt;R165,1,0))^2+(M165-IF(Q165=R165,1,0))^2+(N165-IF(Q165&lt;R165,1,0))^2)</f>
        <v/>
      </c>
      <c r="AA165" s="36">
        <f>IF(OR(Q165="",R165="",F165="",F165=0,G165="",G165=0,H165="",H165=0),"",((1/F165/(1/F165+1/G165+1/H165))-IF(Q165&gt;R165,1,0))^2+((1/G165/(1/F165+1/G165+1/H165))-IF(Q165=R165,1,0))^2+((1/H165/(1/F165+1/G165+1/H165))-IF(Q165&lt;R165,1,0))^2)</f>
        <v/>
      </c>
      <c r="AB165" s="37" t="n">
        <v>1.5859</v>
      </c>
      <c r="AC165" s="33" t="inlineStr">
        <is>
          <t>NO</t>
        </is>
      </c>
    </row>
    <row r="166">
      <c r="A166" s="30" t="n">
        <v>46124</v>
      </c>
      <c r="B166" s="31" t="inlineStr">
        <is>
          <t>2026-04-12skbrannsandefjord</t>
        </is>
      </c>
      <c r="C166" s="31" t="inlineStr">
        <is>
          <t>Sk Brann vs Sandefjord</t>
        </is>
      </c>
      <c r="D166" s="31" t="inlineStr">
        <is>
          <t>Sk Brann</t>
        </is>
      </c>
      <c r="E166" s="31" t="inlineStr">
        <is>
          <t>Sandefjord</t>
        </is>
      </c>
      <c r="F166" s="32" t="n">
        <v>1.51</v>
      </c>
      <c r="G166" s="32" t="n">
        <v>4.78</v>
      </c>
      <c r="H166" s="32" t="n">
        <v>5.55</v>
      </c>
      <c r="I166" s="32" t="n"/>
      <c r="J166" s="32" t="n"/>
      <c r="K166" s="33" t="inlineStr">
        <is>
          <t>Noruega</t>
        </is>
      </c>
      <c r="L166" s="34" t="n">
        <v>0.45201</v>
      </c>
      <c r="M166" s="34" t="n">
        <v>0.177482</v>
      </c>
      <c r="N166" s="34" t="n">
        <v>0.370508</v>
      </c>
      <c r="O166" s="34" t="n">
        <v>0.8990198324910278</v>
      </c>
      <c r="P166" s="34" t="n">
        <v>0.1009801675089722</v>
      </c>
      <c r="Q166" s="38" t="n"/>
      <c r="R166" s="38" t="n"/>
      <c r="S166" s="31" t="inlineStr">
        <is>
          <t>[PASAR] Riesgo/Beneficio</t>
        </is>
      </c>
      <c r="T166" s="31" t="inlineStr">
        <is>
          <t>[PASAR] Sin Cuotas</t>
        </is>
      </c>
      <c r="U166" s="35" t="n">
        <v>0</v>
      </c>
      <c r="V166" s="35" t="n">
        <v>0</v>
      </c>
      <c r="W166" s="31">
        <f>IF(L166="","",IF((MAX(L166,M166,N166)-MEDIAN(L166,M166,N166))&gt;0.05,IF(OR(Q166="",R166=""),"[PREDICCION] "&amp;IF(L166=MAX(L166,M166,N166),"LOCAL",IF(M166=MAX(L166,M166,N166),"EMPATE","VISITA")),IF(L166=MAX(L166,M166,N166),IF(Q166&gt;R166,"[ACIERTO]","[FALLO]"),IF(M166=MAX(L166,M166,N166),IF(Q166=R166,"[ACIERTO]","[FALLO]"),IF(Q166&lt;R166,"[ACIERTO]","[FALLO]")))),"[PASAR] Margen Insuf"))</f>
        <v/>
      </c>
      <c r="X166" s="35">
        <f>IFERROR(IF(U166=0,0,IF(ISNUMBER(SEARCH("[GANADA]",S166)),U166*(IF(ISNUMBER(SEARCH("LOCAL",S166)),F166,IF(ISNUMBER(SEARCH("EMPATE",S166)),G166,H166))-1),IF(ISNUMBER(SEARCH("[PERDIDA]",S166)),-U166,0))),0)+IFERROR(IF(V166=0,0,IF(ISNUMBER(SEARCH("[GANADA]",T166)),V166*(IF(ISNUMBER(SEARCH("OVER",T166)),I166,J166)-1),IF(ISNUMBER(SEARCH("[PERDIDA]",T166)),-V166,0))),0)</f>
        <v/>
      </c>
      <c r="Y166" s="35">
        <f>Y165+X166</f>
        <v/>
      </c>
      <c r="Z166" s="36">
        <f>IF(OR(Q166="",R166=""),"",(L166-IF(Q166&gt;R166,1,0))^2+(M166-IF(Q166=R166,1,0))^2+(N166-IF(Q166&lt;R166,1,0))^2)</f>
        <v/>
      </c>
      <c r="AA166" s="36">
        <f>IF(OR(Q166="",R166="",F166="",F166=0,G166="",G166=0,H166="",H166=0),"",((1/F166/(1/F166+1/G166+1/H166))-IF(Q166&gt;R166,1,0))^2+((1/G166/(1/F166+1/G166+1/H166))-IF(Q166=R166,1,0))^2+((1/H166/(1/F166+1/G166+1/H166))-IF(Q166&lt;R166,1,0))^2)</f>
        <v/>
      </c>
      <c r="AB166" s="37" t="n">
        <v>1.5462</v>
      </c>
      <c r="AC166" s="33" t="inlineStr">
        <is>
          <t>NO</t>
        </is>
      </c>
    </row>
    <row r="167">
      <c r="A167" s="30" t="n">
        <v>46124</v>
      </c>
      <c r="B167" s="31" t="inlineStr">
        <is>
          <t>2026-04-12sunderlandtottenhamhotspur</t>
        </is>
      </c>
      <c r="C167" s="31" t="inlineStr">
        <is>
          <t>Sunderland vs Tottenham Hotspur</t>
        </is>
      </c>
      <c r="D167" s="31" t="inlineStr">
        <is>
          <t>Sunderland</t>
        </is>
      </c>
      <c r="E167" s="31" t="inlineStr">
        <is>
          <t>Tottenham Hotspur</t>
        </is>
      </c>
      <c r="F167" s="32" t="n">
        <v>2.68</v>
      </c>
      <c r="G167" s="32" t="n">
        <v>3.39</v>
      </c>
      <c r="H167" s="32" t="n">
        <v>2.74</v>
      </c>
      <c r="I167" s="32" t="n">
        <v>2.05</v>
      </c>
      <c r="J167" s="32" t="n">
        <v>1.85</v>
      </c>
      <c r="K167" s="33" t="inlineStr">
        <is>
          <t>Inglaterra</t>
        </is>
      </c>
      <c r="L167" s="34" t="n">
        <v>0.413615</v>
      </c>
      <c r="M167" s="34" t="n">
        <v>0.173093</v>
      </c>
      <c r="N167" s="34" t="n">
        <v>0.413292</v>
      </c>
      <c r="O167" s="34" t="n">
        <v>0.8693498833775938</v>
      </c>
      <c r="P167" s="34" t="n">
        <v>0.1306501166224062</v>
      </c>
      <c r="Q167" s="38" t="n"/>
      <c r="R167" s="38" t="n"/>
      <c r="S167" s="31" t="inlineStr">
        <is>
          <t>[PASAR] Margen Predictivo Insuficiente (&lt;5%)</t>
        </is>
      </c>
      <c r="T167" s="31">
        <f>IF(OR(Q167="",R167=""),"[APOSTAR] OVER 2.5",IF((Q167+R167)&gt;2.5,"[GANADA] OVER 2.5","[PERDIDA] OVER 2.5"))</f>
        <v/>
      </c>
      <c r="U167" s="35" t="n">
        <v>0</v>
      </c>
      <c r="V167" s="35" t="n">
        <v>1250</v>
      </c>
      <c r="W167" s="31">
        <f>IF(L167="","",IF((MAX(L167,M167,N167)-MEDIAN(L167,M167,N167))&gt;0.05,IF(OR(Q167="",R167=""),"[PREDICCION] "&amp;IF(L167=MAX(L167,M167,N167),"LOCAL",IF(M167=MAX(L167,M167,N167),"EMPATE","VISITA")),IF(L167=MAX(L167,M167,N167),IF(Q167&gt;R167,"[ACIERTO]","[FALLO]"),IF(M167=MAX(L167,M167,N167),IF(Q167=R167,"[ACIERTO]","[FALLO]"),IF(Q167&lt;R167,"[ACIERTO]","[FALLO]")))),"[PASAR] Margen Insuf"))</f>
        <v/>
      </c>
      <c r="X167" s="35">
        <f>IFERROR(IF(U167=0,0,IF(ISNUMBER(SEARCH("[GANADA]",S167)),U167*(IF(ISNUMBER(SEARCH("LOCAL",S167)),F167,IF(ISNUMBER(SEARCH("EMPATE",S167)),G167,H167))-1),IF(ISNUMBER(SEARCH("[PERDIDA]",S167)),-U167,0))),0)+IFERROR(IF(V167=0,0,IF(ISNUMBER(SEARCH("[GANADA]",T167)),V167*(IF(ISNUMBER(SEARCH("OVER",T167)),I167,J167)-1),IF(ISNUMBER(SEARCH("[PERDIDA]",T167)),-V167,0))),0)</f>
        <v/>
      </c>
      <c r="Y167" s="35">
        <f>Y166+X167</f>
        <v/>
      </c>
      <c r="Z167" s="36">
        <f>IF(OR(Q167="",R167=""),"",(L167-IF(Q167&gt;R167,1,0))^2+(M167-IF(Q167=R167,1,0))^2+(N167-IF(Q167&lt;R167,1,0))^2)</f>
        <v/>
      </c>
      <c r="AA167" s="36">
        <f>IF(OR(Q167="",R167="",F167="",F167=0,G167="",G167=0,H167="",H167=0),"",((1/F167/(1/F167+1/G167+1/H167))-IF(Q167&gt;R167,1,0))^2+((1/G167/(1/F167+1/G167+1/H167))-IF(Q167=R167,1,0))^2+((1/H167/(1/F167+1/G167+1/H167))-IF(Q167&lt;R167,1,0))^2)</f>
        <v/>
      </c>
      <c r="AB167" s="37" t="n">
        <v>1.3796</v>
      </c>
      <c r="AC167" s="33" t="inlineStr">
        <is>
          <t>NO</t>
        </is>
      </c>
    </row>
    <row r="168">
      <c r="A168" s="30" t="n">
        <v>46125</v>
      </c>
      <c r="B168" s="31" t="inlineStr">
        <is>
          <t>2026-04-13caykurrizesporgaziantepfk</t>
        </is>
      </c>
      <c r="C168" s="31" t="inlineStr">
        <is>
          <t>Caykur Rizespor vs Gaziantep FK</t>
        </is>
      </c>
      <c r="D168" s="31" t="inlineStr">
        <is>
          <t>Caykur Rizespor</t>
        </is>
      </c>
      <c r="E168" s="31" t="inlineStr">
        <is>
          <t>Gaziantep FK</t>
        </is>
      </c>
      <c r="F168" s="32" t="n">
        <v>1.78</v>
      </c>
      <c r="G168" s="32" t="n">
        <v>3.66</v>
      </c>
      <c r="H168" s="32" t="n">
        <v>4.59</v>
      </c>
      <c r="I168" s="32" t="n"/>
      <c r="J168" s="32" t="n"/>
      <c r="K168" s="33" t="inlineStr">
        <is>
          <t>Turquia</t>
        </is>
      </c>
      <c r="L168" s="34" t="n">
        <v>0.475607</v>
      </c>
      <c r="M168" s="34" t="n">
        <v>0.185727</v>
      </c>
      <c r="N168" s="34" t="n">
        <v>0.338666</v>
      </c>
      <c r="O168" s="34" t="n">
        <v>0.8478934248542362</v>
      </c>
      <c r="P168" s="34" t="n">
        <v>0.1521065751457637</v>
      </c>
      <c r="Q168" s="38" t="n"/>
      <c r="R168" s="38" t="n"/>
      <c r="S168" s="31">
        <f>IF(OR(Q168="",R168=""),"[APOSTAR] VISITA",IF(Q168&lt;R168,"[GANADA] VISITA","[PERDIDA] VISITA"))</f>
        <v/>
      </c>
      <c r="T168" s="31" t="inlineStr">
        <is>
          <t>[PASAR] Sin Cuotas</t>
        </is>
      </c>
      <c r="U168" s="35" t="n">
        <v>1767.77</v>
      </c>
      <c r="V168" s="35" t="n">
        <v>0</v>
      </c>
      <c r="W168" s="31">
        <f>IF(L168="","",IF((MAX(L168,M168,N168)-MEDIAN(L168,M168,N168))&gt;0.05,IF(OR(Q168="",R168=""),"[PREDICCION] "&amp;IF(L168=MAX(L168,M168,N168),"LOCAL",IF(M168=MAX(L168,M168,N168),"EMPATE","VISITA")),IF(L168=MAX(L168,M168,N168),IF(Q168&gt;R168,"[ACIERTO]","[FALLO]"),IF(M168=MAX(L168,M168,N168),IF(Q168=R168,"[ACIERTO]","[FALLO]"),IF(Q168&lt;R168,"[ACIERTO]","[FALLO]")))),"[PASAR] Margen Insuf"))</f>
        <v/>
      </c>
      <c r="X168" s="35">
        <f>IFERROR(IF(U168=0,0,IF(ISNUMBER(SEARCH("[GANADA]",S168)),U168*(IF(ISNUMBER(SEARCH("LOCAL",S168)),F168,IF(ISNUMBER(SEARCH("EMPATE",S168)),G168,H168))-1),IF(ISNUMBER(SEARCH("[PERDIDA]",S168)),-U168,0))),0)+IFERROR(IF(V168=0,0,IF(ISNUMBER(SEARCH("[GANADA]",T168)),V168*(IF(ISNUMBER(SEARCH("OVER",T168)),I168,J168)-1),IF(ISNUMBER(SEARCH("[PERDIDA]",T168)),-V168,0))),0)</f>
        <v/>
      </c>
      <c r="Y168" s="35">
        <f>Y167+X168</f>
        <v/>
      </c>
      <c r="Z168" s="36">
        <f>IF(OR(Q168="",R168=""),"",(L168-IF(Q168&gt;R168,1,0))^2+(M168-IF(Q168=R168,1,0))^2+(N168-IF(Q168&lt;R168,1,0))^2)</f>
        <v/>
      </c>
      <c r="AA168" s="36">
        <f>IF(OR(Q168="",R168="",F168="",F168=0,G168="",G168=0,H168="",H168=0),"",((1/F168/(1/F168+1/G168+1/H168))-IF(Q168&gt;R168,1,0))^2+((1/G168/(1/F168+1/G168+1/H168))-IF(Q168=R168,1,0))^2+((1/H168/(1/F168+1/G168+1/H168))-IF(Q168&lt;R168,1,0))^2)</f>
        <v/>
      </c>
      <c r="AB168" s="37" t="n">
        <v>1.3114</v>
      </c>
      <c r="AC168" s="33" t="inlineStr">
        <is>
          <t>NO</t>
        </is>
      </c>
    </row>
    <row r="169">
      <c r="A169" s="30" t="n">
        <v>46125</v>
      </c>
      <c r="B169" s="31" t="inlineStr">
        <is>
          <t>2026-04-13defensayjusticiatallerescordoba</t>
        </is>
      </c>
      <c r="C169" s="31" t="inlineStr">
        <is>
          <t>Defensa y Justicia vs Talleres (córdoba)</t>
        </is>
      </c>
      <c r="D169" s="31" t="inlineStr">
        <is>
          <t>Defensa y Justicia</t>
        </is>
      </c>
      <c r="E169" s="31" t="inlineStr">
        <is>
          <t>Talleres (córdoba)</t>
        </is>
      </c>
      <c r="F169" s="32" t="n">
        <v>3.07</v>
      </c>
      <c r="G169" s="32" t="n">
        <v>2.54</v>
      </c>
      <c r="H169" s="32" t="n">
        <v>3.04</v>
      </c>
      <c r="I169" s="32" t="n"/>
      <c r="J169" s="32" t="n"/>
      <c r="K169" s="33" t="inlineStr">
        <is>
          <t>Argentina</t>
        </is>
      </c>
      <c r="L169" s="34" t="n">
        <v>0.3923224739932726</v>
      </c>
      <c r="M169" s="34" t="n">
        <v>0.2362594020217585</v>
      </c>
      <c r="N169" s="34" t="n">
        <v>0.3714181239849688</v>
      </c>
      <c r="O169" s="34" t="n">
        <v>0.6798820498619095</v>
      </c>
      <c r="P169" s="34" t="n">
        <v>0.3201179501380905</v>
      </c>
      <c r="Q169" s="38" t="n"/>
      <c r="R169" s="38" t="n"/>
      <c r="S169" s="31" t="inlineStr">
        <is>
          <t>[PASAR] Margen Predictivo Insuficiente (&lt;5%)</t>
        </is>
      </c>
      <c r="T169" s="31" t="inlineStr">
        <is>
          <t>[PASAR] Sin Cuotas</t>
        </is>
      </c>
      <c r="U169" s="35" t="n">
        <v>0</v>
      </c>
      <c r="V169" s="35" t="n">
        <v>0</v>
      </c>
      <c r="W169" s="31">
        <f>IF(L169="","",IF((MAX(L169,M169,N169)-MEDIAN(L169,M169,N169))&gt;0.05,IF(OR(Q169="",R169=""),"[PREDICCION] "&amp;IF(L169=MAX(L169,M169,N169),"LOCAL",IF(M169=MAX(L169,M169,N169),"EMPATE","VISITA")),IF(L169=MAX(L169,M169,N169),IF(Q169&gt;R169,"[ACIERTO]","[FALLO]"),IF(M169=MAX(L169,M169,N169),IF(Q169=R169,"[ACIERTO]","[FALLO]"),IF(Q169&lt;R169,"[ACIERTO]","[FALLO]")))),"[PASAR] Margen Insuf"))</f>
        <v/>
      </c>
      <c r="X169" s="35">
        <f>IFERROR(IF(U169=0,0,IF(ISNUMBER(SEARCH("[GANADA]",S169)),U169*(IF(ISNUMBER(SEARCH("LOCAL",S169)),F169,IF(ISNUMBER(SEARCH("EMPATE",S169)),G169,H169))-1),IF(ISNUMBER(SEARCH("[PERDIDA]",S169)),-U169,0))),0)+IFERROR(IF(V169=0,0,IF(ISNUMBER(SEARCH("[GANADA]",T169)),V169*(IF(ISNUMBER(SEARCH("OVER",T169)),I169,J169)-1),IF(ISNUMBER(SEARCH("[PERDIDA]",T169)),-V169,0))),0)</f>
        <v/>
      </c>
      <c r="Y169" s="35">
        <f>Y168+X169</f>
        <v/>
      </c>
      <c r="Z169" s="36">
        <f>IF(OR(Q169="",R169=""),"",(L169-IF(Q169&gt;R169,1,0))^2+(M169-IF(Q169=R169,1,0))^2+(N169-IF(Q169&lt;R169,1,0))^2)</f>
        <v/>
      </c>
      <c r="AA169" s="36">
        <f>IF(OR(Q169="",R169="",F169="",F169=0,G169="",G169=0,H169="",H169=0),"",((1/F169/(1/F169+1/G169+1/H169))-IF(Q169&gt;R169,1,0))^2+((1/G169/(1/F169+1/G169+1/H169))-IF(Q169=R169,1,0))^2+((1/H169/(1/F169+1/G169+1/H169))-IF(Q169&lt;R169,1,0))^2)</f>
        <v/>
      </c>
      <c r="AB169" s="37" t="n">
        <v>0.8088</v>
      </c>
      <c r="AC169" s="33" t="inlineStr">
        <is>
          <t>NO</t>
        </is>
      </c>
    </row>
    <row r="170">
      <c r="A170" s="30" t="n">
        <v>46125</v>
      </c>
      <c r="B170" s="31" t="inlineStr">
        <is>
          <t>2026-04-13eyupsporsamsunspor</t>
        </is>
      </c>
      <c r="C170" s="31" t="inlineStr">
        <is>
          <t>Eyupspor vs Samsunspor</t>
        </is>
      </c>
      <c r="D170" s="31" t="inlineStr">
        <is>
          <t>Eyupspor</t>
        </is>
      </c>
      <c r="E170" s="31" t="inlineStr">
        <is>
          <t>Samsunspor</t>
        </is>
      </c>
      <c r="F170" s="32" t="n">
        <v>4.33</v>
      </c>
      <c r="G170" s="32" t="n">
        <v>3.53</v>
      </c>
      <c r="H170" s="32" t="n">
        <v>1.85</v>
      </c>
      <c r="I170" s="32" t="n">
        <v>2.03</v>
      </c>
      <c r="J170" s="32" t="n">
        <v>1.82</v>
      </c>
      <c r="K170" s="33" t="inlineStr">
        <is>
          <t>Turquia</t>
        </is>
      </c>
      <c r="L170" s="34" t="n">
        <v>0.438738</v>
      </c>
      <c r="M170" s="34" t="n">
        <v>0.192277</v>
      </c>
      <c r="N170" s="34" t="n">
        <v>0.368985</v>
      </c>
      <c r="O170" s="34" t="n">
        <v>0.8247994168890981</v>
      </c>
      <c r="P170" s="34" t="n">
        <v>0.1752005831109019</v>
      </c>
      <c r="Q170" s="38" t="n"/>
      <c r="R170" s="38" t="n"/>
      <c r="S170" s="31">
        <f>IF(OR(Q170="",R170=""),"[APOSTAR] LOCAL",IF(Q170&gt;R170,"[GANADA] LOCAL","[PERDIDA] LOCAL"))</f>
        <v/>
      </c>
      <c r="T170" s="31" t="inlineStr">
        <is>
          <t>[PASAR] Overlap Riesgo (1X2 Priorizado)</t>
        </is>
      </c>
      <c r="U170" s="35" t="n">
        <v>1767.77</v>
      </c>
      <c r="V170" s="35" t="n">
        <v>0</v>
      </c>
      <c r="W170" s="31">
        <f>IF(L170="","",IF((MAX(L170,M170,N170)-MEDIAN(L170,M170,N170))&gt;0.05,IF(OR(Q170="",R170=""),"[PREDICCION] "&amp;IF(L170=MAX(L170,M170,N170),"LOCAL",IF(M170=MAX(L170,M170,N170),"EMPATE","VISITA")),IF(L170=MAX(L170,M170,N170),IF(Q170&gt;R170,"[ACIERTO]","[FALLO]"),IF(M170=MAX(L170,M170,N170),IF(Q170=R170,"[ACIERTO]","[FALLO]"),IF(Q170&lt;R170,"[ACIERTO]","[FALLO]")))),"[PASAR] Margen Insuf"))</f>
        <v/>
      </c>
      <c r="X170" s="35">
        <f>IFERROR(IF(U170=0,0,IF(ISNUMBER(SEARCH("[GANADA]",S170)),U170*(IF(ISNUMBER(SEARCH("LOCAL",S170)),F170,IF(ISNUMBER(SEARCH("EMPATE",S170)),G170,H170))-1),IF(ISNUMBER(SEARCH("[PERDIDA]",S170)),-U170,0))),0)+IFERROR(IF(V170=0,0,IF(ISNUMBER(SEARCH("[GANADA]",T170)),V170*(IF(ISNUMBER(SEARCH("OVER",T170)),I170,J170)-1),IF(ISNUMBER(SEARCH("[PERDIDA]",T170)),-V170,0))),0)</f>
        <v/>
      </c>
      <c r="Y170" s="35">
        <f>Y169+X170</f>
        <v/>
      </c>
      <c r="Z170" s="36">
        <f>IF(OR(Q170="",R170=""),"",(L170-IF(Q170&gt;R170,1,0))^2+(M170-IF(Q170=R170,1,0))^2+(N170-IF(Q170&lt;R170,1,0))^2)</f>
        <v/>
      </c>
      <c r="AA170" s="36">
        <f>IF(OR(Q170="",R170="",F170="",F170=0,G170="",G170=0,H170="",H170=0),"",((1/F170/(1/F170+1/G170+1/H170))-IF(Q170&gt;R170,1,0))^2+((1/G170/(1/F170+1/G170+1/H170))-IF(Q170=R170,1,0))^2+((1/H170/(1/F170+1/G170+1/H170))-IF(Q170&lt;R170,1,0))^2)</f>
        <v/>
      </c>
      <c r="AB170" s="37" t="n">
        <v>1.2835</v>
      </c>
      <c r="AC170" s="33" t="inlineStr">
        <is>
          <t>NO</t>
        </is>
      </c>
    </row>
    <row r="171">
      <c r="A171" s="30" t="n">
        <v>46125</v>
      </c>
      <c r="B171" s="31" t="inlineStr">
        <is>
          <t>2026-04-13lanusbanfield</t>
        </is>
      </c>
      <c r="C171" s="31" t="inlineStr">
        <is>
          <t>Lanus vs Banfield</t>
        </is>
      </c>
      <c r="D171" s="31" t="inlineStr">
        <is>
          <t>Lanus</t>
        </is>
      </c>
      <c r="E171" s="31" t="inlineStr">
        <is>
          <t>Banfield</t>
        </is>
      </c>
      <c r="F171" s="32" t="n">
        <v>1.85</v>
      </c>
      <c r="G171" s="32" t="n">
        <v>3.42</v>
      </c>
      <c r="H171" s="32" t="n">
        <v>4.52</v>
      </c>
      <c r="I171" s="32" t="n"/>
      <c r="J171" s="32" t="n"/>
      <c r="K171" s="33" t="inlineStr">
        <is>
          <t>Argentina</t>
        </is>
      </c>
      <c r="L171" s="34" t="n">
        <v>0.448373</v>
      </c>
      <c r="M171" s="34" t="n">
        <v>0.222168</v>
      </c>
      <c r="N171" s="34" t="n">
        <v>0.32946</v>
      </c>
      <c r="O171" s="34" t="n">
        <v>0.6966201773216166</v>
      </c>
      <c r="P171" s="34" t="n">
        <v>0.3033798226783834</v>
      </c>
      <c r="Q171" s="38" t="n"/>
      <c r="R171" s="38" t="n"/>
      <c r="S171" s="31" t="inlineStr">
        <is>
          <t>[PASAR] Floor Prob (33%&lt;33%)</t>
        </is>
      </c>
      <c r="T171" s="31" t="inlineStr">
        <is>
          <t>[PASAR] Sin Cuotas</t>
        </is>
      </c>
      <c r="U171" s="35" t="n">
        <v>0</v>
      </c>
      <c r="V171" s="35" t="n">
        <v>0</v>
      </c>
      <c r="W171" s="31">
        <f>IF(L171="","",IF((MAX(L171,M171,N171)-MEDIAN(L171,M171,N171))&gt;0.05,IF(OR(Q171="",R171=""),"[PREDICCION] "&amp;IF(L171=MAX(L171,M171,N171),"LOCAL",IF(M171=MAX(L171,M171,N171),"EMPATE","VISITA")),IF(L171=MAX(L171,M171,N171),IF(Q171&gt;R171,"[ACIERTO]","[FALLO]"),IF(M171=MAX(L171,M171,N171),IF(Q171=R171,"[ACIERTO]","[FALLO]"),IF(Q171&lt;R171,"[ACIERTO]","[FALLO]")))),"[PASAR] Margen Insuf"))</f>
        <v/>
      </c>
      <c r="X171" s="35">
        <f>IFERROR(IF(U171=0,0,IF(ISNUMBER(SEARCH("[GANADA]",S171)),U171*(IF(ISNUMBER(SEARCH("LOCAL",S171)),F171,IF(ISNUMBER(SEARCH("EMPATE",S171)),G171,H171))-1),IF(ISNUMBER(SEARCH("[PERDIDA]",S171)),-U171,0))),0)+IFERROR(IF(V171=0,0,IF(ISNUMBER(SEARCH("[GANADA]",T171)),V171*(IF(ISNUMBER(SEARCH("OVER",T171)),I171,J171)-1),IF(ISNUMBER(SEARCH("[PERDIDA]",T171)),-V171,0))),0)</f>
        <v/>
      </c>
      <c r="Y171" s="35">
        <f>Y170+X171</f>
        <v/>
      </c>
      <c r="Z171" s="36">
        <f>IF(OR(Q171="",R171=""),"",(L171-IF(Q171&gt;R171,1,0))^2+(M171-IF(Q171=R171,1,0))^2+(N171-IF(Q171&lt;R171,1,0))^2)</f>
        <v/>
      </c>
      <c r="AA171" s="36">
        <f>IF(OR(Q171="",R171="",F171="",F171=0,G171="",G171=0,H171="",H171=0),"",((1/F171/(1/F171+1/G171+1/H171))-IF(Q171&gt;R171,1,0))^2+((1/G171/(1/F171+1/G171+1/H171))-IF(Q171=R171,1,0))^2+((1/H171/(1/F171+1/G171+1/H171))-IF(Q171&lt;R171,1,0))^2)</f>
        <v/>
      </c>
      <c r="AB171" s="37" t="n">
        <v>0.9307</v>
      </c>
      <c r="AC171" s="33" t="inlineStr">
        <is>
          <t>NO</t>
        </is>
      </c>
    </row>
    <row r="172">
      <c r="A172" s="30" t="n">
        <v>46125</v>
      </c>
      <c r="B172" s="31" t="inlineStr">
        <is>
          <t>2026-04-13manchesterunitedleedsunited</t>
        </is>
      </c>
      <c r="C172" s="31" t="inlineStr">
        <is>
          <t>Manchester United vs Leeds United</t>
        </is>
      </c>
      <c r="D172" s="31" t="inlineStr">
        <is>
          <t>Manchester United</t>
        </is>
      </c>
      <c r="E172" s="31" t="inlineStr">
        <is>
          <t>Leeds United</t>
        </is>
      </c>
      <c r="F172" s="32" t="n">
        <v>1.62</v>
      </c>
      <c r="G172" s="32" t="n">
        <v>4.25</v>
      </c>
      <c r="H172" s="32" t="n">
        <v>5.4</v>
      </c>
      <c r="I172" s="32" t="n"/>
      <c r="J172" s="32" t="n"/>
      <c r="K172" s="33" t="inlineStr">
        <is>
          <t>Inglaterra</t>
        </is>
      </c>
      <c r="L172" s="34" t="n">
        <v>0.458371</v>
      </c>
      <c r="M172" s="34" t="n">
        <v>0.179207</v>
      </c>
      <c r="N172" s="34" t="n">
        <v>0.362422</v>
      </c>
      <c r="O172" s="34" t="n">
        <v>0.8711350590571894</v>
      </c>
      <c r="P172" s="34" t="n">
        <v>0.1288649409428107</v>
      </c>
      <c r="Q172" s="38" t="n"/>
      <c r="R172" s="38" t="n"/>
      <c r="S172" s="31" t="inlineStr">
        <is>
          <t>[PASAR] Riesgo/Beneficio</t>
        </is>
      </c>
      <c r="T172" s="31" t="inlineStr">
        <is>
          <t>[PASAR] Sin Cuotas</t>
        </is>
      </c>
      <c r="U172" s="35" t="n">
        <v>0</v>
      </c>
      <c r="V172" s="35" t="n">
        <v>0</v>
      </c>
      <c r="W172" s="31">
        <f>IF(L172="","",IF((MAX(L172,M172,N172)-MEDIAN(L172,M172,N172))&gt;0.05,IF(OR(Q172="",R172=""),"[PREDICCION] "&amp;IF(L172=MAX(L172,M172,N172),"LOCAL",IF(M172=MAX(L172,M172,N172),"EMPATE","VISITA")),IF(L172=MAX(L172,M172,N172),IF(Q172&gt;R172,"[ACIERTO]","[FALLO]"),IF(M172=MAX(L172,M172,N172),IF(Q172=R172,"[ACIERTO]","[FALLO]"),IF(Q172&lt;R172,"[ACIERTO]","[FALLO]")))),"[PASAR] Margen Insuf"))</f>
        <v/>
      </c>
      <c r="X172" s="35">
        <f>IFERROR(IF(U172=0,0,IF(ISNUMBER(SEARCH("[GANADA]",S172)),U172*(IF(ISNUMBER(SEARCH("LOCAL",S172)),F172,IF(ISNUMBER(SEARCH("EMPATE",S172)),G172,H172))-1),IF(ISNUMBER(SEARCH("[PERDIDA]",S172)),-U172,0))),0)+IFERROR(IF(V172=0,0,IF(ISNUMBER(SEARCH("[GANADA]",T172)),V172*(IF(ISNUMBER(SEARCH("OVER",T172)),I172,J172)-1),IF(ISNUMBER(SEARCH("[PERDIDA]",T172)),-V172,0))),0)</f>
        <v/>
      </c>
      <c r="Y172" s="35">
        <f>Y171+X172</f>
        <v/>
      </c>
      <c r="Z172" s="36">
        <f>IF(OR(Q172="",R172=""),"",(L172-IF(Q172&gt;R172,1,0))^2+(M172-IF(Q172=R172,1,0))^2+(N172-IF(Q172&lt;R172,1,0))^2)</f>
        <v/>
      </c>
      <c r="AA172" s="36">
        <f>IF(OR(Q172="",R172="",F172="",F172=0,G172="",G172=0,H172="",H172=0),"",((1/F172/(1/F172+1/G172+1/H172))-IF(Q172&gt;R172,1,0))^2+((1/G172/(1/F172+1/G172+1/H172))-IF(Q172=R172,1,0))^2+((1/H172/(1/F172+1/G172+1/H172))-IF(Q172&lt;R172,1,0))^2)</f>
        <v/>
      </c>
      <c r="AB172" s="37" t="n">
        <v>1.3167</v>
      </c>
      <c r="AC172" s="33" t="inlineStr">
        <is>
          <t>NO</t>
        </is>
      </c>
    </row>
    <row r="173">
      <c r="A173" s="30" t="n">
        <v>46125</v>
      </c>
      <c r="B173" s="31" t="inlineStr">
        <is>
          <t>2026-04-13sarmientojuningimnasialaplata</t>
        </is>
      </c>
      <c r="C173" s="31" t="inlineStr">
        <is>
          <t>Sarmiento (junin) vs Gimnasia la Plata</t>
        </is>
      </c>
      <c r="D173" s="31" t="inlineStr">
        <is>
          <t>Sarmiento (junin)</t>
        </is>
      </c>
      <c r="E173" s="31" t="inlineStr">
        <is>
          <t>Gimnasia la Plata</t>
        </is>
      </c>
      <c r="F173" s="32" t="n">
        <v>2.41</v>
      </c>
      <c r="G173" s="32" t="n">
        <v>2.93</v>
      </c>
      <c r="H173" s="32" t="n">
        <v>3.4</v>
      </c>
      <c r="I173" s="32" t="n"/>
      <c r="J173" s="32" t="n"/>
      <c r="K173" s="33" t="inlineStr">
        <is>
          <t>Argentina</t>
        </is>
      </c>
      <c r="L173" s="34" t="n">
        <v>0.3990542308666937</v>
      </c>
      <c r="M173" s="34" t="n">
        <v>0.2381931251327546</v>
      </c>
      <c r="N173" s="34" t="n">
        <v>0.3627526440005517</v>
      </c>
      <c r="O173" s="34" t="n">
        <v>0.6705515747078269</v>
      </c>
      <c r="P173" s="34" t="n">
        <v>0.3294484252921732</v>
      </c>
      <c r="Q173" s="38" t="n"/>
      <c r="R173" s="38" t="n"/>
      <c r="S173" s="31">
        <f>IF(OR(Q173="",R173=""),"[APOSTAR] VISITA",IF(Q173&lt;R173,"[GANADA] VISITA","[PERDIDA] VISITA"))</f>
        <v/>
      </c>
      <c r="T173" s="31" t="inlineStr">
        <is>
          <t>[PASAR] Sin Cuotas</t>
        </is>
      </c>
      <c r="U173" s="35" t="n">
        <v>2500</v>
      </c>
      <c r="V173" s="35" t="n">
        <v>0</v>
      </c>
      <c r="W173" s="31">
        <f>IF(L173="","",IF((MAX(L173,M173,N173)-MEDIAN(L173,M173,N173))&gt;0.05,IF(OR(Q173="",R173=""),"[PREDICCION] "&amp;IF(L173=MAX(L173,M173,N173),"LOCAL",IF(M173=MAX(L173,M173,N173),"EMPATE","VISITA")),IF(L173=MAX(L173,M173,N173),IF(Q173&gt;R173,"[ACIERTO]","[FALLO]"),IF(M173=MAX(L173,M173,N173),IF(Q173=R173,"[ACIERTO]","[FALLO]"),IF(Q173&lt;R173,"[ACIERTO]","[FALLO]")))),"[PASAR] Margen Insuf"))</f>
        <v/>
      </c>
      <c r="X173" s="35">
        <f>IFERROR(IF(U173=0,0,IF(ISNUMBER(SEARCH("[GANADA]",S173)),U173*(IF(ISNUMBER(SEARCH("LOCAL",S173)),F173,IF(ISNUMBER(SEARCH("EMPATE",S173)),G173,H173))-1),IF(ISNUMBER(SEARCH("[PERDIDA]",S173)),-U173,0))),0)+IFERROR(IF(V173=0,0,IF(ISNUMBER(SEARCH("[GANADA]",T173)),V173*(IF(ISNUMBER(SEARCH("OVER",T173)),I173,J173)-1),IF(ISNUMBER(SEARCH("[PERDIDA]",T173)),-V173,0))),0)</f>
        <v/>
      </c>
      <c r="Y173" s="35">
        <f>Y172+X173</f>
        <v/>
      </c>
      <c r="Z173" s="36">
        <f>IF(OR(Q173="",R173=""),"",(L173-IF(Q173&gt;R173,1,0))^2+(M173-IF(Q173=R173,1,0))^2+(N173-IF(Q173&lt;R173,1,0))^2)</f>
        <v/>
      </c>
      <c r="AA173" s="36">
        <f>IF(OR(Q173="",R173="",F173="",F173=0,G173="",G173=0,H173="",H173=0),"",((1/F173/(1/F173+1/G173+1/H173))-IF(Q173&gt;R173,1,0))^2+((1/G173/(1/F173+1/G173+1/H173))-IF(Q173=R173,1,0))^2+((1/H173/(1/F173+1/G173+1/H173))-IF(Q173&lt;R173,1,0))^2)</f>
        <v/>
      </c>
      <c r="AB173" s="37" t="n">
        <v>0.8578</v>
      </c>
      <c r="AC173" s="33" t="inlineStr">
        <is>
          <t>NO</t>
        </is>
      </c>
    </row>
    <row r="174">
      <c r="A174" s="30" t="n">
        <v>46125</v>
      </c>
      <c r="B174" s="31" t="inlineStr">
        <is>
          <t>2026-04-14velezsarsfieldcentralcordobasantiagodelestero</t>
        </is>
      </c>
      <c r="C174" s="31" t="inlineStr">
        <is>
          <t>Velez Sarsfield vs Central Córdoba (santiago del Estero)</t>
        </is>
      </c>
      <c r="D174" s="31" t="inlineStr">
        <is>
          <t>Velez Sarsfield</t>
        </is>
      </c>
      <c r="E174" s="31" t="inlineStr">
        <is>
          <t>Central Córdoba (santiago del Estero)</t>
        </is>
      </c>
      <c r="F174" s="32" t="n">
        <v>1.5</v>
      </c>
      <c r="G174" s="32" t="n">
        <v>3.88</v>
      </c>
      <c r="H174" s="32" t="n">
        <v>7.58</v>
      </c>
      <c r="I174" s="32" t="n"/>
      <c r="J174" s="32" t="n"/>
      <c r="K174" s="33" t="inlineStr">
        <is>
          <t>Argentina</t>
        </is>
      </c>
      <c r="L174" s="34" t="n">
        <v>0.456006</v>
      </c>
      <c r="M174" s="34" t="n">
        <v>0.218141</v>
      </c>
      <c r="N174" s="34" t="n">
        <v>0.325853</v>
      </c>
      <c r="O174" s="34" t="n">
        <v>0.7139585800856334</v>
      </c>
      <c r="P174" s="34" t="n">
        <v>0.2860414199143665</v>
      </c>
      <c r="Q174" s="38" t="n"/>
      <c r="R174" s="38" t="n"/>
      <c r="S174" s="31" t="inlineStr">
        <is>
          <t>[PASAR] Riesgo/Beneficio</t>
        </is>
      </c>
      <c r="T174" s="31" t="inlineStr">
        <is>
          <t>[PASAR] Sin Cuotas</t>
        </is>
      </c>
      <c r="U174" s="35" t="n">
        <v>0</v>
      </c>
      <c r="V174" s="35" t="n">
        <v>0</v>
      </c>
      <c r="W174" s="31">
        <f>IF(L174="","",IF((MAX(L174,M174,N174)-MEDIAN(L174,M174,N174))&gt;0.05,IF(OR(Q174="",R174=""),"[PREDICCION] "&amp;IF(L174=MAX(L174,M174,N174),"LOCAL",IF(M174=MAX(L174,M174,N174),"EMPATE","VISITA")),IF(L174=MAX(L174,M174,N174),IF(Q174&gt;R174,"[ACIERTO]","[FALLO]"),IF(M174=MAX(L174,M174,N174),IF(Q174=R174,"[ACIERTO]","[FALLO]"),IF(Q174&lt;R174,"[ACIERTO]","[FALLO]")))),"[PASAR] Margen Insuf"))</f>
        <v/>
      </c>
      <c r="X174" s="35">
        <f>IFERROR(IF(U174=0,0,IF(ISNUMBER(SEARCH("[GANADA]",S174)),U174*(IF(ISNUMBER(SEARCH("LOCAL",S174)),F174,IF(ISNUMBER(SEARCH("EMPATE",S174)),G174,H174))-1),IF(ISNUMBER(SEARCH("[PERDIDA]",S174)),-U174,0))),0)+IFERROR(IF(V174=0,0,IF(ISNUMBER(SEARCH("[GANADA]",T174)),V174*(IF(ISNUMBER(SEARCH("OVER",T174)),I174,J174)-1),IF(ISNUMBER(SEARCH("[PERDIDA]",T174)),-V174,0))),0)</f>
        <v/>
      </c>
      <c r="Y174" s="35">
        <f>Y173+X174</f>
        <v/>
      </c>
      <c r="Z174" s="36">
        <f>IF(OR(Q174="",R174=""),"",(L174-IF(Q174&gt;R174,1,0))^2+(M174-IF(Q174=R174,1,0))^2+(N174-IF(Q174&lt;R174,1,0))^2)</f>
        <v/>
      </c>
      <c r="AA174" s="36">
        <f>IF(OR(Q174="",R174="",F174="",F174=0,G174="",G174=0,H174="",H174=0),"",((1/F174/(1/F174+1/G174+1/H174))-IF(Q174&gt;R174,1,0))^2+((1/G174/(1/F174+1/G174+1/H174))-IF(Q174=R174,1,0))^2+((1/H174/(1/F174+1/G174+1/H174))-IF(Q174&lt;R174,1,0))^2)</f>
        <v/>
      </c>
      <c r="AB174" s="37" t="n">
        <v>1.0542</v>
      </c>
      <c r="AC174" s="33" t="inlineStr">
        <is>
          <t>NO</t>
        </is>
      </c>
    </row>
    <row r="175">
      <c r="A175" s="30" t="n">
        <v>46127</v>
      </c>
      <c r="B175" s="31" t="inlineStr">
        <is>
          <t>2026-04-15sarpsborgfkbodoglimt</t>
        </is>
      </c>
      <c r="C175" s="31" t="inlineStr">
        <is>
          <t>Sarpsborg fk vs Bodo/glimt</t>
        </is>
      </c>
      <c r="D175" s="31" t="inlineStr">
        <is>
          <t>Sarpsborg fk</t>
        </is>
      </c>
      <c r="E175" s="31" t="inlineStr">
        <is>
          <t>Bodo/glimt</t>
        </is>
      </c>
      <c r="F175" s="32" t="n"/>
      <c r="G175" s="32" t="n"/>
      <c r="H175" s="32" t="n"/>
      <c r="I175" s="32" t="n"/>
      <c r="J175" s="32" t="n"/>
      <c r="K175" s="33" t="inlineStr">
        <is>
          <t>Noruega</t>
        </is>
      </c>
      <c r="L175" s="34" t="n">
        <v>0.338659</v>
      </c>
      <c r="M175" s="34" t="n">
        <v>0.177156</v>
      </c>
      <c r="N175" s="34" t="n">
        <v>0.484185</v>
      </c>
      <c r="O175" s="34" t="n">
        <v>0.8957280474726956</v>
      </c>
      <c r="P175" s="34" t="n">
        <v>0.1042719525273043</v>
      </c>
      <c r="Q175" s="38" t="n"/>
      <c r="R175" s="38" t="n"/>
      <c r="S175" s="31" t="inlineStr">
        <is>
          <t>[PASAR] Sin Cuotas</t>
        </is>
      </c>
      <c r="T175" s="31" t="inlineStr">
        <is>
          <t>[PASAR] Sin Cuotas</t>
        </is>
      </c>
      <c r="U175" s="35" t="n">
        <v>0</v>
      </c>
      <c r="V175" s="35" t="n">
        <v>0</v>
      </c>
      <c r="W175" s="31">
        <f>IF(L175="","",IF((MAX(L175,M175,N175)-MEDIAN(L175,M175,N175))&gt;0.05,IF(OR(Q175="",R175=""),"[PREDICCION] "&amp;IF(L175=MAX(L175,M175,N175),"LOCAL",IF(M175=MAX(L175,M175,N175),"EMPATE","VISITA")),IF(L175=MAX(L175,M175,N175),IF(Q175&gt;R175,"[ACIERTO]","[FALLO]"),IF(M175=MAX(L175,M175,N175),IF(Q175=R175,"[ACIERTO]","[FALLO]"),IF(Q175&lt;R175,"[ACIERTO]","[FALLO]")))),"[PASAR] Margen Insuf"))</f>
        <v/>
      </c>
      <c r="X175" s="35">
        <f>IFERROR(IF(U175=0,0,IF(ISNUMBER(SEARCH("[GANADA]",S175)),U175*(IF(ISNUMBER(SEARCH("LOCAL",S175)),F175,IF(ISNUMBER(SEARCH("EMPATE",S175)),G175,H175))-1),IF(ISNUMBER(SEARCH("[PERDIDA]",S175)),-U175,0))),0)+IFERROR(IF(V175=0,0,IF(ISNUMBER(SEARCH("[GANADA]",T175)),V175*(IF(ISNUMBER(SEARCH("OVER",T175)),I175,J175)-1),IF(ISNUMBER(SEARCH("[PERDIDA]",T175)),-V175,0))),0)</f>
        <v/>
      </c>
      <c r="Y175" s="35">
        <f>Y174+X175</f>
        <v/>
      </c>
      <c r="Z175" s="36">
        <f>IF(OR(Q175="",R175=""),"",(L175-IF(Q175&gt;R175,1,0))^2+(M175-IF(Q175=R175,1,0))^2+(N175-IF(Q175&lt;R175,1,0))^2)</f>
        <v/>
      </c>
      <c r="AA175" s="36">
        <f>IF(OR(Q175="",R175="",F175="",F175=0,G175="",G175=0,H175="",H175=0),"",((1/F175/(1/F175+1/G175+1/H175))-IF(Q175&gt;R175,1,0))^2+((1/G175/(1/F175+1/G175+1/H175))-IF(Q175=R175,1,0))^2+((1/H175/(1/F175+1/G175+1/H175))-IF(Q175&lt;R175,1,0))^2)</f>
        <v/>
      </c>
      <c r="AB175" s="37" t="n">
        <v>1.6215</v>
      </c>
      <c r="AC175" s="33" t="inlineStr">
        <is>
          <t>NO</t>
        </is>
      </c>
    </row>
    <row r="176">
      <c r="A176" s="30" t="n">
        <v>46127</v>
      </c>
      <c r="B176" s="31" t="inlineStr">
        <is>
          <t>2026-04-15tromsolillestrom</t>
        </is>
      </c>
      <c r="C176" s="31" t="inlineStr">
        <is>
          <t>Tromso vs Lillestrom</t>
        </is>
      </c>
      <c r="D176" s="31" t="inlineStr">
        <is>
          <t>Tromso</t>
        </is>
      </c>
      <c r="E176" s="31" t="inlineStr">
        <is>
          <t>Lillestrom</t>
        </is>
      </c>
      <c r="F176" s="32" t="n"/>
      <c r="G176" s="32" t="n"/>
      <c r="H176" s="32" t="n"/>
      <c r="I176" s="32" t="n"/>
      <c r="J176" s="32" t="n"/>
      <c r="K176" s="33" t="inlineStr">
        <is>
          <t>Noruega</t>
        </is>
      </c>
      <c r="L176" s="34" t="n">
        <v>0.460953</v>
      </c>
      <c r="M176" s="34" t="n">
        <v>0.170748</v>
      </c>
      <c r="N176" s="34" t="n">
        <v>0.368299</v>
      </c>
      <c r="O176" s="34" t="n">
        <v>0.9197873483070353</v>
      </c>
      <c r="P176" s="34" t="n">
        <v>0.08021265169296457</v>
      </c>
      <c r="Q176" s="38" t="n"/>
      <c r="R176" s="38" t="n"/>
      <c r="S176" s="31" t="inlineStr">
        <is>
          <t>[PASAR] Sin Cuotas</t>
        </is>
      </c>
      <c r="T176" s="31" t="inlineStr">
        <is>
          <t>[PASAR] Sin Cuotas</t>
        </is>
      </c>
      <c r="U176" s="35" t="n">
        <v>0</v>
      </c>
      <c r="V176" s="35" t="n">
        <v>0</v>
      </c>
      <c r="W176" s="31">
        <f>IF(L176="","",IF((MAX(L176,M176,N176)-MEDIAN(L176,M176,N176))&gt;0.05,IF(OR(Q176="",R176=""),"[PREDICCION] "&amp;IF(L176=MAX(L176,M176,N176),"LOCAL",IF(M176=MAX(L176,M176,N176),"EMPATE","VISITA")),IF(L176=MAX(L176,M176,N176),IF(Q176&gt;R176,"[ACIERTO]","[FALLO]"),IF(M176=MAX(L176,M176,N176),IF(Q176=R176,"[ACIERTO]","[FALLO]"),IF(Q176&lt;R176,"[ACIERTO]","[FALLO]")))),"[PASAR] Margen Insuf"))</f>
        <v/>
      </c>
      <c r="X176" s="35">
        <f>IFERROR(IF(U176=0,0,IF(ISNUMBER(SEARCH("[GANADA]",S176)),U176*(IF(ISNUMBER(SEARCH("LOCAL",S176)),F176,IF(ISNUMBER(SEARCH("EMPATE",S176)),G176,H176))-1),IF(ISNUMBER(SEARCH("[PERDIDA]",S176)),-U176,0))),0)+IFERROR(IF(V176=0,0,IF(ISNUMBER(SEARCH("[GANADA]",T176)),V176*(IF(ISNUMBER(SEARCH("OVER",T176)),I176,J176)-1),IF(ISNUMBER(SEARCH("[PERDIDA]",T176)),-V176,0))),0)</f>
        <v/>
      </c>
      <c r="Y176" s="35">
        <f>Y175+X176</f>
        <v/>
      </c>
      <c r="Z176" s="36">
        <f>IF(OR(Q176="",R176=""),"",(L176-IF(Q176&gt;R176,1,0))^2+(M176-IF(Q176=R176,1,0))^2+(N176-IF(Q176&lt;R176,1,0))^2)</f>
        <v/>
      </c>
      <c r="AA176" s="36">
        <f>IF(OR(Q176="",R176="",F176="",F176=0,G176="",G176=0,H176="",H176=0),"",((1/F176/(1/F176+1/G176+1/H176))-IF(Q176&gt;R176,1,0))^2+((1/G176/(1/F176+1/G176+1/H176))-IF(Q176=R176,1,0))^2+((1/H176/(1/F176+1/G176+1/H176))-IF(Q176&lt;R176,1,0))^2)</f>
        <v/>
      </c>
      <c r="AB176" s="37" t="n">
        <v>1.4715</v>
      </c>
      <c r="AC176" s="33" t="inlineStr">
        <is>
          <t>NO</t>
        </is>
      </c>
    </row>
  </sheetData>
  <autoFilter ref="A1:AC1"/>
  <conditionalFormatting sqref="A2:R176">
    <cfRule type="expression" priority="1" dxfId="0" stopIfTrue="0">
      <formula>$K2="Argentina"</formula>
    </cfRule>
    <cfRule type="expression" priority="2" dxfId="1" stopIfTrue="0">
      <formula>$K2="Brasil"</formula>
    </cfRule>
    <cfRule type="expression" priority="3" dxfId="2" stopIfTrue="0">
      <formula>$K2="Noruega"</formula>
    </cfRule>
    <cfRule type="expression" priority="4" dxfId="3" stopIfTrue="0">
      <formula>$K2="Turquia"</formula>
    </cfRule>
    <cfRule type="expression" priority="5" dxfId="4" stopIfTrue="0">
      <formula>$K2="Inglaterra"</formula>
    </cfRule>
  </conditionalFormatting>
  <conditionalFormatting sqref="S2:S176">
    <cfRule type="expression" priority="6" dxfId="5" stopIfTrue="1">
      <formula>ISNUMBER(SEARCH("[GANADA]",S2))</formula>
    </cfRule>
    <cfRule type="expression" priority="7" dxfId="6" stopIfTrue="1">
      <formula>ISNUMBER(SEARCH("[PERDIDA]",S2))</formula>
    </cfRule>
    <cfRule type="expression" priority="8" dxfId="7" stopIfTrue="1">
      <formula>ISNUMBER(SEARCH("[PASAR]",S2))</formula>
    </cfRule>
    <cfRule type="expression" priority="9" dxfId="8" stopIfTrue="1">
      <formula>ISNUMBER(SEARCH("[APOSTAR]",S2))</formula>
    </cfRule>
  </conditionalFormatting>
  <conditionalFormatting sqref="T2:T176">
    <cfRule type="expression" priority="10" dxfId="5" stopIfTrue="1">
      <formula>ISNUMBER(SEARCH("[GANADA]",T2))</formula>
    </cfRule>
    <cfRule type="expression" priority="11" dxfId="6" stopIfTrue="1">
      <formula>ISNUMBER(SEARCH("[PERDIDA]",T2))</formula>
    </cfRule>
    <cfRule type="expression" priority="12" dxfId="7" stopIfTrue="1">
      <formula>ISNUMBER(SEARCH("[PASAR]",T2))</formula>
    </cfRule>
    <cfRule type="expression" priority="13" dxfId="8" stopIfTrue="1">
      <formula>ISNUMBER(SEARCH("[APOSTAR]",T2))</formula>
    </cfRule>
  </conditionalFormatting>
  <conditionalFormatting sqref="X2:X176">
    <cfRule type="expression" priority="14" dxfId="5" stopIfTrue="1">
      <formula>X2&gt;0</formula>
    </cfRule>
    <cfRule type="expression" priority="15" dxfId="6" stopIfTrue="1">
      <formula>X2&lt;0</formula>
    </cfRule>
  </conditionalFormatting>
  <conditionalFormatting sqref="W2:W176">
    <cfRule type="expression" priority="16" dxfId="5" stopIfTrue="1">
      <formula>ISNUMBER(SEARCH("[ACIERTO]",W2))</formula>
    </cfRule>
    <cfRule type="expression" priority="17" dxfId="6" stopIfTrue="1">
      <formula>ISNUMBER(SEARCH("[FALLO]",W2))</formula>
    </cfRule>
    <cfRule type="expression" priority="18" dxfId="9" stopIfTrue="1">
      <formula>ISNUMBER(SEARCH("[PREDICCION]",W2))</formula>
    </cfRule>
    <cfRule type="expression" priority="19" dxfId="7" stopIfTrue="1">
      <formula>ISNUMBER(SEARCH("[PASAR]",W2))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2" customWidth="1" min="3" max="3"/>
    <col width="20" customWidth="1" min="4" max="4"/>
    <col width="11" customWidth="1" min="5" max="5"/>
    <col width="12" customWidth="1" min="6" max="6"/>
    <col width="13" customWidth="1" min="7" max="7"/>
    <col width="20" customWidth="1" min="8" max="8"/>
    <col width="11" customWidth="1" min="9" max="9"/>
    <col width="12" customWidth="1" min="10" max="10"/>
    <col width="13" customWidth="1" min="11" max="11"/>
    <col width="13" customWidth="1" min="12" max="12"/>
    <col width="9" customWidth="1" min="13" max="13"/>
    <col width="9" customWidth="1" min="14" max="14"/>
  </cols>
  <sheetData>
    <row r="1" ht="24" customHeight="1">
      <c r="A1" s="39" t="inlineStr">
        <is>
          <t>AUDITORIA COMPARATIVA: OPCION 1 (ACTIVA) vs OPCION 4 (SHADOW)</t>
        </is>
      </c>
    </row>
    <row r="2" ht="14" customHeight="1">
      <c r="A2" s="2" t="inlineStr">
        <is>
          <t>Op1 = Floor 33% + EV escalado + Caminos 2B/3 + Bloqueo empates + xG Margen O/U  (apuesta real)   |   Op4 = Floor 33% sin EV escalado + fallback prob baja (shadow, solo auditoria)</t>
        </is>
      </c>
    </row>
    <row r="3" ht="16" customHeight="1">
      <c r="A3" s="40" t="inlineStr">
        <is>
          <t>PARTIDO</t>
        </is>
      </c>
      <c r="D3" s="41" t="inlineStr">
        <is>
          <t>OPCION 1 (ACTIVA)</t>
        </is>
      </c>
      <c r="H3" s="42" t="inlineStr">
        <is>
          <t>OPCION 4 (SHADOW)</t>
        </is>
      </c>
      <c r="L3" s="43" t="inlineStr">
        <is>
          <t>DIFERENCIA</t>
        </is>
      </c>
    </row>
    <row r="4" ht="18" customHeight="1">
      <c r="A4" s="40" t="inlineStr">
        <is>
          <t>Fecha</t>
        </is>
      </c>
      <c r="B4" s="40" t="inlineStr">
        <is>
          <t>Partido</t>
        </is>
      </c>
      <c r="C4" s="40" t="inlineStr">
        <is>
          <t>Liga</t>
        </is>
      </c>
      <c r="D4" s="41" t="inlineStr">
        <is>
          <t>Apuesta Op1</t>
        </is>
      </c>
      <c r="E4" s="41" t="inlineStr">
        <is>
          <t>Stake Op1</t>
        </is>
      </c>
      <c r="F4" s="41" t="inlineStr">
        <is>
          <t>Resultado Op1</t>
        </is>
      </c>
      <c r="G4" s="41" t="inlineStr">
        <is>
          <t>P/L Op1</t>
        </is>
      </c>
      <c r="H4" s="42" t="inlineStr">
        <is>
          <t>Apuesta Op4</t>
        </is>
      </c>
      <c r="I4" s="42" t="inlineStr">
        <is>
          <t>Stake Op4</t>
        </is>
      </c>
      <c r="J4" s="42" t="inlineStr">
        <is>
          <t>Resultado Op4</t>
        </is>
      </c>
      <c r="K4" s="42" t="inlineStr">
        <is>
          <t>P/L Op4</t>
        </is>
      </c>
      <c r="L4" s="43" t="inlineStr">
        <is>
          <t>Dif P/L</t>
        </is>
      </c>
      <c r="M4" s="43" t="inlineStr">
        <is>
          <t>Op1 Win</t>
        </is>
      </c>
      <c r="N4" s="43" t="inlineStr">
        <is>
          <t>Op4 Win</t>
        </is>
      </c>
    </row>
    <row r="5" ht="16" customHeight="1">
      <c r="A5" s="44" t="inlineStr">
        <is>
          <t>18/03/2026</t>
        </is>
      </c>
      <c r="B5" s="45" t="inlineStr">
        <is>
          <t>Caykur Rizespor vs Samsunspor</t>
        </is>
      </c>
      <c r="C5" s="44" t="inlineStr">
        <is>
          <t>Turquia</t>
        </is>
      </c>
      <c r="D5" s="45" t="inlineStr">
        <is>
          <t>[PASAR] EV Insuf (0.078&lt;0.080)</t>
        </is>
      </c>
      <c r="E5" s="46" t="inlineStr">
        <is>
          <t>-</t>
        </is>
      </c>
      <c r="F5" s="47" t="inlineStr">
        <is>
          <t>-</t>
        </is>
      </c>
      <c r="G5" s="48" t="n"/>
      <c r="H5" s="45" t="inlineStr">
        <is>
          <t>[APOSTAR] VISITA</t>
        </is>
      </c>
      <c r="I5" s="46" t="n">
        <v>2500</v>
      </c>
      <c r="J5" s="49" t="inlineStr">
        <is>
          <t>PERDIDA</t>
        </is>
      </c>
      <c r="K5" s="50" t="n">
        <v>-2500</v>
      </c>
      <c r="L5" s="48" t="n"/>
      <c r="M5" s="44" t="inlineStr">
        <is>
          <t>-</t>
        </is>
      </c>
      <c r="N5" s="49" t="inlineStr">
        <is>
          <t>NO</t>
        </is>
      </c>
    </row>
    <row r="6" ht="16" customHeight="1">
      <c r="A6" s="47" t="inlineStr">
        <is>
          <t>21/03/2026</t>
        </is>
      </c>
      <c r="B6" s="51" t="inlineStr">
        <is>
          <t>Atlético Tucumán vs Gimnasia la Plata</t>
        </is>
      </c>
      <c r="C6" s="47" t="inlineStr">
        <is>
          <t>Argentina</t>
        </is>
      </c>
      <c r="D6" s="51" t="inlineStr">
        <is>
          <t>[PASAR] Overlap Riesgo (O/U Priorizado)</t>
        </is>
      </c>
      <c r="E6" s="48" t="inlineStr">
        <is>
          <t>-</t>
        </is>
      </c>
      <c r="F6" s="47" t="inlineStr">
        <is>
          <t>-</t>
        </is>
      </c>
      <c r="G6" s="48" t="n"/>
      <c r="H6" s="51" t="inlineStr">
        <is>
          <t>[APOSTAR] VISITA</t>
        </is>
      </c>
      <c r="I6" s="48" t="n">
        <v>2500</v>
      </c>
      <c r="J6" s="49" t="inlineStr">
        <is>
          <t>PERDIDA</t>
        </is>
      </c>
      <c r="K6" s="50" t="n">
        <v>-2500</v>
      </c>
      <c r="L6" s="48" t="n"/>
      <c r="M6" s="47" t="inlineStr">
        <is>
          <t>-</t>
        </is>
      </c>
      <c r="N6" s="49" t="inlineStr">
        <is>
          <t>NO</t>
        </is>
      </c>
    </row>
    <row r="7" ht="16" customHeight="1">
      <c r="A7" s="44" t="inlineStr">
        <is>
          <t>21/03/2026</t>
        </is>
      </c>
      <c r="B7" s="45" t="inlineStr">
        <is>
          <t>Defensa y Justicia vs Unión (santa Fe)</t>
        </is>
      </c>
      <c r="C7" s="44" t="inlineStr">
        <is>
          <t>Argentina</t>
        </is>
      </c>
      <c r="D7" s="45" t="inlineStr">
        <is>
          <t>[PASAR] Overlap Riesgo (O/U Priorizado)</t>
        </is>
      </c>
      <c r="E7" s="46" t="inlineStr">
        <is>
          <t>-</t>
        </is>
      </c>
      <c r="F7" s="47" t="inlineStr">
        <is>
          <t>-</t>
        </is>
      </c>
      <c r="G7" s="48" t="n"/>
      <c r="H7" s="45" t="inlineStr">
        <is>
          <t>[APOSTAR] LOCAL</t>
        </is>
      </c>
      <c r="I7" s="46" t="n">
        <v>2500</v>
      </c>
      <c r="J7" s="52" t="inlineStr">
        <is>
          <t>GANADA</t>
        </is>
      </c>
      <c r="K7" s="53" t="n">
        <v>4750</v>
      </c>
      <c r="L7" s="48" t="n"/>
      <c r="M7" s="44" t="inlineStr">
        <is>
          <t>-</t>
        </is>
      </c>
      <c r="N7" s="52" t="inlineStr">
        <is>
          <t>SI</t>
        </is>
      </c>
    </row>
    <row r="8" ht="16" customHeight="1">
      <c r="A8" s="47" t="inlineStr">
        <is>
          <t>21/03/2026</t>
        </is>
      </c>
      <c r="B8" s="51" t="inlineStr">
        <is>
          <t>Everton vs Chelsea</t>
        </is>
      </c>
      <c r="C8" s="47" t="inlineStr">
        <is>
          <t>Inglaterra</t>
        </is>
      </c>
      <c r="D8" s="51" t="inlineStr">
        <is>
          <t>[PASAR] Overlap Riesgo (O/U Priorizado)</t>
        </is>
      </c>
      <c r="E8" s="48" t="inlineStr">
        <is>
          <t>-</t>
        </is>
      </c>
      <c r="F8" s="47" t="inlineStr">
        <is>
          <t>-</t>
        </is>
      </c>
      <c r="G8" s="48" t="n"/>
      <c r="H8" s="51" t="inlineStr">
        <is>
          <t>[APOSTAR] LOCAL</t>
        </is>
      </c>
      <c r="I8" s="48" t="n">
        <v>2500</v>
      </c>
      <c r="J8" s="52" t="inlineStr">
        <is>
          <t>GANADA</t>
        </is>
      </c>
      <c r="K8" s="53" t="n">
        <v>6500</v>
      </c>
      <c r="L8" s="48" t="n"/>
      <c r="M8" s="47" t="inlineStr">
        <is>
          <t>-</t>
        </is>
      </c>
      <c r="N8" s="52" t="inlineStr">
        <is>
          <t>SI</t>
        </is>
      </c>
    </row>
    <row r="9" ht="16" customHeight="1">
      <c r="A9" s="44" t="inlineStr">
        <is>
          <t>21/03/2026</t>
        </is>
      </c>
      <c r="B9" s="45" t="inlineStr">
        <is>
          <t>Red Bull Bragantino vs Botafogo</t>
        </is>
      </c>
      <c r="C9" s="44" t="inlineStr">
        <is>
          <t>Brasil</t>
        </is>
      </c>
      <c r="D9" s="45" t="inlineStr">
        <is>
          <t>[PASAR] Overlap Riesgo (O/U Priorizado)</t>
        </is>
      </c>
      <c r="E9" s="46" t="inlineStr">
        <is>
          <t>-</t>
        </is>
      </c>
      <c r="F9" s="47" t="inlineStr">
        <is>
          <t>-</t>
        </is>
      </c>
      <c r="G9" s="48" t="n"/>
      <c r="H9" s="45" t="inlineStr">
        <is>
          <t>[APOSTAR] VISITA</t>
        </is>
      </c>
      <c r="I9" s="46" t="n">
        <v>2500</v>
      </c>
      <c r="J9" s="52" t="inlineStr">
        <is>
          <t>GANADA</t>
        </is>
      </c>
      <c r="K9" s="53" t="n">
        <v>6975</v>
      </c>
      <c r="L9" s="48" t="n"/>
      <c r="M9" s="44" t="inlineStr">
        <is>
          <t>-</t>
        </is>
      </c>
      <c r="N9" s="52" t="inlineStr">
        <is>
          <t>SI</t>
        </is>
      </c>
    </row>
    <row r="10" ht="16" customHeight="1">
      <c r="A10" s="47" t="inlineStr">
        <is>
          <t>21/03/2026</t>
        </is>
      </c>
      <c r="B10" s="51" t="inlineStr">
        <is>
          <t>Viking fk vs Molde</t>
        </is>
      </c>
      <c r="C10" s="47" t="inlineStr">
        <is>
          <t>Noruega</t>
        </is>
      </c>
      <c r="D10" s="51" t="inlineStr">
        <is>
          <t>[APOSTAR] VISITA</t>
        </is>
      </c>
      <c r="E10" s="48" t="n">
        <v>1767.77</v>
      </c>
      <c r="F10" s="49" t="inlineStr">
        <is>
          <t>PERDIDA</t>
        </is>
      </c>
      <c r="G10" s="50" t="n">
        <v>-1767.77</v>
      </c>
      <c r="H10" s="51" t="inlineStr">
        <is>
          <t>[APOSTAR] VISITA</t>
        </is>
      </c>
      <c r="I10" s="48" t="n">
        <v>2500</v>
      </c>
      <c r="J10" s="49" t="inlineStr">
        <is>
          <t>PERDIDA</t>
        </is>
      </c>
      <c r="K10" s="50" t="n">
        <v>-2500</v>
      </c>
      <c r="L10" s="53" t="n">
        <v>732.23</v>
      </c>
      <c r="M10" s="49" t="inlineStr">
        <is>
          <t>NO</t>
        </is>
      </c>
      <c r="N10" s="49" t="inlineStr">
        <is>
          <t>NO</t>
        </is>
      </c>
    </row>
    <row r="11" ht="16" customHeight="1">
      <c r="A11" s="44" t="inlineStr">
        <is>
          <t>22/03/2026</t>
        </is>
      </c>
      <c r="B11" s="45" t="inlineStr">
        <is>
          <t>Athletico Paranaense vs Coritiba</t>
        </is>
      </c>
      <c r="C11" s="44" t="inlineStr">
        <is>
          <t>Brasil</t>
        </is>
      </c>
      <c r="D11" s="45" t="inlineStr">
        <is>
          <t>[PASAR] Overlap Riesgo (O/U Priorizado)</t>
        </is>
      </c>
      <c r="E11" s="46" t="inlineStr">
        <is>
          <t>-</t>
        </is>
      </c>
      <c r="F11" s="47" t="inlineStr">
        <is>
          <t>-</t>
        </is>
      </c>
      <c r="G11" s="48" t="n"/>
      <c r="H11" s="45" t="inlineStr">
        <is>
          <t>[APOSTAR] VISITA</t>
        </is>
      </c>
      <c r="I11" s="46" t="n">
        <v>2500</v>
      </c>
      <c r="J11" s="49" t="inlineStr">
        <is>
          <t>PERDIDA</t>
        </is>
      </c>
      <c r="K11" s="50" t="n">
        <v>-2500</v>
      </c>
      <c r="L11" s="48" t="n"/>
      <c r="M11" s="44" t="inlineStr">
        <is>
          <t>-</t>
        </is>
      </c>
      <c r="N11" s="49" t="inlineStr">
        <is>
          <t>NO</t>
        </is>
      </c>
    </row>
    <row r="12" ht="16" customHeight="1">
      <c r="A12" s="47" t="inlineStr">
        <is>
          <t>22/03/2026</t>
        </is>
      </c>
      <c r="B12" s="51" t="inlineStr">
        <is>
          <t>Cruzeiro vs Santos</t>
        </is>
      </c>
      <c r="C12" s="47" t="inlineStr">
        <is>
          <t>Brasil</t>
        </is>
      </c>
      <c r="D12" s="51" t="inlineStr">
        <is>
          <t>[PASAR] Overlap Riesgo (O/U Priorizado)</t>
        </is>
      </c>
      <c r="E12" s="48" t="inlineStr">
        <is>
          <t>-</t>
        </is>
      </c>
      <c r="F12" s="47" t="inlineStr">
        <is>
          <t>-</t>
        </is>
      </c>
      <c r="G12" s="48" t="n"/>
      <c r="H12" s="51" t="inlineStr">
        <is>
          <t>[APOSTAR] VISITA</t>
        </is>
      </c>
      <c r="I12" s="48" t="n">
        <v>2500</v>
      </c>
      <c r="J12" s="49" t="inlineStr">
        <is>
          <t>PERDIDA</t>
        </is>
      </c>
      <c r="K12" s="50" t="n">
        <v>-2500</v>
      </c>
      <c r="L12" s="48" t="n"/>
      <c r="M12" s="47" t="inlineStr">
        <is>
          <t>-</t>
        </is>
      </c>
      <c r="N12" s="49" t="inlineStr">
        <is>
          <t>NO</t>
        </is>
      </c>
    </row>
    <row r="13" ht="16" customHeight="1">
      <c r="A13" s="44" t="inlineStr">
        <is>
          <t>22/03/2026</t>
        </is>
      </c>
      <c r="B13" s="45" t="inlineStr">
        <is>
          <t>Newcastle United vs Sunderland</t>
        </is>
      </c>
      <c r="C13" s="44" t="inlineStr">
        <is>
          <t>Inglaterra</t>
        </is>
      </c>
      <c r="D13" s="45" t="inlineStr">
        <is>
          <t>[APOSTAR] VISITA</t>
        </is>
      </c>
      <c r="E13" s="46" t="n">
        <v>1443.38</v>
      </c>
      <c r="F13" s="52" t="inlineStr">
        <is>
          <t>GANADA</t>
        </is>
      </c>
      <c r="G13" s="53" t="n">
        <v>6639.55</v>
      </c>
      <c r="H13" s="45" t="inlineStr">
        <is>
          <t>[PASAR] Margen Predictivo Insuficiente (&lt;5%)</t>
        </is>
      </c>
      <c r="I13" s="46" t="inlineStr">
        <is>
          <t>-</t>
        </is>
      </c>
      <c r="J13" s="47" t="inlineStr">
        <is>
          <t>-</t>
        </is>
      </c>
      <c r="K13" s="48" t="n"/>
      <c r="L13" s="48" t="n"/>
      <c r="M13" s="52" t="inlineStr">
        <is>
          <t>SI</t>
        </is>
      </c>
      <c r="N13" s="44" t="inlineStr">
        <is>
          <t>-</t>
        </is>
      </c>
    </row>
    <row r="14" ht="16" customHeight="1">
      <c r="A14" s="47" t="inlineStr">
        <is>
          <t>22/03/2026</t>
        </is>
      </c>
      <c r="B14" s="51" t="inlineStr">
        <is>
          <t>Remo vs Bahia</t>
        </is>
      </c>
      <c r="C14" s="47" t="inlineStr">
        <is>
          <t>Brasil</t>
        </is>
      </c>
      <c r="D14" s="51" t="inlineStr">
        <is>
          <t>[APOSTAR] LOCAL</t>
        </is>
      </c>
      <c r="E14" s="48" t="n">
        <v>883.88</v>
      </c>
      <c r="F14" s="52" t="inlineStr">
        <is>
          <t>GANADA</t>
        </is>
      </c>
      <c r="G14" s="53" t="n">
        <v>2377.64</v>
      </c>
      <c r="H14" s="51" t="inlineStr">
        <is>
          <t>[APOSTAR] LOCAL</t>
        </is>
      </c>
      <c r="I14" s="48" t="n">
        <v>2500</v>
      </c>
      <c r="J14" s="52" t="inlineStr">
        <is>
          <t>GANADA</t>
        </is>
      </c>
      <c r="K14" s="53" t="n">
        <v>6725</v>
      </c>
      <c r="L14" s="50" t="n">
        <v>-4347.36</v>
      </c>
      <c r="M14" s="52" t="inlineStr">
        <is>
          <t>SI</t>
        </is>
      </c>
      <c r="N14" s="52" t="inlineStr">
        <is>
          <t>SI</t>
        </is>
      </c>
    </row>
    <row r="15" ht="16" customHeight="1">
      <c r="A15" s="44" t="inlineStr">
        <is>
          <t>22/03/2026</t>
        </is>
      </c>
      <c r="B15" s="45" t="inlineStr">
        <is>
          <t>Sarmiento (junín) vs Aldosivi</t>
        </is>
      </c>
      <c r="C15" s="44" t="inlineStr">
        <is>
          <t>Argentina</t>
        </is>
      </c>
      <c r="D15" s="45" t="inlineStr">
        <is>
          <t>[PASAR] Overlap Riesgo (O/U Priorizado)</t>
        </is>
      </c>
      <c r="E15" s="46" t="inlineStr">
        <is>
          <t>-</t>
        </is>
      </c>
      <c r="F15" s="47" t="inlineStr">
        <is>
          <t>-</t>
        </is>
      </c>
      <c r="G15" s="48" t="n"/>
      <c r="H15" s="45" t="inlineStr">
        <is>
          <t>[APOSTAR] VISITA</t>
        </is>
      </c>
      <c r="I15" s="46" t="n">
        <v>2500</v>
      </c>
      <c r="J15" s="49" t="inlineStr">
        <is>
          <t>PERDIDA</t>
        </is>
      </c>
      <c r="K15" s="50" t="n">
        <v>-2500</v>
      </c>
      <c r="L15" s="48" t="n"/>
      <c r="M15" s="44" t="inlineStr">
        <is>
          <t>-</t>
        </is>
      </c>
      <c r="N15" s="49" t="inlineStr">
        <is>
          <t>NO</t>
        </is>
      </c>
    </row>
    <row r="16" ht="16" customHeight="1">
      <c r="A16" s="47" t="inlineStr">
        <is>
          <t>22/03/2026</t>
        </is>
      </c>
      <c r="B16" s="51" t="inlineStr">
        <is>
          <t>Sk Brann vs Tromso</t>
        </is>
      </c>
      <c r="C16" s="47" t="inlineStr">
        <is>
          <t>Noruega</t>
        </is>
      </c>
      <c r="D16" s="51" t="inlineStr">
        <is>
          <t>[PASAR] Overlap Riesgo (O/U Priorizado)</t>
        </is>
      </c>
      <c r="E16" s="48" t="inlineStr">
        <is>
          <t>-</t>
        </is>
      </c>
      <c r="F16" s="47" t="inlineStr">
        <is>
          <t>-</t>
        </is>
      </c>
      <c r="G16" s="48" t="n"/>
      <c r="H16" s="51" t="inlineStr">
        <is>
          <t>[APOSTAR] VISITA</t>
        </is>
      </c>
      <c r="I16" s="48" t="n">
        <v>2500</v>
      </c>
      <c r="J16" s="52" t="inlineStr">
        <is>
          <t>GANADA</t>
        </is>
      </c>
      <c r="K16" s="53" t="n">
        <v>6000</v>
      </c>
      <c r="L16" s="48" t="n"/>
      <c r="M16" s="47" t="inlineStr">
        <is>
          <t>-</t>
        </is>
      </c>
      <c r="N16" s="52" t="inlineStr">
        <is>
          <t>SI</t>
        </is>
      </c>
    </row>
    <row r="17" ht="16" customHeight="1">
      <c r="A17" s="44" t="inlineStr">
        <is>
          <t>22/03/2026</t>
        </is>
      </c>
      <c r="B17" s="45" t="inlineStr">
        <is>
          <t>Tottenham Hotspur vs Nottingham Forest</t>
        </is>
      </c>
      <c r="C17" s="44" t="inlineStr">
        <is>
          <t>Inglaterra</t>
        </is>
      </c>
      <c r="D17" s="45" t="inlineStr">
        <is>
          <t>[PASAR] Overlap Riesgo (O/U Priorizado)</t>
        </is>
      </c>
      <c r="E17" s="46" t="inlineStr">
        <is>
          <t>-</t>
        </is>
      </c>
      <c r="F17" s="47" t="inlineStr">
        <is>
          <t>-</t>
        </is>
      </c>
      <c r="G17" s="48" t="n"/>
      <c r="H17" s="45" t="inlineStr">
        <is>
          <t>[APOSTAR] VISITA</t>
        </is>
      </c>
      <c r="I17" s="46" t="n">
        <v>2500</v>
      </c>
      <c r="J17" s="52" t="inlineStr">
        <is>
          <t>GANADA</t>
        </is>
      </c>
      <c r="K17" s="53" t="n">
        <v>6000</v>
      </c>
      <c r="L17" s="48" t="n"/>
      <c r="M17" s="44" t="inlineStr">
        <is>
          <t>-</t>
        </is>
      </c>
      <c r="N17" s="52" t="inlineStr">
        <is>
          <t>SI</t>
        </is>
      </c>
    </row>
    <row r="18" ht="16" customHeight="1">
      <c r="A18" s="47" t="inlineStr">
        <is>
          <t>22/03/2026</t>
        </is>
      </c>
      <c r="B18" s="51" t="inlineStr">
        <is>
          <t>Vitória vs Mirassol</t>
        </is>
      </c>
      <c r="C18" s="47" t="inlineStr">
        <is>
          <t>Brasil</t>
        </is>
      </c>
      <c r="D18" s="51" t="inlineStr">
        <is>
          <t>[PASAR] Overlap Riesgo (O/U Priorizado)</t>
        </is>
      </c>
      <c r="E18" s="48" t="inlineStr">
        <is>
          <t>-</t>
        </is>
      </c>
      <c r="F18" s="47" t="inlineStr">
        <is>
          <t>-</t>
        </is>
      </c>
      <c r="G18" s="48" t="n"/>
      <c r="H18" s="51" t="inlineStr">
        <is>
          <t>[APOSTAR] LOCAL</t>
        </is>
      </c>
      <c r="I18" s="48" t="n">
        <v>2500</v>
      </c>
      <c r="J18" s="52" t="inlineStr">
        <is>
          <t>GANADA</t>
        </is>
      </c>
      <c r="K18" s="53" t="n">
        <v>3875</v>
      </c>
      <c r="L18" s="48" t="n"/>
      <c r="M18" s="47" t="inlineStr">
        <is>
          <t>-</t>
        </is>
      </c>
      <c r="N18" s="52" t="inlineStr">
        <is>
          <t>SI</t>
        </is>
      </c>
    </row>
    <row r="19" ht="16" customHeight="1">
      <c r="A19" s="44" t="inlineStr">
        <is>
          <t>23/03/2026</t>
        </is>
      </c>
      <c r="B19" s="45" t="inlineStr">
        <is>
          <t>Independiente Rivadavia vs Rosario Central</t>
        </is>
      </c>
      <c r="C19" s="44" t="inlineStr">
        <is>
          <t>Argentina</t>
        </is>
      </c>
      <c r="D19" s="45" t="inlineStr">
        <is>
          <t>[PASAR] Overlap Riesgo (O/U Priorizado)</t>
        </is>
      </c>
      <c r="E19" s="46" t="inlineStr">
        <is>
          <t>-</t>
        </is>
      </c>
      <c r="F19" s="47" t="inlineStr">
        <is>
          <t>-</t>
        </is>
      </c>
      <c r="G19" s="48" t="n"/>
      <c r="H19" s="45" t="inlineStr">
        <is>
          <t>[APOSTAR] LOCAL</t>
        </is>
      </c>
      <c r="I19" s="46" t="n">
        <v>2500</v>
      </c>
      <c r="J19" s="52" t="inlineStr">
        <is>
          <t>GANADA</t>
        </is>
      </c>
      <c r="K19" s="53" t="n">
        <v>4375</v>
      </c>
      <c r="L19" s="48" t="n"/>
      <c r="M19" s="44" t="inlineStr">
        <is>
          <t>-</t>
        </is>
      </c>
      <c r="N19" s="52" t="inlineStr">
        <is>
          <t>SI</t>
        </is>
      </c>
    </row>
    <row r="20" ht="16" customHeight="1">
      <c r="A20" s="47" t="inlineStr">
        <is>
          <t>29/03/2026</t>
        </is>
      </c>
      <c r="B20" s="51" t="inlineStr">
        <is>
          <t>Athletico Paranaense vs Botafogo</t>
        </is>
      </c>
      <c r="C20" s="47" t="inlineStr">
        <is>
          <t>Brasil</t>
        </is>
      </c>
      <c r="D20" s="51" t="inlineStr">
        <is>
          <t>[APOSTAR] VISITA</t>
        </is>
      </c>
      <c r="E20" s="48" t="n">
        <v>2500</v>
      </c>
      <c r="F20" s="49" t="inlineStr">
        <is>
          <t>PERDIDA</t>
        </is>
      </c>
      <c r="G20" s="50" t="n">
        <v>-2500</v>
      </c>
      <c r="H20" s="51" t="inlineStr">
        <is>
          <t>[APOSTAR] VISITA</t>
        </is>
      </c>
      <c r="I20" s="48" t="n">
        <v>2500</v>
      </c>
      <c r="J20" s="49" t="inlineStr">
        <is>
          <t>PERDIDA</t>
        </is>
      </c>
      <c r="K20" s="50" t="n">
        <v>-2500</v>
      </c>
      <c r="L20" s="54" t="n">
        <v>0</v>
      </c>
      <c r="M20" s="49" t="inlineStr">
        <is>
          <t>NO</t>
        </is>
      </c>
      <c r="N20" s="49" t="inlineStr">
        <is>
          <t>NO</t>
        </is>
      </c>
    </row>
    <row r="21" ht="16" customHeight="1">
      <c r="A21" s="44" t="inlineStr">
        <is>
          <t>01/04/2026</t>
        </is>
      </c>
      <c r="B21" s="45" t="inlineStr">
        <is>
          <t>Bahia vs Athletico Paranaense</t>
        </is>
      </c>
      <c r="C21" s="44" t="inlineStr">
        <is>
          <t>Brasil</t>
        </is>
      </c>
      <c r="D21" s="45" t="inlineStr">
        <is>
          <t>[GANADA] LOCAL</t>
        </is>
      </c>
      <c r="E21" s="46" t="inlineStr">
        <is>
          <t>-</t>
        </is>
      </c>
      <c r="F21" s="47" t="inlineStr">
        <is>
          <t>-</t>
        </is>
      </c>
      <c r="G21" s="48" t="n"/>
      <c r="H21" s="45" t="inlineStr">
        <is>
          <t>[APOSTAR] LOCAL</t>
        </is>
      </c>
      <c r="I21" s="46" t="n">
        <v>2500</v>
      </c>
      <c r="J21" s="52" t="inlineStr">
        <is>
          <t>GANADA</t>
        </is>
      </c>
      <c r="K21" s="53" t="n">
        <v>8900</v>
      </c>
      <c r="L21" s="48" t="n"/>
      <c r="M21" s="44" t="inlineStr">
        <is>
          <t>-</t>
        </is>
      </c>
      <c r="N21" s="52" t="inlineStr">
        <is>
          <t>SI</t>
        </is>
      </c>
    </row>
    <row r="22" ht="16" customHeight="1">
      <c r="A22" s="47" t="inlineStr">
        <is>
          <t>01/04/2026</t>
        </is>
      </c>
      <c r="B22" s="51" t="inlineStr">
        <is>
          <t>Fluminense vs Corinthians</t>
        </is>
      </c>
      <c r="C22" s="47" t="inlineStr">
        <is>
          <t>Brasil</t>
        </is>
      </c>
      <c r="D22" s="51" t="inlineStr">
        <is>
          <t>[GANADA] LOCAL</t>
        </is>
      </c>
      <c r="E22" s="48" t="inlineStr">
        <is>
          <t>-</t>
        </is>
      </c>
      <c r="F22" s="47" t="inlineStr">
        <is>
          <t>-</t>
        </is>
      </c>
      <c r="G22" s="48" t="n"/>
      <c r="H22" s="51" t="inlineStr">
        <is>
          <t>[APOSTAR] LOCAL</t>
        </is>
      </c>
      <c r="I22" s="48" t="n">
        <v>2500</v>
      </c>
      <c r="J22" s="52" t="inlineStr">
        <is>
          <t>GANADA</t>
        </is>
      </c>
      <c r="K22" s="53" t="n">
        <v>12075</v>
      </c>
      <c r="L22" s="48" t="n"/>
      <c r="M22" s="47" t="inlineStr">
        <is>
          <t>-</t>
        </is>
      </c>
      <c r="N22" s="52" t="inlineStr">
        <is>
          <t>SI</t>
        </is>
      </c>
    </row>
    <row r="23" ht="16" customHeight="1">
      <c r="A23" s="44" t="inlineStr">
        <is>
          <t>01/04/2026</t>
        </is>
      </c>
      <c r="B23" s="45" t="inlineStr">
        <is>
          <t>Internacional vs São Paulo</t>
        </is>
      </c>
      <c r="C23" s="44" t="inlineStr">
        <is>
          <t>Brasil</t>
        </is>
      </c>
      <c r="D23" s="45" t="inlineStr">
        <is>
          <t>[PERDIDA] VISITA</t>
        </is>
      </c>
      <c r="E23" s="46" t="inlineStr">
        <is>
          <t>-</t>
        </is>
      </c>
      <c r="F23" s="47" t="inlineStr">
        <is>
          <t>-</t>
        </is>
      </c>
      <c r="G23" s="48" t="n"/>
      <c r="H23" s="45" t="inlineStr">
        <is>
          <t>[APOSTAR] VISITA</t>
        </is>
      </c>
      <c r="I23" s="46" t="n">
        <v>2500</v>
      </c>
      <c r="J23" s="49" t="inlineStr">
        <is>
          <t>PERDIDA</t>
        </is>
      </c>
      <c r="K23" s="50" t="n">
        <v>-2500</v>
      </c>
      <c r="L23" s="48" t="n"/>
      <c r="M23" s="44" t="inlineStr">
        <is>
          <t>-</t>
        </is>
      </c>
      <c r="N23" s="49" t="inlineStr">
        <is>
          <t>NO</t>
        </is>
      </c>
    </row>
    <row r="24" ht="16" customHeight="1">
      <c r="A24" s="47" t="inlineStr">
        <is>
          <t>01/04/2026</t>
        </is>
      </c>
      <c r="B24" s="51" t="inlineStr">
        <is>
          <t>Lanús vs Platense</t>
        </is>
      </c>
      <c r="C24" s="47" t="inlineStr">
        <is>
          <t>Argentina</t>
        </is>
      </c>
      <c r="D24" s="51" t="inlineStr">
        <is>
          <t>[PERDIDA] VISITA</t>
        </is>
      </c>
      <c r="E24" s="48" t="inlineStr">
        <is>
          <t>-</t>
        </is>
      </c>
      <c r="F24" s="47" t="inlineStr">
        <is>
          <t>-</t>
        </is>
      </c>
      <c r="G24" s="48" t="n"/>
      <c r="H24" s="51" t="inlineStr">
        <is>
          <t>[APOSTAR] VISITA</t>
        </is>
      </c>
      <c r="I24" s="48" t="n">
        <v>2500</v>
      </c>
      <c r="J24" s="49" t="inlineStr">
        <is>
          <t>PERDIDA</t>
        </is>
      </c>
      <c r="K24" s="50" t="n">
        <v>-2500</v>
      </c>
      <c r="L24" s="48" t="n"/>
      <c r="M24" s="47" t="inlineStr">
        <is>
          <t>-</t>
        </is>
      </c>
      <c r="N24" s="49" t="inlineStr">
        <is>
          <t>NO</t>
        </is>
      </c>
    </row>
    <row r="25" ht="16" customHeight="1">
      <c r="A25" s="44" t="inlineStr">
        <is>
          <t>02/04/2026</t>
        </is>
      </c>
      <c r="B25" s="45" t="inlineStr">
        <is>
          <t>Chapecoense vs Atlético-mg</t>
        </is>
      </c>
      <c r="C25" s="44" t="inlineStr">
        <is>
          <t>Brasil</t>
        </is>
      </c>
      <c r="D25" s="45" t="inlineStr">
        <is>
          <t>[GANADA] VISITA</t>
        </is>
      </c>
      <c r="E25" s="46" t="inlineStr">
        <is>
          <t>-</t>
        </is>
      </c>
      <c r="F25" s="47" t="inlineStr">
        <is>
          <t>-</t>
        </is>
      </c>
      <c r="G25" s="48" t="n"/>
      <c r="H25" s="45" t="inlineStr">
        <is>
          <t>[APOSTAR] VISITA</t>
        </is>
      </c>
      <c r="I25" s="46" t="n">
        <v>2500</v>
      </c>
      <c r="J25" s="52" t="inlineStr">
        <is>
          <t>GANADA</t>
        </is>
      </c>
      <c r="K25" s="53" t="n">
        <v>4675</v>
      </c>
      <c r="L25" s="48" t="n"/>
      <c r="M25" s="44" t="inlineStr">
        <is>
          <t>-</t>
        </is>
      </c>
      <c r="N25" s="52" t="inlineStr">
        <is>
          <t>SI</t>
        </is>
      </c>
    </row>
    <row r="26" ht="16" customHeight="1">
      <c r="A26" s="47" t="inlineStr">
        <is>
          <t>01/04/2026</t>
        </is>
      </c>
      <c r="B26" s="51" t="inlineStr">
        <is>
          <t>Fluminense vs Corinthians</t>
        </is>
      </c>
      <c r="C26" s="47" t="inlineStr">
        <is>
          <t>Brasil</t>
        </is>
      </c>
      <c r="D26" s="51" t="inlineStr">
        <is>
          <t>[APOSTAR] LOCAL</t>
        </is>
      </c>
      <c r="E26" s="48" t="n">
        <v>2500</v>
      </c>
      <c r="F26" s="52" t="inlineStr">
        <is>
          <t>GANADA</t>
        </is>
      </c>
      <c r="G26" s="53" t="n">
        <v>12075</v>
      </c>
      <c r="H26" s="51" t="inlineStr">
        <is>
          <t>[APOSTAR] LOCAL</t>
        </is>
      </c>
      <c r="I26" s="48" t="n">
        <v>2500</v>
      </c>
      <c r="J26" s="52" t="inlineStr">
        <is>
          <t>GANADA</t>
        </is>
      </c>
      <c r="K26" s="53" t="n">
        <v>12075</v>
      </c>
      <c r="L26" s="54" t="n">
        <v>0</v>
      </c>
      <c r="M26" s="52" t="inlineStr">
        <is>
          <t>SI</t>
        </is>
      </c>
      <c r="N26" s="52" t="inlineStr">
        <is>
          <t>SI</t>
        </is>
      </c>
    </row>
    <row r="27" ht="16" customHeight="1">
      <c r="A27" s="44" t="inlineStr">
        <is>
          <t>02/04/2026</t>
        </is>
      </c>
      <c r="B27" s="45" t="inlineStr">
        <is>
          <t>Palmeiras vs Grêmio</t>
        </is>
      </c>
      <c r="C27" s="44" t="inlineStr">
        <is>
          <t>Brasil</t>
        </is>
      </c>
      <c r="D27" s="45" t="inlineStr">
        <is>
          <t>[GANADA] LOCAL</t>
        </is>
      </c>
      <c r="E27" s="46" t="inlineStr">
        <is>
          <t>-</t>
        </is>
      </c>
      <c r="F27" s="47" t="inlineStr">
        <is>
          <t>-</t>
        </is>
      </c>
      <c r="G27" s="48" t="n"/>
      <c r="H27" s="45" t="inlineStr">
        <is>
          <t>[APOSTAR] LOCAL</t>
        </is>
      </c>
      <c r="I27" s="46" t="n">
        <v>2500</v>
      </c>
      <c r="J27" s="52" t="inlineStr">
        <is>
          <t>GANADA</t>
        </is>
      </c>
      <c r="K27" s="53" t="n">
        <v>12575</v>
      </c>
      <c r="L27" s="48" t="n"/>
      <c r="M27" s="44" t="inlineStr">
        <is>
          <t>-</t>
        </is>
      </c>
      <c r="N27" s="52" t="inlineStr">
        <is>
          <t>SI</t>
        </is>
      </c>
    </row>
    <row r="28" ht="16" customHeight="1">
      <c r="A28" s="47" t="inlineStr">
        <is>
          <t>02/04/2026</t>
        </is>
      </c>
      <c r="B28" s="51" t="inlineStr">
        <is>
          <t>Red Bull Bragantino vs Flamengo</t>
        </is>
      </c>
      <c r="C28" s="47" t="inlineStr">
        <is>
          <t>Brasil</t>
        </is>
      </c>
      <c r="D28" s="51" t="inlineStr">
        <is>
          <t>[GANADA] LOCAL</t>
        </is>
      </c>
      <c r="E28" s="48" t="inlineStr">
        <is>
          <t>-</t>
        </is>
      </c>
      <c r="F28" s="47" t="inlineStr">
        <is>
          <t>-</t>
        </is>
      </c>
      <c r="G28" s="48" t="n"/>
      <c r="H28" s="51" t="inlineStr">
        <is>
          <t>[APOSTAR] LOCAL</t>
        </is>
      </c>
      <c r="I28" s="48" t="n">
        <v>2500</v>
      </c>
      <c r="J28" s="52" t="inlineStr">
        <is>
          <t>GANADA</t>
        </is>
      </c>
      <c r="K28" s="53" t="n">
        <v>8550</v>
      </c>
      <c r="L28" s="48" t="n"/>
      <c r="M28" s="47" t="inlineStr">
        <is>
          <t>-</t>
        </is>
      </c>
      <c r="N28" s="52" t="inlineStr">
        <is>
          <t>SI</t>
        </is>
      </c>
    </row>
    <row r="29" ht="16" customHeight="1">
      <c r="A29" s="44" t="inlineStr">
        <is>
          <t>03/04/2026</t>
        </is>
      </c>
      <c r="B29" s="45" t="inlineStr">
        <is>
          <t>Gimnasia Mendoza vs Velez Sarsfield</t>
        </is>
      </c>
      <c r="C29" s="44" t="inlineStr">
        <is>
          <t>Argentina</t>
        </is>
      </c>
      <c r="D29" s="45" t="inlineStr">
        <is>
          <t>[GANADA] LOCAL</t>
        </is>
      </c>
      <c r="E29" s="46" t="inlineStr">
        <is>
          <t>-</t>
        </is>
      </c>
      <c r="F29" s="47" t="inlineStr">
        <is>
          <t>-</t>
        </is>
      </c>
      <c r="G29" s="48" t="n"/>
      <c r="H29" s="45" t="inlineStr">
        <is>
          <t>[APOSTAR] LOCAL</t>
        </is>
      </c>
      <c r="I29" s="46" t="n">
        <v>2500</v>
      </c>
      <c r="J29" s="52" t="inlineStr">
        <is>
          <t>GANADA</t>
        </is>
      </c>
      <c r="K29" s="53" t="n">
        <v>7750</v>
      </c>
      <c r="L29" s="48" t="n"/>
      <c r="M29" s="44" t="inlineStr">
        <is>
          <t>-</t>
        </is>
      </c>
      <c r="N29" s="52" t="inlineStr">
        <is>
          <t>SI</t>
        </is>
      </c>
    </row>
    <row r="30" ht="16" customHeight="1">
      <c r="A30" s="47" t="inlineStr">
        <is>
          <t>02/04/2026</t>
        </is>
      </c>
      <c r="B30" s="51" t="inlineStr">
        <is>
          <t>Palmeiras vs Gremio</t>
        </is>
      </c>
      <c r="C30" s="47" t="inlineStr">
        <is>
          <t>Brasil</t>
        </is>
      </c>
      <c r="D30" s="51" t="inlineStr">
        <is>
          <t>[GANADA] LOCAL</t>
        </is>
      </c>
      <c r="E30" s="48" t="inlineStr">
        <is>
          <t>-</t>
        </is>
      </c>
      <c r="F30" s="47" t="inlineStr">
        <is>
          <t>-</t>
        </is>
      </c>
      <c r="G30" s="48" t="n"/>
      <c r="H30" s="51" t="inlineStr">
        <is>
          <t>[APOSTAR] LOCAL</t>
        </is>
      </c>
      <c r="I30" s="48" t="n">
        <v>2500</v>
      </c>
      <c r="J30" s="52" t="inlineStr">
        <is>
          <t>GANADA</t>
        </is>
      </c>
      <c r="K30" s="53" t="n">
        <v>13800</v>
      </c>
      <c r="L30" s="48" t="n"/>
      <c r="M30" s="47" t="inlineStr">
        <is>
          <t>-</t>
        </is>
      </c>
      <c r="N30" s="52" t="inlineStr">
        <is>
          <t>SI</t>
        </is>
      </c>
    </row>
    <row r="31" ht="16" customHeight="1">
      <c r="A31" s="44" t="inlineStr">
        <is>
          <t>04/04/2026</t>
        </is>
      </c>
      <c r="B31" s="45" t="inlineStr">
        <is>
          <t>Genclerbirligi vs Goztepe</t>
        </is>
      </c>
      <c r="C31" s="44" t="inlineStr">
        <is>
          <t>Turquia</t>
        </is>
      </c>
      <c r="D31" s="45" t="inlineStr">
        <is>
          <t>[PASAR] EV Insuf (0.062&lt;0.080)</t>
        </is>
      </c>
      <c r="E31" s="46" t="inlineStr">
        <is>
          <t>-</t>
        </is>
      </c>
      <c r="F31" s="47" t="inlineStr">
        <is>
          <t>-</t>
        </is>
      </c>
      <c r="G31" s="48" t="n"/>
      <c r="H31" s="45" t="inlineStr">
        <is>
          <t>[APOSTAR] LOCAL</t>
        </is>
      </c>
      <c r="I31" s="46" t="n">
        <v>2500</v>
      </c>
      <c r="J31" s="49" t="inlineStr">
        <is>
          <t>PERDIDA</t>
        </is>
      </c>
      <c r="K31" s="50" t="n">
        <v>-2500</v>
      </c>
      <c r="L31" s="48" t="n"/>
      <c r="M31" s="44" t="inlineStr">
        <is>
          <t>-</t>
        </is>
      </c>
      <c r="N31" s="49" t="inlineStr">
        <is>
          <t>NO</t>
        </is>
      </c>
    </row>
    <row r="32" ht="16" customHeight="1">
      <c r="A32" s="47" t="inlineStr">
        <is>
          <t>04/04/2026</t>
        </is>
      </c>
      <c r="B32" s="51" t="inlineStr">
        <is>
          <t>Kasimpasa vs Kayserispor</t>
        </is>
      </c>
      <c r="C32" s="47" t="inlineStr">
        <is>
          <t>Turquia</t>
        </is>
      </c>
      <c r="D32" s="51" t="inlineStr">
        <is>
          <t>[PASAR] EV Insuf (0.053&lt;0.080)</t>
        </is>
      </c>
      <c r="E32" s="48" t="inlineStr">
        <is>
          <t>-</t>
        </is>
      </c>
      <c r="F32" s="47" t="inlineStr">
        <is>
          <t>-</t>
        </is>
      </c>
      <c r="G32" s="48" t="n"/>
      <c r="H32" s="51" t="inlineStr">
        <is>
          <t>[APOSTAR] VISITA</t>
        </is>
      </c>
      <c r="I32" s="48" t="n">
        <v>2500</v>
      </c>
      <c r="J32" s="49" t="inlineStr">
        <is>
          <t>PERDIDA</t>
        </is>
      </c>
      <c r="K32" s="50" t="n">
        <v>-2500</v>
      </c>
      <c r="L32" s="48" t="n"/>
      <c r="M32" s="47" t="inlineStr">
        <is>
          <t>-</t>
        </is>
      </c>
      <c r="N32" s="49" t="inlineStr">
        <is>
          <t>NO</t>
        </is>
      </c>
    </row>
    <row r="33" ht="16" customHeight="1">
      <c r="A33" s="44" t="inlineStr">
        <is>
          <t>05/04/2026</t>
        </is>
      </c>
      <c r="B33" s="45" t="inlineStr">
        <is>
          <t>Antalyaspor vs Eyupspor</t>
        </is>
      </c>
      <c r="C33" s="44" t="inlineStr">
        <is>
          <t>Turquia</t>
        </is>
      </c>
      <c r="D33" s="45" t="inlineStr">
        <is>
          <t>[PASAR] EV Insuf (0.056&lt;0.080)</t>
        </is>
      </c>
      <c r="E33" s="46" t="inlineStr">
        <is>
          <t>-</t>
        </is>
      </c>
      <c r="F33" s="47" t="inlineStr">
        <is>
          <t>-</t>
        </is>
      </c>
      <c r="G33" s="48" t="n"/>
      <c r="H33" s="45" t="inlineStr">
        <is>
          <t>[APOSTAR] VISITA</t>
        </is>
      </c>
      <c r="I33" s="46" t="n">
        <v>2500</v>
      </c>
      <c r="J33" s="49" t="inlineStr">
        <is>
          <t>PERDIDA</t>
        </is>
      </c>
      <c r="K33" s="50" t="n">
        <v>-2500</v>
      </c>
      <c r="L33" s="48" t="n"/>
      <c r="M33" s="44" t="inlineStr">
        <is>
          <t>-</t>
        </is>
      </c>
      <c r="N33" s="49" t="inlineStr">
        <is>
          <t>NO</t>
        </is>
      </c>
    </row>
    <row r="34" ht="16" customHeight="1">
      <c r="A34" s="47" t="inlineStr">
        <is>
          <t>05/04/2026</t>
        </is>
      </c>
      <c r="B34" s="51" t="inlineStr">
        <is>
          <t>Corinthians vs Internacional</t>
        </is>
      </c>
      <c r="C34" s="47" t="inlineStr">
        <is>
          <t>Brasil</t>
        </is>
      </c>
      <c r="D34" s="51" t="inlineStr">
        <is>
          <t>[GANADA] VISITA</t>
        </is>
      </c>
      <c r="E34" s="48" t="inlineStr">
        <is>
          <t>-</t>
        </is>
      </c>
      <c r="F34" s="47" t="inlineStr">
        <is>
          <t>-</t>
        </is>
      </c>
      <c r="G34" s="48" t="n"/>
      <c r="H34" s="51" t="inlineStr">
        <is>
          <t>[APOSTAR] VISITA</t>
        </is>
      </c>
      <c r="I34" s="48" t="n">
        <v>2500</v>
      </c>
      <c r="J34" s="52" t="inlineStr">
        <is>
          <t>GANADA</t>
        </is>
      </c>
      <c r="K34" s="53" t="n">
        <v>6700</v>
      </c>
      <c r="L34" s="48" t="n"/>
      <c r="M34" s="47" t="inlineStr">
        <is>
          <t>-</t>
        </is>
      </c>
      <c r="N34" s="52" t="inlineStr">
        <is>
          <t>SI</t>
        </is>
      </c>
    </row>
    <row r="35" ht="16" customHeight="1">
      <c r="A35" s="44" t="inlineStr">
        <is>
          <t>05/04/2026</t>
        </is>
      </c>
      <c r="B35" s="45" t="inlineStr">
        <is>
          <t>Fatih Karagümrük vs Caykur Rizespor</t>
        </is>
      </c>
      <c r="C35" s="44" t="inlineStr">
        <is>
          <t>Turquia</t>
        </is>
      </c>
      <c r="D35" s="45" t="inlineStr">
        <is>
          <t>[GANADA] LOCAL</t>
        </is>
      </c>
      <c r="E35" s="46" t="inlineStr">
        <is>
          <t>-</t>
        </is>
      </c>
      <c r="F35" s="47" t="inlineStr">
        <is>
          <t>-</t>
        </is>
      </c>
      <c r="G35" s="48" t="n"/>
      <c r="H35" s="45" t="inlineStr">
        <is>
          <t>[APOSTAR] LOCAL</t>
        </is>
      </c>
      <c r="I35" s="46" t="n">
        <v>2500</v>
      </c>
      <c r="J35" s="52" t="inlineStr">
        <is>
          <t>GANADA</t>
        </is>
      </c>
      <c r="K35" s="53" t="n">
        <v>5675</v>
      </c>
      <c r="L35" s="48" t="n"/>
      <c r="M35" s="44" t="inlineStr">
        <is>
          <t>-</t>
        </is>
      </c>
      <c r="N35" s="52" t="inlineStr">
        <is>
          <t>SI</t>
        </is>
      </c>
    </row>
    <row r="36" ht="16" customHeight="1">
      <c r="A36" s="47" t="inlineStr">
        <is>
          <t>05/04/2026</t>
        </is>
      </c>
      <c r="B36" s="51" t="inlineStr">
        <is>
          <t>Fenerbahce vs Besiktas</t>
        </is>
      </c>
      <c r="C36" s="47" t="inlineStr">
        <is>
          <t>Turquia</t>
        </is>
      </c>
      <c r="D36" s="51" t="inlineStr">
        <is>
          <t>[GANADA] LOCAL</t>
        </is>
      </c>
      <c r="E36" s="48" t="inlineStr">
        <is>
          <t>-</t>
        </is>
      </c>
      <c r="F36" s="47" t="inlineStr">
        <is>
          <t>-</t>
        </is>
      </c>
      <c r="G36" s="48" t="n"/>
      <c r="H36" s="51" t="inlineStr">
        <is>
          <t>[APOSTAR] LOCAL</t>
        </is>
      </c>
      <c r="I36" s="48" t="n">
        <v>2500</v>
      </c>
      <c r="J36" s="52" t="inlineStr">
        <is>
          <t>GANADA</t>
        </is>
      </c>
      <c r="K36" s="53" t="n">
        <v>4225</v>
      </c>
      <c r="L36" s="48" t="n"/>
      <c r="M36" s="47" t="inlineStr">
        <is>
          <t>-</t>
        </is>
      </c>
      <c r="N36" s="52" t="inlineStr">
        <is>
          <t>SI</t>
        </is>
      </c>
    </row>
    <row r="37" ht="16" customHeight="1">
      <c r="A37" s="44" t="inlineStr">
        <is>
          <t>06/04/2026</t>
        </is>
      </c>
      <c r="B37" s="45" t="inlineStr">
        <is>
          <t>Hamkam vs Sk Brann</t>
        </is>
      </c>
      <c r="C37" s="44" t="inlineStr">
        <is>
          <t>Noruega</t>
        </is>
      </c>
      <c r="D37" s="45" t="inlineStr">
        <is>
          <t>[GANADA] VISITA</t>
        </is>
      </c>
      <c r="E37" s="46" t="inlineStr">
        <is>
          <t>-</t>
        </is>
      </c>
      <c r="F37" s="47" t="inlineStr">
        <is>
          <t>-</t>
        </is>
      </c>
      <c r="G37" s="48" t="n"/>
      <c r="H37" s="45" t="inlineStr">
        <is>
          <t>[APOSTAR] LOCAL</t>
        </is>
      </c>
      <c r="I37" s="46" t="n">
        <v>2500</v>
      </c>
      <c r="J37" s="49" t="inlineStr">
        <is>
          <t>PERDIDA</t>
        </is>
      </c>
      <c r="K37" s="50" t="n">
        <v>-2500</v>
      </c>
      <c r="L37" s="48" t="n"/>
      <c r="M37" s="44" t="inlineStr">
        <is>
          <t>-</t>
        </is>
      </c>
      <c r="N37" s="49" t="inlineStr">
        <is>
          <t>NO</t>
        </is>
      </c>
    </row>
    <row r="38" ht="16" customHeight="1">
      <c r="A38" s="47" t="inlineStr">
        <is>
          <t>06/04/2026</t>
        </is>
      </c>
      <c r="B38" s="51" t="inlineStr">
        <is>
          <t>Valerenga vs Viking fk</t>
        </is>
      </c>
      <c r="C38" s="47" t="inlineStr">
        <is>
          <t>Noruega</t>
        </is>
      </c>
      <c r="D38" s="51" t="inlineStr">
        <is>
          <t>[PASAR] EV Insuf (0.109&lt;0.120)</t>
        </is>
      </c>
      <c r="E38" s="48" t="inlineStr">
        <is>
          <t>-</t>
        </is>
      </c>
      <c r="F38" s="47" t="inlineStr">
        <is>
          <t>-</t>
        </is>
      </c>
      <c r="G38" s="48" t="n"/>
      <c r="H38" s="51" t="inlineStr">
        <is>
          <t>[APOSTAR] LOCAL</t>
        </is>
      </c>
      <c r="I38" s="48" t="n">
        <v>2500</v>
      </c>
      <c r="J38" s="49" t="inlineStr">
        <is>
          <t>PERDIDA</t>
        </is>
      </c>
      <c r="K38" s="50" t="n">
        <v>-2500</v>
      </c>
      <c r="L38" s="48" t="n"/>
      <c r="M38" s="47" t="inlineStr">
        <is>
          <t>-</t>
        </is>
      </c>
      <c r="N38" s="49" t="inlineStr">
        <is>
          <t>NO</t>
        </is>
      </c>
    </row>
    <row r="39" ht="16" customHeight="1">
      <c r="A39" s="44" t="inlineStr">
        <is>
          <t>07/04/2026</t>
        </is>
      </c>
      <c r="B39" s="45" t="inlineStr">
        <is>
          <t>Kfum Oslo vs Sandefjord</t>
        </is>
      </c>
      <c r="C39" s="44" t="inlineStr">
        <is>
          <t>Noruega</t>
        </is>
      </c>
      <c r="D39" s="45" t="inlineStr">
        <is>
          <t>[GANADA] VISITA</t>
        </is>
      </c>
      <c r="E39" s="46" t="inlineStr">
        <is>
          <t>-</t>
        </is>
      </c>
      <c r="F39" s="47" t="inlineStr">
        <is>
          <t>-</t>
        </is>
      </c>
      <c r="G39" s="48" t="n"/>
      <c r="H39" s="45" t="inlineStr">
        <is>
          <t>[APOSTAR] VISITA</t>
        </is>
      </c>
      <c r="I39" s="46" t="n">
        <v>2500</v>
      </c>
      <c r="J39" s="52" t="inlineStr">
        <is>
          <t>GANADA</t>
        </is>
      </c>
      <c r="K39" s="53" t="n">
        <v>5900</v>
      </c>
      <c r="L39" s="48" t="n"/>
      <c r="M39" s="44" t="inlineStr">
        <is>
          <t>-</t>
        </is>
      </c>
      <c r="N39" s="52" t="inlineStr">
        <is>
          <t>SI</t>
        </is>
      </c>
    </row>
    <row r="40" ht="16" customHeight="1">
      <c r="A40" s="47" t="inlineStr">
        <is>
          <t>09/04/2026</t>
        </is>
      </c>
      <c r="B40" s="51" t="inlineStr">
        <is>
          <t>Caykur Rizespor vs Samsunspor</t>
        </is>
      </c>
      <c r="C40" s="47" t="inlineStr">
        <is>
          <t>Turquia</t>
        </is>
      </c>
      <c r="D40" s="51" t="inlineStr">
        <is>
          <t>[GANADA] LOCAL</t>
        </is>
      </c>
      <c r="E40" s="48" t="inlineStr">
        <is>
          <t>-</t>
        </is>
      </c>
      <c r="F40" s="47" t="inlineStr">
        <is>
          <t>-</t>
        </is>
      </c>
      <c r="G40" s="48" t="n"/>
      <c r="H40" s="51" t="inlineStr">
        <is>
          <t>[APOSTAR] LOCAL</t>
        </is>
      </c>
      <c r="I40" s="48" t="n">
        <v>2500</v>
      </c>
      <c r="J40" s="52" t="inlineStr">
        <is>
          <t>GANADA</t>
        </is>
      </c>
      <c r="K40" s="53" t="n">
        <v>8325</v>
      </c>
      <c r="L40" s="48" t="n"/>
      <c r="M40" s="47" t="inlineStr">
        <is>
          <t>-</t>
        </is>
      </c>
      <c r="N40" s="52" t="inlineStr">
        <is>
          <t>SI</t>
        </is>
      </c>
    </row>
    <row r="41" ht="16" customHeight="1">
      <c r="A41" s="44" t="inlineStr">
        <is>
          <t>10/04/2026</t>
        </is>
      </c>
      <c r="B41" s="45" t="inlineStr">
        <is>
          <t>West Ham United vs Wolverhampton Wanderers</t>
        </is>
      </c>
      <c r="C41" s="44" t="inlineStr">
        <is>
          <t>Inglaterra</t>
        </is>
      </c>
      <c r="D41" s="45" t="inlineStr">
        <is>
          <t>[APOSTAR] VISITA</t>
        </is>
      </c>
      <c r="E41" s="46" t="n">
        <v>2500</v>
      </c>
      <c r="F41" s="55" t="inlineStr">
        <is>
          <t>PENDIENTE</t>
        </is>
      </c>
      <c r="G41" s="48" t="n"/>
      <c r="H41" s="45" t="inlineStr">
        <is>
          <t>[PASAR] Margen Predictivo Insuficiente (&lt;5%)</t>
        </is>
      </c>
      <c r="I41" s="46" t="inlineStr">
        <is>
          <t>-</t>
        </is>
      </c>
      <c r="J41" s="55" t="inlineStr">
        <is>
          <t>PENDIENTE</t>
        </is>
      </c>
      <c r="K41" s="48" t="n"/>
      <c r="L41" s="48" t="n"/>
      <c r="M41" s="44" t="inlineStr">
        <is>
          <t>-</t>
        </is>
      </c>
      <c r="N41" s="44" t="inlineStr">
        <is>
          <t>-</t>
        </is>
      </c>
    </row>
    <row r="42" ht="16" customHeight="1">
      <c r="A42" s="47" t="inlineStr">
        <is>
          <t>11/04/2026</t>
        </is>
      </c>
      <c r="B42" s="51" t="inlineStr">
        <is>
          <t>Alanyaspor vs Trabzonspor</t>
        </is>
      </c>
      <c r="C42" s="47" t="inlineStr">
        <is>
          <t>Turquia</t>
        </is>
      </c>
      <c r="D42" s="51" t="inlineStr">
        <is>
          <t>[PASAR] Overlap Riesgo (O/U Priorizado)</t>
        </is>
      </c>
      <c r="E42" s="48" t="inlineStr">
        <is>
          <t>-</t>
        </is>
      </c>
      <c r="F42" s="55" t="inlineStr">
        <is>
          <t>PENDIENTE</t>
        </is>
      </c>
      <c r="G42" s="48" t="n"/>
      <c r="H42" s="51" t="inlineStr">
        <is>
          <t>[APOSTAR] LOCAL</t>
        </is>
      </c>
      <c r="I42" s="48" t="n">
        <v>2500</v>
      </c>
      <c r="J42" s="55" t="inlineStr">
        <is>
          <t>PENDIENTE</t>
        </is>
      </c>
      <c r="K42" s="48" t="n"/>
      <c r="L42" s="48" t="n"/>
      <c r="M42" s="47" t="inlineStr">
        <is>
          <t>-</t>
        </is>
      </c>
      <c r="N42" s="47" t="inlineStr">
        <is>
          <t>-</t>
        </is>
      </c>
    </row>
    <row r="43" ht="16" customHeight="1">
      <c r="A43" s="44" t="inlineStr">
        <is>
          <t>11/04/2026</t>
        </is>
      </c>
      <c r="B43" s="45" t="inlineStr">
        <is>
          <t>Boca Juniors vs Independiente</t>
        </is>
      </c>
      <c r="C43" s="44" t="inlineStr">
        <is>
          <t>Argentina</t>
        </is>
      </c>
      <c r="D43" s="45" t="inlineStr">
        <is>
          <t>[APOSTAR] VISITA</t>
        </is>
      </c>
      <c r="E43" s="46" t="n">
        <v>1443.38</v>
      </c>
      <c r="F43" s="55" t="inlineStr">
        <is>
          <t>PENDIENTE</t>
        </is>
      </c>
      <c r="G43" s="48" t="n"/>
      <c r="H43" s="45" t="inlineStr">
        <is>
          <t>[APOSTAR] VISITA</t>
        </is>
      </c>
      <c r="I43" s="46" t="n">
        <v>2500</v>
      </c>
      <c r="J43" s="55" t="inlineStr">
        <is>
          <t>PENDIENTE</t>
        </is>
      </c>
      <c r="K43" s="48" t="n"/>
      <c r="L43" s="48" t="n"/>
      <c r="M43" s="44" t="inlineStr">
        <is>
          <t>-</t>
        </is>
      </c>
      <c r="N43" s="44" t="inlineStr">
        <is>
          <t>-</t>
        </is>
      </c>
    </row>
    <row r="44" ht="16" customHeight="1">
      <c r="A44" s="47" t="inlineStr">
        <is>
          <t>11/04/2026</t>
        </is>
      </c>
      <c r="B44" s="51" t="inlineStr">
        <is>
          <t>Deportivo Riestra vs Instituto (córdoba)</t>
        </is>
      </c>
      <c r="C44" s="47" t="inlineStr">
        <is>
          <t>Argentina</t>
        </is>
      </c>
      <c r="D44" s="51" t="inlineStr">
        <is>
          <t>[APOSTAR] LOCAL</t>
        </is>
      </c>
      <c r="E44" s="48" t="n">
        <v>1443.38</v>
      </c>
      <c r="F44" s="55" t="inlineStr">
        <is>
          <t>PENDIENTE</t>
        </is>
      </c>
      <c r="G44" s="48" t="n"/>
      <c r="H44" s="51" t="inlineStr">
        <is>
          <t>[APOSTAR] LOCAL</t>
        </is>
      </c>
      <c r="I44" s="48" t="n">
        <v>2500</v>
      </c>
      <c r="J44" s="55" t="inlineStr">
        <is>
          <t>PENDIENTE</t>
        </is>
      </c>
      <c r="K44" s="48" t="n"/>
      <c r="L44" s="48" t="n"/>
      <c r="M44" s="47" t="inlineStr">
        <is>
          <t>-</t>
        </is>
      </c>
      <c r="N44" s="47" t="inlineStr">
        <is>
          <t>-</t>
        </is>
      </c>
    </row>
    <row r="45" ht="16" customHeight="1">
      <c r="A45" s="44" t="inlineStr">
        <is>
          <t>11/04/2026</t>
        </is>
      </c>
      <c r="B45" s="45" t="inlineStr">
        <is>
          <t>Estudiantes de la Plata vs Union (santa Fe)</t>
        </is>
      </c>
      <c r="C45" s="44" t="inlineStr">
        <is>
          <t>Argentina</t>
        </is>
      </c>
      <c r="D45" s="45" t="inlineStr">
        <is>
          <t>[APOSTAR] LOCAL</t>
        </is>
      </c>
      <c r="E45" s="46" t="n">
        <v>1443.38</v>
      </c>
      <c r="F45" s="55" t="inlineStr">
        <is>
          <t>PENDIENTE</t>
        </is>
      </c>
      <c r="G45" s="48" t="n"/>
      <c r="H45" s="45" t="inlineStr">
        <is>
          <t>[PASAR] Shadow-EV (0.046&lt;0.080)</t>
        </is>
      </c>
      <c r="I45" s="46" t="inlineStr">
        <is>
          <t>-</t>
        </is>
      </c>
      <c r="J45" s="55" t="inlineStr">
        <is>
          <t>PENDIENTE</t>
        </is>
      </c>
      <c r="K45" s="48" t="n"/>
      <c r="L45" s="48" t="n"/>
      <c r="M45" s="44" t="inlineStr">
        <is>
          <t>-</t>
        </is>
      </c>
      <c r="N45" s="44" t="inlineStr">
        <is>
          <t>-</t>
        </is>
      </c>
    </row>
    <row r="46" ht="16" customHeight="1">
      <c r="A46" s="47" t="inlineStr">
        <is>
          <t>11/04/2026</t>
        </is>
      </c>
      <c r="B46" s="51" t="inlineStr">
        <is>
          <t>Fluminense vs Flamengo</t>
        </is>
      </c>
      <c r="C46" s="47" t="inlineStr">
        <is>
          <t>Brasil</t>
        </is>
      </c>
      <c r="D46" s="51" t="inlineStr">
        <is>
          <t>[APOSTAR] LOCAL</t>
        </is>
      </c>
      <c r="E46" s="48" t="n">
        <v>1020.62</v>
      </c>
      <c r="F46" s="55" t="inlineStr">
        <is>
          <t>PENDIENTE</t>
        </is>
      </c>
      <c r="G46" s="48" t="n"/>
      <c r="H46" s="51" t="inlineStr">
        <is>
          <t>[APOSTAR] LOCAL</t>
        </is>
      </c>
      <c r="I46" s="48" t="n">
        <v>2500</v>
      </c>
      <c r="J46" s="55" t="inlineStr">
        <is>
          <t>PENDIENTE</t>
        </is>
      </c>
      <c r="K46" s="48" t="n"/>
      <c r="L46" s="48" t="n"/>
      <c r="M46" s="47" t="inlineStr">
        <is>
          <t>-</t>
        </is>
      </c>
      <c r="N46" s="47" t="inlineStr">
        <is>
          <t>-</t>
        </is>
      </c>
    </row>
    <row r="47" ht="16" customHeight="1">
      <c r="A47" s="44" t="inlineStr">
        <is>
          <t>11/04/2026</t>
        </is>
      </c>
      <c r="B47" s="45" t="inlineStr">
        <is>
          <t>Internacional vs Gremio</t>
        </is>
      </c>
      <c r="C47" s="44" t="inlineStr">
        <is>
          <t>Brasil</t>
        </is>
      </c>
      <c r="D47" s="45" t="inlineStr">
        <is>
          <t>[PASAR] Overlap Riesgo (O/U Priorizado)</t>
        </is>
      </c>
      <c r="E47" s="46" t="inlineStr">
        <is>
          <t>-</t>
        </is>
      </c>
      <c r="F47" s="55" t="inlineStr">
        <is>
          <t>PENDIENTE</t>
        </is>
      </c>
      <c r="G47" s="48" t="n"/>
      <c r="H47" s="45" t="inlineStr">
        <is>
          <t>[APOSTAR] VISITA</t>
        </is>
      </c>
      <c r="I47" s="46" t="n">
        <v>2500</v>
      </c>
      <c r="J47" s="55" t="inlineStr">
        <is>
          <t>PENDIENTE</t>
        </is>
      </c>
      <c r="K47" s="48" t="n"/>
      <c r="L47" s="48" t="n"/>
      <c r="M47" s="44" t="inlineStr">
        <is>
          <t>-</t>
        </is>
      </c>
      <c r="N47" s="44" t="inlineStr">
        <is>
          <t>-</t>
        </is>
      </c>
    </row>
    <row r="48" ht="16" customHeight="1">
      <c r="A48" s="47" t="inlineStr">
        <is>
          <t>11/04/2026</t>
        </is>
      </c>
      <c r="B48" s="51" t="inlineStr">
        <is>
          <t>Kayserispor vs Fenerbahce</t>
        </is>
      </c>
      <c r="C48" s="47" t="inlineStr">
        <is>
          <t>Turquia</t>
        </is>
      </c>
      <c r="D48" s="51" t="inlineStr">
        <is>
          <t>[APOSTAR] LOCAL</t>
        </is>
      </c>
      <c r="E48" s="48" t="n">
        <v>1443.38</v>
      </c>
      <c r="F48" s="55" t="inlineStr">
        <is>
          <t>PENDIENTE</t>
        </is>
      </c>
      <c r="G48" s="48" t="n"/>
      <c r="H48" s="51" t="inlineStr">
        <is>
          <t>[APOSTAR] LOCAL</t>
        </is>
      </c>
      <c r="I48" s="48" t="n">
        <v>2500</v>
      </c>
      <c r="J48" s="55" t="inlineStr">
        <is>
          <t>PENDIENTE</t>
        </is>
      </c>
      <c r="K48" s="48" t="n"/>
      <c r="L48" s="48" t="n"/>
      <c r="M48" s="47" t="inlineStr">
        <is>
          <t>-</t>
        </is>
      </c>
      <c r="N48" s="47" t="inlineStr">
        <is>
          <t>-</t>
        </is>
      </c>
    </row>
    <row r="49" ht="16" customHeight="1">
      <c r="A49" s="44" t="inlineStr">
        <is>
          <t>11/04/2026</t>
        </is>
      </c>
      <c r="B49" s="45" t="inlineStr">
        <is>
          <t>Mirassol vs Bahia</t>
        </is>
      </c>
      <c r="C49" s="44" t="inlineStr">
        <is>
          <t>Brasil</t>
        </is>
      </c>
      <c r="D49" s="45" t="inlineStr">
        <is>
          <t>[PASAR] EV Insuf (0.044&lt;0.080)</t>
        </is>
      </c>
      <c r="E49" s="46" t="inlineStr">
        <is>
          <t>-</t>
        </is>
      </c>
      <c r="F49" s="55" t="inlineStr">
        <is>
          <t>PENDIENTE</t>
        </is>
      </c>
      <c r="G49" s="48" t="n"/>
      <c r="H49" s="45" t="inlineStr">
        <is>
          <t>[APOSTAR] VISITA</t>
        </is>
      </c>
      <c r="I49" s="46" t="n">
        <v>2500</v>
      </c>
      <c r="J49" s="55" t="inlineStr">
        <is>
          <t>PENDIENTE</t>
        </is>
      </c>
      <c r="K49" s="48" t="n"/>
      <c r="L49" s="48" t="n"/>
      <c r="M49" s="44" t="inlineStr">
        <is>
          <t>-</t>
        </is>
      </c>
      <c r="N49" s="44" t="inlineStr">
        <is>
          <t>-</t>
        </is>
      </c>
    </row>
    <row r="50" ht="16" customHeight="1">
      <c r="A50" s="47" t="inlineStr">
        <is>
          <t>11/04/2026</t>
        </is>
      </c>
      <c r="B50" s="51" t="inlineStr">
        <is>
          <t>Remo vs Vasco da Gama</t>
        </is>
      </c>
      <c r="C50" s="47" t="inlineStr">
        <is>
          <t>Brasil</t>
        </is>
      </c>
      <c r="D50" s="51" t="inlineStr">
        <is>
          <t>[PASAR] Overlap Riesgo (O/U Priorizado)</t>
        </is>
      </c>
      <c r="E50" s="48" t="inlineStr">
        <is>
          <t>-</t>
        </is>
      </c>
      <c r="F50" s="55" t="inlineStr">
        <is>
          <t>PENDIENTE</t>
        </is>
      </c>
      <c r="G50" s="48" t="n"/>
      <c r="H50" s="51" t="inlineStr">
        <is>
          <t>[APOSTAR] LOCAL</t>
        </is>
      </c>
      <c r="I50" s="48" t="n">
        <v>2500</v>
      </c>
      <c r="J50" s="55" t="inlineStr">
        <is>
          <t>PENDIENTE</t>
        </is>
      </c>
      <c r="K50" s="48" t="n"/>
      <c r="L50" s="48" t="n"/>
      <c r="M50" s="47" t="inlineStr">
        <is>
          <t>-</t>
        </is>
      </c>
      <c r="N50" s="47" t="inlineStr">
        <is>
          <t>-</t>
        </is>
      </c>
    </row>
    <row r="51" ht="16" customHeight="1">
      <c r="A51" s="44" t="inlineStr">
        <is>
          <t>11/04/2026</t>
        </is>
      </c>
      <c r="B51" s="45" t="inlineStr">
        <is>
          <t>Santos vs Atlético-mg</t>
        </is>
      </c>
      <c r="C51" s="44" t="inlineStr">
        <is>
          <t>Brasil</t>
        </is>
      </c>
      <c r="D51" s="45" t="inlineStr">
        <is>
          <t>[APOSTAR] VISITA</t>
        </is>
      </c>
      <c r="E51" s="46" t="n">
        <v>1020.62</v>
      </c>
      <c r="F51" s="55" t="inlineStr">
        <is>
          <t>PENDIENTE</t>
        </is>
      </c>
      <c r="G51" s="48" t="n"/>
      <c r="H51" s="45" t="inlineStr">
        <is>
          <t>[APOSTAR] VISITA</t>
        </is>
      </c>
      <c r="I51" s="46" t="n">
        <v>2500</v>
      </c>
      <c r="J51" s="55" t="inlineStr">
        <is>
          <t>PENDIENTE</t>
        </is>
      </c>
      <c r="K51" s="48" t="n"/>
      <c r="L51" s="48" t="n"/>
      <c r="M51" s="44" t="inlineStr">
        <is>
          <t>-</t>
        </is>
      </c>
      <c r="N51" s="44" t="inlineStr">
        <is>
          <t>-</t>
        </is>
      </c>
    </row>
    <row r="52" ht="16" customHeight="1">
      <c r="A52" s="47" t="inlineStr">
        <is>
          <t>11/04/2026</t>
        </is>
      </c>
      <c r="B52" s="51" t="inlineStr">
        <is>
          <t>Viking fk vs Bodo/glimt</t>
        </is>
      </c>
      <c r="C52" s="47" t="inlineStr">
        <is>
          <t>Noruega</t>
        </is>
      </c>
      <c r="D52" s="51" t="inlineStr">
        <is>
          <t>[APOSTAR] LOCAL</t>
        </is>
      </c>
      <c r="E52" s="48" t="n">
        <v>2500</v>
      </c>
      <c r="F52" s="55" t="inlineStr">
        <is>
          <t>PENDIENTE</t>
        </is>
      </c>
      <c r="G52" s="48" t="n"/>
      <c r="H52" s="51" t="inlineStr">
        <is>
          <t>[APOSTAR] LOCAL</t>
        </is>
      </c>
      <c r="I52" s="48" t="n">
        <v>2500</v>
      </c>
      <c r="J52" s="55" t="inlineStr">
        <is>
          <t>PENDIENTE</t>
        </is>
      </c>
      <c r="K52" s="48" t="n"/>
      <c r="L52" s="48" t="n"/>
      <c r="M52" s="47" t="inlineStr">
        <is>
          <t>-</t>
        </is>
      </c>
      <c r="N52" s="47" t="inlineStr">
        <is>
          <t>-</t>
        </is>
      </c>
    </row>
    <row r="53" ht="16" customHeight="1">
      <c r="A53" s="44" t="inlineStr">
        <is>
          <t>11/04/2026</t>
        </is>
      </c>
      <c r="B53" s="45" t="inlineStr">
        <is>
          <t>Vitoria vs Sao Paulo</t>
        </is>
      </c>
      <c r="C53" s="44" t="inlineStr">
        <is>
          <t>Brasil</t>
        </is>
      </c>
      <c r="D53" s="45" t="inlineStr">
        <is>
          <t>[APOSTAR] LOCAL</t>
        </is>
      </c>
      <c r="E53" s="46" t="n">
        <v>1020.62</v>
      </c>
      <c r="F53" s="55" t="inlineStr">
        <is>
          <t>PENDIENTE</t>
        </is>
      </c>
      <c r="G53" s="48" t="n"/>
      <c r="H53" s="45" t="inlineStr">
        <is>
          <t>[APOSTAR] LOCAL</t>
        </is>
      </c>
      <c r="I53" s="46" t="n">
        <v>2500</v>
      </c>
      <c r="J53" s="55" t="inlineStr">
        <is>
          <t>PENDIENTE</t>
        </is>
      </c>
      <c r="K53" s="48" t="n"/>
      <c r="L53" s="48" t="n"/>
      <c r="M53" s="44" t="inlineStr">
        <is>
          <t>-</t>
        </is>
      </c>
      <c r="N53" s="44" t="inlineStr">
        <is>
          <t>-</t>
        </is>
      </c>
    </row>
    <row r="54" ht="16" customHeight="1">
      <c r="A54" s="47" t="inlineStr">
        <is>
          <t>12/04/2026</t>
        </is>
      </c>
      <c r="B54" s="51" t="inlineStr">
        <is>
          <t>Botafogo vs Coritiba</t>
        </is>
      </c>
      <c r="C54" s="47" t="inlineStr">
        <is>
          <t>Brasil</t>
        </is>
      </c>
      <c r="D54" s="51" t="inlineStr">
        <is>
          <t>[APOSTAR] VISITA</t>
        </is>
      </c>
      <c r="E54" s="48" t="n">
        <v>1250</v>
      </c>
      <c r="F54" s="55" t="inlineStr">
        <is>
          <t>PENDIENTE</t>
        </is>
      </c>
      <c r="G54" s="48" t="n"/>
      <c r="H54" s="51" t="inlineStr">
        <is>
          <t>[PASAR] Margen Predictivo Insuficiente (&lt;5%)</t>
        </is>
      </c>
      <c r="I54" s="48" t="inlineStr">
        <is>
          <t>-</t>
        </is>
      </c>
      <c r="J54" s="55" t="inlineStr">
        <is>
          <t>PENDIENTE</t>
        </is>
      </c>
      <c r="K54" s="48" t="n"/>
      <c r="L54" s="48" t="n"/>
      <c r="M54" s="47" t="inlineStr">
        <is>
          <t>-</t>
        </is>
      </c>
      <c r="N54" s="47" t="inlineStr">
        <is>
          <t>-</t>
        </is>
      </c>
    </row>
    <row r="55" ht="16" customHeight="1">
      <c r="A55" s="44" t="inlineStr">
        <is>
          <t>12/04/2026</t>
        </is>
      </c>
      <c r="B55" s="45" t="inlineStr">
        <is>
          <t>Chelsea vs Manchester City</t>
        </is>
      </c>
      <c r="C55" s="44" t="inlineStr">
        <is>
          <t>Inglaterra</t>
        </is>
      </c>
      <c r="D55" s="45" t="inlineStr">
        <is>
          <t>[APOSTAR] LOCAL</t>
        </is>
      </c>
      <c r="E55" s="46" t="n">
        <v>1250</v>
      </c>
      <c r="F55" s="55" t="inlineStr">
        <is>
          <t>PENDIENTE</t>
        </is>
      </c>
      <c r="G55" s="48" t="n"/>
      <c r="H55" s="45" t="inlineStr">
        <is>
          <t>[APOSTAR] LOCAL</t>
        </is>
      </c>
      <c r="I55" s="46" t="n">
        <v>2500</v>
      </c>
      <c r="J55" s="55" t="inlineStr">
        <is>
          <t>PENDIENTE</t>
        </is>
      </c>
      <c r="K55" s="48" t="n"/>
      <c r="L55" s="48" t="n"/>
      <c r="M55" s="44" t="inlineStr">
        <is>
          <t>-</t>
        </is>
      </c>
      <c r="N55" s="44" t="inlineStr">
        <is>
          <t>-</t>
        </is>
      </c>
    </row>
    <row r="56" ht="16" customHeight="1">
      <c r="A56" s="47" t="inlineStr">
        <is>
          <t>12/04/2026</t>
        </is>
      </c>
      <c r="B56" s="51" t="inlineStr">
        <is>
          <t>Corinthians vs Palmeiras</t>
        </is>
      </c>
      <c r="C56" s="47" t="inlineStr">
        <is>
          <t>Brasil</t>
        </is>
      </c>
      <c r="D56" s="51" t="inlineStr">
        <is>
          <t>[APOSTAR] VISITA</t>
        </is>
      </c>
      <c r="E56" s="48" t="n">
        <v>1250</v>
      </c>
      <c r="F56" s="55" t="inlineStr">
        <is>
          <t>PENDIENTE</t>
        </is>
      </c>
      <c r="G56" s="48" t="n"/>
      <c r="H56" s="51" t="inlineStr">
        <is>
          <t>[PASAR] Shadow-EV (0.042&lt;0.080)</t>
        </is>
      </c>
      <c r="I56" s="48" t="inlineStr">
        <is>
          <t>-</t>
        </is>
      </c>
      <c r="J56" s="55" t="inlineStr">
        <is>
          <t>PENDIENTE</t>
        </is>
      </c>
      <c r="K56" s="48" t="n"/>
      <c r="L56" s="48" t="n"/>
      <c r="M56" s="47" t="inlineStr">
        <is>
          <t>-</t>
        </is>
      </c>
      <c r="N56" s="47" t="inlineStr">
        <is>
          <t>-</t>
        </is>
      </c>
    </row>
    <row r="57" ht="16" customHeight="1">
      <c r="A57" s="44" t="inlineStr">
        <is>
          <t>12/04/2026</t>
        </is>
      </c>
      <c r="B57" s="45" t="inlineStr">
        <is>
          <t>Cruzeiro vs Red Bull Bragantino</t>
        </is>
      </c>
      <c r="C57" s="44" t="inlineStr">
        <is>
          <t>Brasil</t>
        </is>
      </c>
      <c r="D57" s="45" t="inlineStr">
        <is>
          <t>[APOSTAR] VISITA</t>
        </is>
      </c>
      <c r="E57" s="46" t="n">
        <v>1250</v>
      </c>
      <c r="F57" s="55" t="inlineStr">
        <is>
          <t>PENDIENTE</t>
        </is>
      </c>
      <c r="G57" s="48" t="n"/>
      <c r="H57" s="45" t="inlineStr">
        <is>
          <t>[APOSTAR] VISITA</t>
        </is>
      </c>
      <c r="I57" s="46" t="n">
        <v>2500</v>
      </c>
      <c r="J57" s="55" t="inlineStr">
        <is>
          <t>PENDIENTE</t>
        </is>
      </c>
      <c r="K57" s="48" t="n"/>
      <c r="L57" s="48" t="n"/>
      <c r="M57" s="44" t="inlineStr">
        <is>
          <t>-</t>
        </is>
      </c>
      <c r="N57" s="44" t="inlineStr">
        <is>
          <t>-</t>
        </is>
      </c>
    </row>
    <row r="58" ht="16" customHeight="1">
      <c r="A58" s="47" t="inlineStr">
        <is>
          <t>12/04/2026</t>
        </is>
      </c>
      <c r="B58" s="51" t="inlineStr">
        <is>
          <t>Crystal Palace vs Newcastle United</t>
        </is>
      </c>
      <c r="C58" s="47" t="inlineStr">
        <is>
          <t>Inglaterra</t>
        </is>
      </c>
      <c r="D58" s="51" t="inlineStr">
        <is>
          <t>[APOSTAR] LOCAL</t>
        </is>
      </c>
      <c r="E58" s="48" t="n">
        <v>1250</v>
      </c>
      <c r="F58" s="55" t="inlineStr">
        <is>
          <t>PENDIENTE</t>
        </is>
      </c>
      <c r="G58" s="48" t="n"/>
      <c r="H58" s="51" t="inlineStr">
        <is>
          <t>[PASAR] Margen Predictivo Insuficiente (&lt;5%)</t>
        </is>
      </c>
      <c r="I58" s="48" t="inlineStr">
        <is>
          <t>-</t>
        </is>
      </c>
      <c r="J58" s="55" t="inlineStr">
        <is>
          <t>PENDIENTE</t>
        </is>
      </c>
      <c r="K58" s="48" t="n"/>
      <c r="L58" s="48" t="n"/>
      <c r="M58" s="47" t="inlineStr">
        <is>
          <t>-</t>
        </is>
      </c>
      <c r="N58" s="47" t="inlineStr">
        <is>
          <t>-</t>
        </is>
      </c>
    </row>
    <row r="59" ht="16" customHeight="1">
      <c r="A59" s="44" t="inlineStr">
        <is>
          <t>12/04/2026</t>
        </is>
      </c>
      <c r="B59" s="45" t="inlineStr">
        <is>
          <t>Fredrikstad vs Valerenga</t>
        </is>
      </c>
      <c r="C59" s="44" t="inlineStr">
        <is>
          <t>Noruega</t>
        </is>
      </c>
      <c r="D59" s="45" t="inlineStr">
        <is>
          <t>[APOSTAR] LOCAL</t>
        </is>
      </c>
      <c r="E59" s="46" t="n">
        <v>1767.77</v>
      </c>
      <c r="F59" s="55" t="inlineStr">
        <is>
          <t>PENDIENTE</t>
        </is>
      </c>
      <c r="G59" s="48" t="n"/>
      <c r="H59" s="45" t="inlineStr">
        <is>
          <t>[PASAR] Shadow-EV (0.052&lt;0.080)</t>
        </is>
      </c>
      <c r="I59" s="46" t="inlineStr">
        <is>
          <t>-</t>
        </is>
      </c>
      <c r="J59" s="55" t="inlineStr">
        <is>
          <t>PENDIENTE</t>
        </is>
      </c>
      <c r="K59" s="48" t="n"/>
      <c r="L59" s="48" t="n"/>
      <c r="M59" s="44" t="inlineStr">
        <is>
          <t>-</t>
        </is>
      </c>
      <c r="N59" s="44" t="inlineStr">
        <is>
          <t>-</t>
        </is>
      </c>
    </row>
    <row r="60" ht="16" customHeight="1">
      <c r="A60" s="47" t="inlineStr">
        <is>
          <t>12/04/2026</t>
        </is>
      </c>
      <c r="B60" s="51" t="inlineStr">
        <is>
          <t>Goztepe vs Kasimpasa</t>
        </is>
      </c>
      <c r="C60" s="47" t="inlineStr">
        <is>
          <t>Turquia</t>
        </is>
      </c>
      <c r="D60" s="51" t="inlineStr">
        <is>
          <t>[APOSTAR] VISITA</t>
        </is>
      </c>
      <c r="E60" s="48" t="n">
        <v>1767.77</v>
      </c>
      <c r="F60" s="55" t="inlineStr">
        <is>
          <t>PENDIENTE</t>
        </is>
      </c>
      <c r="G60" s="48" t="n"/>
      <c r="H60" s="51" t="inlineStr">
        <is>
          <t>[APOSTAR] VISITA</t>
        </is>
      </c>
      <c r="I60" s="48" t="n">
        <v>2500</v>
      </c>
      <c r="J60" s="55" t="inlineStr">
        <is>
          <t>PENDIENTE</t>
        </is>
      </c>
      <c r="K60" s="48" t="n"/>
      <c r="L60" s="48" t="n"/>
      <c r="M60" s="47" t="inlineStr">
        <is>
          <t>-</t>
        </is>
      </c>
      <c r="N60" s="47" t="inlineStr">
        <is>
          <t>-</t>
        </is>
      </c>
    </row>
    <row r="61" ht="16" customHeight="1">
      <c r="A61" s="44" t="inlineStr">
        <is>
          <t>12/04/2026</t>
        </is>
      </c>
      <c r="B61" s="45" t="inlineStr">
        <is>
          <t>Nottingham Forest vs Aston Villa</t>
        </is>
      </c>
      <c r="C61" s="44" t="inlineStr">
        <is>
          <t>Inglaterra</t>
        </is>
      </c>
      <c r="D61" s="45" t="inlineStr">
        <is>
          <t>[PASAR] Overlap Riesgo (O/U Priorizado)</t>
        </is>
      </c>
      <c r="E61" s="46" t="inlineStr">
        <is>
          <t>-</t>
        </is>
      </c>
      <c r="F61" s="55" t="inlineStr">
        <is>
          <t>PENDIENTE</t>
        </is>
      </c>
      <c r="G61" s="48" t="n"/>
      <c r="H61" s="45" t="inlineStr">
        <is>
          <t>[APOSTAR] LOCAL</t>
        </is>
      </c>
      <c r="I61" s="46" t="n">
        <v>2500</v>
      </c>
      <c r="J61" s="55" t="inlineStr">
        <is>
          <t>PENDIENTE</t>
        </is>
      </c>
      <c r="K61" s="48" t="n"/>
      <c r="L61" s="48" t="n"/>
      <c r="M61" s="44" t="inlineStr">
        <is>
          <t>-</t>
        </is>
      </c>
      <c r="N61" s="44" t="inlineStr">
        <is>
          <t>-</t>
        </is>
      </c>
    </row>
    <row r="62" ht="16" customHeight="1">
      <c r="A62" s="47" t="inlineStr">
        <is>
          <t>12/04/2026</t>
        </is>
      </c>
      <c r="B62" s="51" t="inlineStr">
        <is>
          <t>Rosenborg vs Sarpsborg fk</t>
        </is>
      </c>
      <c r="C62" s="47" t="inlineStr">
        <is>
          <t>Noruega</t>
        </is>
      </c>
      <c r="D62" s="51" t="inlineStr">
        <is>
          <t>[APOSTAR] LOCAL</t>
        </is>
      </c>
      <c r="E62" s="48" t="n">
        <v>1767.77</v>
      </c>
      <c r="F62" s="55" t="inlineStr">
        <is>
          <t>PENDIENTE</t>
        </is>
      </c>
      <c r="G62" s="48" t="n"/>
      <c r="H62" s="51" t="inlineStr">
        <is>
          <t>[PASAR] Shadow-EV (0.082&lt;0.120)</t>
        </is>
      </c>
      <c r="I62" s="48" t="inlineStr">
        <is>
          <t>-</t>
        </is>
      </c>
      <c r="J62" s="55" t="inlineStr">
        <is>
          <t>PENDIENTE</t>
        </is>
      </c>
      <c r="K62" s="48" t="n"/>
      <c r="L62" s="48" t="n"/>
      <c r="M62" s="47" t="inlineStr">
        <is>
          <t>-</t>
        </is>
      </c>
      <c r="N62" s="47" t="inlineStr">
        <is>
          <t>-</t>
        </is>
      </c>
    </row>
    <row r="63" ht="16" customHeight="1">
      <c r="A63" s="44" t="inlineStr">
        <is>
          <t>13/04/2026</t>
        </is>
      </c>
      <c r="B63" s="45" t="inlineStr">
        <is>
          <t>Caykur Rizespor vs Gaziantep FK</t>
        </is>
      </c>
      <c r="C63" s="44" t="inlineStr">
        <is>
          <t>Turquia</t>
        </is>
      </c>
      <c r="D63" s="45" t="inlineStr">
        <is>
          <t>[APOSTAR] VISITA</t>
        </is>
      </c>
      <c r="E63" s="46" t="n">
        <v>1767.77</v>
      </c>
      <c r="F63" s="55" t="inlineStr">
        <is>
          <t>PENDIENTE</t>
        </is>
      </c>
      <c r="G63" s="48" t="n"/>
      <c r="H63" s="45" t="inlineStr">
        <is>
          <t>[APOSTAR] VISITA</t>
        </is>
      </c>
      <c r="I63" s="46" t="n">
        <v>2500</v>
      </c>
      <c r="J63" s="55" t="inlineStr">
        <is>
          <t>PENDIENTE</t>
        </is>
      </c>
      <c r="K63" s="48" t="n"/>
      <c r="L63" s="48" t="n"/>
      <c r="M63" s="44" t="inlineStr">
        <is>
          <t>-</t>
        </is>
      </c>
      <c r="N63" s="44" t="inlineStr">
        <is>
          <t>-</t>
        </is>
      </c>
    </row>
    <row r="64" ht="16" customHeight="1">
      <c r="A64" s="47" t="inlineStr">
        <is>
          <t>13/04/2026</t>
        </is>
      </c>
      <c r="B64" s="51" t="inlineStr">
        <is>
          <t>Eyupspor vs Samsunspor</t>
        </is>
      </c>
      <c r="C64" s="47" t="inlineStr">
        <is>
          <t>Turquia</t>
        </is>
      </c>
      <c r="D64" s="51" t="inlineStr">
        <is>
          <t>[APOSTAR] LOCAL</t>
        </is>
      </c>
      <c r="E64" s="48" t="n">
        <v>1767.77</v>
      </c>
      <c r="F64" s="55" t="inlineStr">
        <is>
          <t>PENDIENTE</t>
        </is>
      </c>
      <c r="G64" s="48" t="n"/>
      <c r="H64" s="51" t="inlineStr">
        <is>
          <t>[APOSTAR] LOCAL</t>
        </is>
      </c>
      <c r="I64" s="48" t="n">
        <v>2500</v>
      </c>
      <c r="J64" s="55" t="inlineStr">
        <is>
          <t>PENDIENTE</t>
        </is>
      </c>
      <c r="K64" s="48" t="n"/>
      <c r="L64" s="48" t="n"/>
      <c r="M64" s="47" t="inlineStr">
        <is>
          <t>-</t>
        </is>
      </c>
      <c r="N64" s="47" t="inlineStr">
        <is>
          <t>-</t>
        </is>
      </c>
    </row>
    <row r="65" ht="16" customHeight="1">
      <c r="A65" s="44" t="inlineStr">
        <is>
          <t>13/04/2026</t>
        </is>
      </c>
      <c r="B65" s="45" t="inlineStr">
        <is>
          <t>Lanus vs Banfield</t>
        </is>
      </c>
      <c r="C65" s="44" t="inlineStr">
        <is>
          <t>Argentina</t>
        </is>
      </c>
      <c r="D65" s="45" t="inlineStr">
        <is>
          <t>[PASAR] Floor Prob (33%&lt;33%)</t>
        </is>
      </c>
      <c r="E65" s="46" t="inlineStr">
        <is>
          <t>-</t>
        </is>
      </c>
      <c r="F65" s="55" t="inlineStr">
        <is>
          <t>PENDIENTE</t>
        </is>
      </c>
      <c r="G65" s="48" t="n"/>
      <c r="H65" s="45" t="inlineStr">
        <is>
          <t>[APOSTAR] VISITA</t>
        </is>
      </c>
      <c r="I65" s="46" t="n">
        <v>2500</v>
      </c>
      <c r="J65" s="55" t="inlineStr">
        <is>
          <t>PENDIENTE</t>
        </is>
      </c>
      <c r="K65" s="48" t="n"/>
      <c r="L65" s="48" t="n"/>
      <c r="M65" s="44" t="inlineStr">
        <is>
          <t>-</t>
        </is>
      </c>
      <c r="N65" s="44" t="inlineStr">
        <is>
          <t>-</t>
        </is>
      </c>
    </row>
    <row r="66" ht="16" customHeight="1">
      <c r="A66" s="47" t="inlineStr">
        <is>
          <t>13/04/2026</t>
        </is>
      </c>
      <c r="B66" s="51" t="inlineStr">
        <is>
          <t>Sarmiento (junin) vs Gimnasia la Plata</t>
        </is>
      </c>
      <c r="C66" s="47" t="inlineStr">
        <is>
          <t>Argentina</t>
        </is>
      </c>
      <c r="D66" s="51" t="inlineStr">
        <is>
          <t>[APOSTAR] VISITA</t>
        </is>
      </c>
      <c r="E66" s="48" t="n">
        <v>2500</v>
      </c>
      <c r="F66" s="55" t="inlineStr">
        <is>
          <t>PENDIENTE</t>
        </is>
      </c>
      <c r="G66" s="48" t="n"/>
      <c r="H66" s="51" t="inlineStr">
        <is>
          <t>[APOSTAR] VISITA</t>
        </is>
      </c>
      <c r="I66" s="48" t="n">
        <v>2500</v>
      </c>
      <c r="J66" s="55" t="inlineStr">
        <is>
          <t>PENDIENTE</t>
        </is>
      </c>
      <c r="K66" s="48" t="n"/>
      <c r="L66" s="48" t="n"/>
      <c r="M66" s="47" t="inlineStr">
        <is>
          <t>-</t>
        </is>
      </c>
      <c r="N66" s="47" t="inlineStr">
        <is>
          <t>-</t>
        </is>
      </c>
    </row>
    <row r="68" ht="18" customHeight="1">
      <c r="A68" s="56" t="inlineStr">
        <is>
          <t>RESUMEN COMPARATIVO DE RENDIMIENTO</t>
        </is>
      </c>
    </row>
    <row r="69" ht="16" customHeight="1">
      <c r="A69" s="40" t="inlineStr">
        <is>
          <t>KPI</t>
        </is>
      </c>
      <c r="B69" s="41" t="inlineStr">
        <is>
          <t>Opcion 1 (Activa)</t>
        </is>
      </c>
      <c r="D69" s="42" t="inlineStr">
        <is>
          <t>Opcion 4 (Shadow)</t>
        </is>
      </c>
      <c r="F69" s="43" t="inlineStr">
        <is>
          <t>Mejor</t>
        </is>
      </c>
    </row>
    <row r="70" ht="17" customHeight="1">
      <c r="A70" s="57" t="inlineStr">
        <is>
          <t>N apuestas liquidadas</t>
        </is>
      </c>
      <c r="B70" s="58" t="n">
        <v>5</v>
      </c>
      <c r="C70" s="58" t="n">
        <v>5</v>
      </c>
      <c r="D70" s="58" t="n">
        <v>35</v>
      </c>
      <c r="E70" s="58" t="n">
        <v>35</v>
      </c>
      <c r="F70" s="59" t="inlineStr">
        <is>
          <t>=</t>
        </is>
      </c>
    </row>
    <row r="71" ht="17" customHeight="1">
      <c r="A71" s="57" t="inlineStr">
        <is>
          <t>Ganadas</t>
        </is>
      </c>
      <c r="B71" s="60" t="n">
        <v>3</v>
      </c>
      <c r="C71" s="60" t="n">
        <v>3</v>
      </c>
      <c r="D71" s="61" t="n">
        <v>21</v>
      </c>
      <c r="E71" s="61" t="n">
        <v>21</v>
      </c>
      <c r="F71" s="62" t="inlineStr">
        <is>
          <t>Op4</t>
        </is>
      </c>
    </row>
    <row r="72" ht="17" customHeight="1">
      <c r="A72" s="57" t="inlineStr">
        <is>
          <t>Hit rate</t>
        </is>
      </c>
      <c r="B72" s="63" t="n">
        <v>0.6</v>
      </c>
      <c r="C72" s="63" t="n">
        <v>0.6</v>
      </c>
      <c r="D72" s="63" t="n">
        <v>0.6</v>
      </c>
      <c r="E72" s="63" t="n">
        <v>0.6</v>
      </c>
      <c r="F72" s="59" t="inlineStr">
        <is>
          <t>=</t>
        </is>
      </c>
    </row>
    <row r="73" ht="17" customHeight="1">
      <c r="A73" s="57" t="inlineStr">
        <is>
          <t>Volumen apostado</t>
        </is>
      </c>
      <c r="B73" s="54" t="n">
        <v>9095.030000000001</v>
      </c>
      <c r="C73" s="54" t="n">
        <v>9095.030000000001</v>
      </c>
      <c r="D73" s="54" t="n">
        <v>87500</v>
      </c>
      <c r="E73" s="54" t="n">
        <v>87500</v>
      </c>
      <c r="F73" s="59" t="inlineStr">
        <is>
          <t>=</t>
        </is>
      </c>
    </row>
    <row r="74" ht="17" customHeight="1">
      <c r="A74" s="57" t="inlineStr">
        <is>
          <t>P/L neto</t>
        </is>
      </c>
      <c r="B74" s="50" t="n">
        <v>16824.42</v>
      </c>
      <c r="C74" s="50" t="n">
        <v>16824.42</v>
      </c>
      <c r="D74" s="53" t="n">
        <v>121425</v>
      </c>
      <c r="E74" s="53" t="n">
        <v>121425</v>
      </c>
      <c r="F74" s="62" t="inlineStr">
        <is>
          <t>Op4</t>
        </is>
      </c>
    </row>
    <row r="75" ht="17" customHeight="1">
      <c r="A75" s="57" t="inlineStr">
        <is>
          <t>Yield</t>
        </is>
      </c>
      <c r="B75" s="64" t="n">
        <v>1.849847664053884</v>
      </c>
      <c r="C75" s="64" t="n">
        <v>1.849847664053884</v>
      </c>
      <c r="D75" s="65" t="n">
        <v>1.387714285714286</v>
      </c>
      <c r="E75" s="65" t="n">
        <v>1.387714285714286</v>
      </c>
      <c r="F75" s="62" t="inlineStr">
        <is>
          <t>Op1</t>
        </is>
      </c>
    </row>
    <row r="77">
      <c r="A77" s="66" t="inlineStr">
        <is>
          <t>Verde = celda ganadora en ese KPI / partido   |   Rojo = celda perdedora   |   Amarillo en Resultado = pendiente de liquidar   |   Op1 activa desde V4.3: empates bloqueados + xG Margen O/U + Camino 2B (desacuerdo) + Camino 3 (alta conv.)</t>
        </is>
      </c>
    </row>
  </sheetData>
  <mergeCells count="8">
    <mergeCell ref="D3:G3"/>
    <mergeCell ref="A77:N77"/>
    <mergeCell ref="H3:K3"/>
    <mergeCell ref="A2:N2"/>
    <mergeCell ref="A3:C3"/>
    <mergeCell ref="A68:N68"/>
    <mergeCell ref="L3:N3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>
      <c r="A1" s="56" t="inlineStr">
        <is>
          <t>Liga</t>
        </is>
      </c>
      <c r="B1" s="56" t="inlineStr">
        <is>
          <t>Apuestas</t>
        </is>
      </c>
      <c r="C1" s="56" t="inlineStr">
        <is>
          <t>Ganadas</t>
        </is>
      </c>
      <c r="D1" s="56" t="inlineStr">
        <is>
          <t>Perdidas</t>
        </is>
      </c>
      <c r="E1" s="56" t="inlineStr">
        <is>
          <t>% Acierto</t>
        </is>
      </c>
      <c r="F1" s="56" t="inlineStr">
        <is>
          <t>P/L Neto</t>
        </is>
      </c>
      <c r="G1" s="56" t="inlineStr">
        <is>
          <t>Yield</t>
        </is>
      </c>
      <c r="H1" s="56" t="inlineStr">
        <is>
          <t>Volumen</t>
        </is>
      </c>
    </row>
    <row r="2">
      <c r="A2" s="67" t="inlineStr">
        <is>
          <t>Argentina</t>
        </is>
      </c>
      <c r="B2" s="67" t="n">
        <v>25</v>
      </c>
      <c r="C2" s="67" t="n">
        <v>8</v>
      </c>
      <c r="D2" s="67" t="n">
        <v>17</v>
      </c>
      <c r="E2" s="68" t="n">
        <v>0.32</v>
      </c>
      <c r="F2" s="69" t="n">
        <v>-3225.97</v>
      </c>
      <c r="G2" s="68" t="n">
        <v>-0.08247586167048537</v>
      </c>
      <c r="H2" s="69" t="n">
        <v>39114.14</v>
      </c>
    </row>
    <row r="3">
      <c r="A3" s="67" t="inlineStr">
        <is>
          <t>Brasil</t>
        </is>
      </c>
      <c r="B3" s="67" t="n">
        <v>26</v>
      </c>
      <c r="C3" s="67" t="n">
        <v>14</v>
      </c>
      <c r="D3" s="67" t="n">
        <v>12</v>
      </c>
      <c r="E3" s="68" t="n">
        <v>0.5384615384615384</v>
      </c>
      <c r="F3" s="69" t="n">
        <v>42886.34</v>
      </c>
      <c r="G3" s="68" t="n">
        <v>1.294487749309765</v>
      </c>
      <c r="H3" s="69" t="n">
        <v>33129.97</v>
      </c>
    </row>
    <row r="4">
      <c r="A4" s="67" t="inlineStr">
        <is>
          <t>Inglaterra</t>
        </is>
      </c>
      <c r="B4" s="67" t="n">
        <v>9</v>
      </c>
      <c r="C4" s="67" t="n">
        <v>7</v>
      </c>
      <c r="D4" s="67" t="n">
        <v>2</v>
      </c>
      <c r="E4" s="68" t="n">
        <v>0.7777777777777779</v>
      </c>
      <c r="F4" s="69" t="n">
        <v>11471.25</v>
      </c>
      <c r="G4" s="68" t="n">
        <v>0.8004978737123293</v>
      </c>
      <c r="H4" s="69" t="n">
        <v>14330.14</v>
      </c>
    </row>
    <row r="5">
      <c r="A5" s="67" t="inlineStr">
        <is>
          <t>Noruega</t>
        </is>
      </c>
      <c r="B5" s="67" t="n">
        <v>8</v>
      </c>
      <c r="C5" s="67" t="n">
        <v>4</v>
      </c>
      <c r="D5" s="67" t="n">
        <v>4</v>
      </c>
      <c r="E5" s="68" t="n">
        <v>0.5</v>
      </c>
      <c r="F5" s="69" t="n">
        <v>4743.75</v>
      </c>
      <c r="G5" s="68" t="n">
        <v>0.3546861973802365</v>
      </c>
      <c r="H5" s="69" t="n">
        <v>13374.49</v>
      </c>
    </row>
    <row r="6">
      <c r="A6" s="67" t="inlineStr">
        <is>
          <t>Turquia</t>
        </is>
      </c>
      <c r="B6" s="67" t="n">
        <v>6</v>
      </c>
      <c r="C6" s="67" t="n">
        <v>4</v>
      </c>
      <c r="D6" s="67" t="n">
        <v>2</v>
      </c>
      <c r="E6" s="68" t="n">
        <v>0.6666666666666665</v>
      </c>
      <c r="F6" s="69" t="n">
        <v>16147.4</v>
      </c>
      <c r="G6" s="68" t="n">
        <v>1.364937760668936</v>
      </c>
      <c r="H6" s="69" t="n">
        <v>11830.14</v>
      </c>
    </row>
    <row r="7">
      <c r="A7" s="70" t="inlineStr">
        <is>
          <t>TOTAL</t>
        </is>
      </c>
      <c r="B7" s="70" t="n">
        <v>74</v>
      </c>
      <c r="C7" s="70" t="n">
        <v>37</v>
      </c>
      <c r="D7" s="70" t="n">
        <v>37</v>
      </c>
      <c r="E7" s="71" t="n">
        <v>0.5</v>
      </c>
      <c r="F7" s="72" t="n">
        <v>72022.77</v>
      </c>
      <c r="G7" s="71" t="n">
        <v>0.6443325098623282</v>
      </c>
      <c r="H7" s="72" t="n">
        <v>111778.88</v>
      </c>
    </row>
    <row r="9">
      <c r="A9" s="73" t="inlineStr">
        <is>
          <t>Generado: 10/04/2026 12:31</t>
        </is>
      </c>
    </row>
    <row r="10">
      <c r="A10" s="73" t="inlineStr">
        <is>
          <t>Bankroll base: $100,000.00</t>
        </is>
      </c>
    </row>
  </sheetData>
  <conditionalFormatting sqref="G2:G7">
    <cfRule type="expression" priority="1" dxfId="5" stopIfTrue="1">
      <formula>G2&gt;0.05</formula>
    </cfRule>
    <cfRule type="expression" priority="2" dxfId="7" stopIfTrue="1">
      <formula>G2&gt;=0</formula>
    </cfRule>
    <cfRule type="expression" priority="3" dxfId="6" stopIfTrue="1">
      <formula>G2&lt;0</formula>
    </cfRule>
  </conditionalFormatting>
  <conditionalFormatting sqref="F2:F7">
    <cfRule type="expression" priority="4" dxfId="5" stopIfTrue="1">
      <formula>F2&gt;0</formula>
    </cfRule>
    <cfRule type="expression" priority="5" dxfId="6" stopIfTrue="1">
      <formula>F2&lt;0</formula>
    </cfRule>
  </conditionalFormatting>
  <conditionalFormatting sqref="E2:E7">
    <cfRule type="expression" priority="6" dxfId="5" stopIfTrue="1">
      <formula>E2&gt;=0.6</formula>
    </cfRule>
    <cfRule type="expression" priority="7" dxfId="7" stopIfTrue="1">
      <formula>E2&gt;=0.5</formula>
    </cfRule>
    <cfRule type="expression" priority="8" dxfId="6" stopIfTrue="1">
      <formula>E2&lt;0.5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2026-04-10T15:31:32Z</dcterms:created>
  <dcterms:modified xmlns:dcterms="http://purl.org/dc/terms/" xmlns:xsi="http://www.w3.org/2001/XMLSchema-instance" xsi:type="dcterms:W3CDTF">2026-04-10T15:31:33Z</dcterms:modified>
</cp:coreProperties>
</file>