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4" fontId="2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1" fontId="2" fillId="10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0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13:18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110586.1725</v>
      </c>
      <c r="C5" s="6" t="n">
        <v>108889.1133</v>
      </c>
      <c r="D5" s="6" t="n">
        <v>1697.0592</v>
      </c>
    </row>
    <row r="6" ht="18" customHeight="1">
      <c r="A6" s="7" t="inlineStr">
        <is>
          <t>Yield</t>
        </is>
      </c>
      <c r="B6" s="8" t="n">
        <v>1.905773933163079</v>
      </c>
      <c r="C6" s="8" t="n">
        <v>1.935491962728189</v>
      </c>
      <c r="D6" s="8" t="n">
        <v>0.96</v>
      </c>
    </row>
    <row r="7" ht="18" customHeight="1">
      <c r="A7" s="5" t="inlineStr">
        <is>
          <t>Volumen apostado</t>
        </is>
      </c>
      <c r="B7" s="9" t="n">
        <v>58026.91</v>
      </c>
      <c r="C7" s="9" t="n">
        <v>56259.14</v>
      </c>
      <c r="D7" s="9" t="n">
        <v>1767.77</v>
      </c>
    </row>
    <row r="8" ht="18" customHeight="1">
      <c r="A8" s="7" t="inlineStr">
        <is>
          <t>N apuestas liquidadas</t>
        </is>
      </c>
      <c r="B8" s="10" t="n">
        <v>33</v>
      </c>
      <c r="C8" s="10" t="n">
        <v>32</v>
      </c>
      <c r="D8" s="10" t="n">
        <v>1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48/70 partidos)</t>
        </is>
      </c>
      <c r="B10" s="8" t="n">
        <v>0.6857142857142857</v>
      </c>
      <c r="C10" s="8" t="n">
        <v>0.6857142857142857</v>
      </c>
      <c r="D10" s="11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0.7575757575757576</v>
      </c>
      <c r="C11" s="8" t="n">
        <v>0.75</v>
      </c>
      <c r="D11" s="8" t="n">
        <v>1</v>
      </c>
    </row>
    <row r="12" ht="18" customHeight="1">
      <c r="A12" s="7" t="inlineStr">
        <is>
          <t>% Acierto all  (promedio sistema + apuestas)</t>
        </is>
      </c>
      <c r="B12" s="8" t="n">
        <v>0.7216450216450216</v>
      </c>
      <c r="C12" s="8" t="n">
        <v>0.7178571428571429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2" t="n">
        <v>5.5055</v>
      </c>
      <c r="C14" s="12" t="n">
        <v>5.4437</v>
      </c>
      <c r="D14" s="13" t="n">
        <v>0</v>
      </c>
    </row>
    <row r="15" ht="18" customHeight="1">
      <c r="A15" s="5" t="inlineStr">
        <is>
          <t>P-Value  (two-tailed, &lt;0.05 = significativo)</t>
        </is>
      </c>
      <c r="B15" s="14" t="n">
        <v>0</v>
      </c>
      <c r="C15" s="14" t="n">
        <v>0</v>
      </c>
      <c r="D15" s="15" t="n">
        <v>1</v>
      </c>
    </row>
    <row r="16" ht="18" customHeight="1">
      <c r="A16" s="7" t="inlineStr">
        <is>
          <t>Fraccion Kelly</t>
        </is>
      </c>
      <c r="B16" s="16" t="n">
        <v>0.5</v>
      </c>
      <c r="C16" s="16" t="n">
        <v>0.5</v>
      </c>
      <c r="D16" s="11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7" t="n">
        <v>0.5722736849719164</v>
      </c>
      <c r="C18" s="18" t="n">
        <v>0.5722736849719164</v>
      </c>
      <c r="D18" s="11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7" t="n">
        <v>0.6457943274007457</v>
      </c>
      <c r="C19" s="18" t="n">
        <v>0.6457943274007457</v>
      </c>
      <c r="D19" s="11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4" t="n">
        <v>-0.07352064242882927</v>
      </c>
      <c r="C20" s="18" t="n">
        <v>-0.07352064242882927</v>
      </c>
      <c r="D20" s="11" t="inlineStr">
        <is>
          <t>—</t>
        </is>
      </c>
    </row>
    <row r="22">
      <c r="A22" s="19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0" t="inlineStr">
        <is>
          <t xml:space="preserve">  ESTRATEGIA ACTIVA  (Motor Calculadora V4.3)</t>
        </is>
      </c>
    </row>
    <row r="25" ht="15" customHeight="1">
      <c r="A25" s="21" t="inlineStr">
        <is>
          <t>Floor prob mínima</t>
        </is>
      </c>
      <c r="C25" s="22" t="inlineStr">
        <is>
          <t>33%  — ningún outcome por debajo de este piso</t>
        </is>
      </c>
    </row>
    <row r="26" ht="15" customHeight="1">
      <c r="A26" s="23" t="inlineStr">
        <is>
          <t>EV mínimo escalado</t>
        </is>
      </c>
      <c r="C26" s="24" t="inlineStr">
        <is>
          <t>prob≥50%→3%  |  prob 40-50%→8%  |  prob 33-40%→12%</t>
        </is>
      </c>
    </row>
    <row r="27" ht="15" customHeight="1">
      <c r="A27" s="21" t="inlineStr">
        <is>
          <t>Bloqueo empates</t>
        </is>
      </c>
      <c r="C27" s="25" t="inlineStr">
        <is>
          <t>ACTIVO — sobreestimación sistémica +7.9% vs real</t>
        </is>
      </c>
    </row>
    <row r="28" ht="15" customHeight="1">
      <c r="A28" s="23" t="inlineStr">
        <is>
          <t>Camino 2B — Desacuerdo</t>
        </is>
      </c>
      <c r="C28" s="24" t="inlineStr">
        <is>
          <t>modelo≠mercado + prob≥40% + div 15-30% + EV escalado</t>
        </is>
      </c>
    </row>
    <row r="29" ht="15" customHeight="1">
      <c r="A29" s="21" t="inlineStr">
        <is>
          <t>Camino 3 — Alta Convicción</t>
        </is>
      </c>
      <c r="C29" s="22" t="inlineStr">
        <is>
          <t>prob≥33% + EV≥100% + cuota≤8.0</t>
        </is>
      </c>
    </row>
    <row r="30" ht="15" customHeight="1">
      <c r="A30" s="23" t="inlineStr">
        <is>
          <t>xG Margen O/U</t>
        </is>
      </c>
      <c r="C30" s="24" t="inlineStr">
        <is>
          <t>apostar O/U solo si |xG_total − 2.5| ≥ 0.4 goles</t>
        </is>
      </c>
    </row>
    <row r="31" ht="15" customHeight="1">
      <c r="A31" s="21" t="inlineStr">
        <is>
          <t>Margen predictivo 1X2</t>
        </is>
      </c>
      <c r="C31" s="22" t="inlineStr">
        <is>
          <t>diferencia entre 1º y 2º prob del modelo ≥ 3%</t>
        </is>
      </c>
    </row>
    <row r="32" ht="15" customHeight="1">
      <c r="A32" s="23" t="inlineStr">
        <is>
          <t>Divergencia normal</t>
        </is>
      </c>
      <c r="C32" s="24" t="inlineStr">
        <is>
          <t>prob_modelo − prob_implícita_mercado ≤ 15%</t>
        </is>
      </c>
    </row>
    <row r="33" ht="15" customHeight="1">
      <c r="A33" s="21" t="inlineStr">
        <is>
          <t>Techo cuota normal</t>
        </is>
      </c>
      <c r="C33" s="22" t="inlineStr">
        <is>
          <t>≤ 5.0  (relajado a 8.0 en Caminos 2B y 3)</t>
        </is>
      </c>
    </row>
    <row r="34" ht="15" customHeight="1">
      <c r="A34" s="23" t="inlineStr">
        <is>
          <t>Kelly fraccionado</t>
        </is>
      </c>
      <c r="C34" s="24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6" t="inlineStr">
        <is>
          <t>Fecha</t>
        </is>
      </c>
      <c r="B1" s="26" t="inlineStr">
        <is>
          <t>ID Partido</t>
        </is>
      </c>
      <c r="C1" s="26" t="inlineStr">
        <is>
          <t>Partido</t>
        </is>
      </c>
      <c r="D1" s="26" t="inlineStr">
        <is>
          <t>Local</t>
        </is>
      </c>
      <c r="E1" s="26" t="inlineStr">
        <is>
          <t>Visita</t>
        </is>
      </c>
      <c r="F1" s="26" t="inlineStr">
        <is>
          <t>Cuota 1</t>
        </is>
      </c>
      <c r="G1" s="26" t="inlineStr">
        <is>
          <t>Cuota X</t>
        </is>
      </c>
      <c r="H1" s="26" t="inlineStr">
        <is>
          <t>Cuota 2</t>
        </is>
      </c>
      <c r="I1" s="26" t="inlineStr">
        <is>
          <t>Cuota +2.5</t>
        </is>
      </c>
      <c r="J1" s="26" t="inlineStr">
        <is>
          <t>Cuota -2.5</t>
        </is>
      </c>
      <c r="K1" s="26" t="inlineStr">
        <is>
          <t>Liga</t>
        </is>
      </c>
      <c r="L1" s="26" t="inlineStr">
        <is>
          <t>Prob 1</t>
        </is>
      </c>
      <c r="M1" s="26" t="inlineStr">
        <is>
          <t>Prob X</t>
        </is>
      </c>
      <c r="N1" s="26" t="inlineStr">
        <is>
          <t>Prob 2</t>
        </is>
      </c>
      <c r="O1" s="26" t="inlineStr">
        <is>
          <t>Prob +2.5</t>
        </is>
      </c>
      <c r="P1" s="26" t="inlineStr">
        <is>
          <t>Prob -2.5</t>
        </is>
      </c>
      <c r="Q1" s="26" t="inlineStr">
        <is>
          <t>Goles L</t>
        </is>
      </c>
      <c r="R1" s="26" t="inlineStr">
        <is>
          <t>Goles V</t>
        </is>
      </c>
      <c r="S1" s="26" t="inlineStr">
        <is>
          <t>Apuesta 1X2</t>
        </is>
      </c>
      <c r="T1" s="26" t="inlineStr">
        <is>
          <t>Apuesta O/U 2.5</t>
        </is>
      </c>
      <c r="U1" s="26" t="inlineStr">
        <is>
          <t>Stake 1X2</t>
        </is>
      </c>
      <c r="V1" s="26" t="inlineStr">
        <is>
          <t>Stake O/U 2.5</t>
        </is>
      </c>
      <c r="W1" s="26" t="inlineStr">
        <is>
          <t>Acierto</t>
        </is>
      </c>
      <c r="X1" s="26" t="inlineStr">
        <is>
          <t>P/L Neto</t>
        </is>
      </c>
      <c r="Y1" s="26" t="inlineStr">
        <is>
          <t>Equity Curve</t>
        </is>
      </c>
      <c r="Z1" s="26" t="inlineStr">
        <is>
          <t>BS Sistema</t>
        </is>
      </c>
      <c r="AA1" s="26" t="inlineStr">
        <is>
          <t>BS Casa</t>
        </is>
      </c>
      <c r="AB1" s="26" t="inlineStr">
        <is>
          <t>Incertidumbre</t>
        </is>
      </c>
      <c r="AC1" s="26" t="inlineStr">
        <is>
          <t>Auditoria</t>
        </is>
      </c>
    </row>
    <row r="2">
      <c r="A2" s="27" t="n">
        <v>46097</v>
      </c>
      <c r="B2" s="28" t="inlineStr">
        <is>
          <t>2026-03-16aldosivihuracan</t>
        </is>
      </c>
      <c r="C2" s="28" t="inlineStr">
        <is>
          <t>Aldosivi vs Huracan</t>
        </is>
      </c>
      <c r="D2" s="28" t="inlineStr">
        <is>
          <t>Aldosivi</t>
        </is>
      </c>
      <c r="E2" s="28" t="inlineStr">
        <is>
          <t>Huracan</t>
        </is>
      </c>
      <c r="F2" s="29" t="n">
        <v>4.25</v>
      </c>
      <c r="G2" s="29" t="n">
        <v>1.81</v>
      </c>
      <c r="H2" s="29" t="n">
        <v>3.45</v>
      </c>
      <c r="I2" s="29" t="n"/>
      <c r="J2" s="29" t="n"/>
      <c r="K2" s="30" t="inlineStr">
        <is>
          <t>Argentina</t>
        </is>
      </c>
      <c r="L2" s="31" t="n">
        <v>0.3882370092415332</v>
      </c>
      <c r="M2" s="31" t="n">
        <v>0.2902605895698538</v>
      </c>
      <c r="N2" s="31" t="n">
        <v>0.321502401188613</v>
      </c>
      <c r="O2" s="31" t="n">
        <v>0.4283298117362779</v>
      </c>
      <c r="P2" s="31" t="n">
        <v>0.5716701882637221</v>
      </c>
      <c r="Q2" s="30" t="n">
        <v>0</v>
      </c>
      <c r="R2" s="30" t="n">
        <v>0</v>
      </c>
      <c r="S2" s="28" t="inlineStr">
        <is>
          <t>[PASAR] Info Oculta</t>
        </is>
      </c>
      <c r="T2" s="28" t="inlineStr">
        <is>
          <t>[PASAR] Sin Cuotas</t>
        </is>
      </c>
      <c r="U2" s="32" t="n">
        <v>0</v>
      </c>
      <c r="V2" s="32" t="n">
        <v>0</v>
      </c>
      <c r="W2" s="28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2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2">
        <f>100000.0+X2</f>
        <v/>
      </c>
      <c r="Z2" s="33">
        <f>IF(OR(Q2="",R2=""),"",(L2-IF(Q2&gt;R2,1,0))^2+(M2-IF(Q2=R2,1,0))^2+(N2-IF(Q2&lt;R2,1,0))^2)</f>
        <v/>
      </c>
      <c r="AA2" s="33">
        <f>IF(OR(Q2="",R2="",F2="",F2=0,G2="",G2=0,H2="",H2=0),"",((1/F2/(1/F2+1/G2+1/H2))-IF(Q2&gt;R2,1,0))^2+((1/G2/(1/F2+1/G2+1/H2))-IF(Q2=R2,1,0))^2+((1/H2/(1/F2+1/G2+1/H2))-IF(Q2&lt;R2,1,0))^2)</f>
        <v/>
      </c>
      <c r="AB2" s="34" t="n">
        <v>0.6524</v>
      </c>
      <c r="AC2" s="30" t="inlineStr">
        <is>
          <t>NO</t>
        </is>
      </c>
    </row>
    <row r="3">
      <c r="A3" s="27" t="n">
        <v>46097</v>
      </c>
      <c r="B3" s="28" t="inlineStr">
        <is>
          <t>2026-03-16barracascentralatleticotucuman</t>
        </is>
      </c>
      <c r="C3" s="28" t="inlineStr">
        <is>
          <t>Barracas Central vs Atletico Tucuman</t>
        </is>
      </c>
      <c r="D3" s="28" t="inlineStr">
        <is>
          <t>Barracas Central</t>
        </is>
      </c>
      <c r="E3" s="28" t="inlineStr">
        <is>
          <t>Atletico Tucuman</t>
        </is>
      </c>
      <c r="F3" s="29" t="n">
        <v>1.36</v>
      </c>
      <c r="G3" s="29" t="n">
        <v>3.75</v>
      </c>
      <c r="H3" s="29" t="n">
        <v>13</v>
      </c>
      <c r="I3" s="29" t="n"/>
      <c r="J3" s="29" t="n"/>
      <c r="K3" s="30" t="inlineStr">
        <is>
          <t>Argentina</t>
        </is>
      </c>
      <c r="L3" s="31" t="n">
        <v>0.4327630176588643</v>
      </c>
      <c r="M3" s="31" t="n">
        <v>0.2503501502239416</v>
      </c>
      <c r="N3" s="31" t="n">
        <v>0.3168868321171942</v>
      </c>
      <c r="O3" s="31" t="n">
        <v>0.5870316109295243</v>
      </c>
      <c r="P3" s="31" t="n">
        <v>0.4129683890704757</v>
      </c>
      <c r="Q3" s="30" t="n">
        <v>2</v>
      </c>
      <c r="R3" s="30" t="n">
        <v>1</v>
      </c>
      <c r="S3" s="28" t="inlineStr">
        <is>
          <t>[PASAR] Riesgo/Beneficio</t>
        </is>
      </c>
      <c r="T3" s="28" t="inlineStr">
        <is>
          <t>[PASAR] Sin Cuotas</t>
        </is>
      </c>
      <c r="U3" s="32" t="n">
        <v>0</v>
      </c>
      <c r="V3" s="32" t="n">
        <v>0</v>
      </c>
      <c r="W3" s="28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2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2">
        <f>Y2+X3</f>
        <v/>
      </c>
      <c r="Z3" s="33">
        <f>IF(OR(Q3="",R3=""),"",(L3-IF(Q3&gt;R3,1,0))^2+(M3-IF(Q3=R3,1,0))^2+(N3-IF(Q3&lt;R3,1,0))^2)</f>
        <v/>
      </c>
      <c r="AA3" s="33">
        <f>IF(OR(Q3="",R3="",F3="",F3=0,G3="",G3=0,H3="",H3=0),"",((1/F3/(1/F3+1/G3+1/H3))-IF(Q3&gt;R3,1,0))^2+((1/G3/(1/F3+1/G3+1/H3))-IF(Q3=R3,1,0))^2+((1/H3/(1/F3+1/G3+1/H3))-IF(Q3&lt;R3,1,0))^2)</f>
        <v/>
      </c>
      <c r="AB3" s="34" t="n">
        <v>0.5228</v>
      </c>
      <c r="AC3" s="30" t="inlineStr">
        <is>
          <t>NO</t>
        </is>
      </c>
    </row>
    <row r="4">
      <c r="A4" s="27" t="n">
        <v>46097</v>
      </c>
      <c r="B4" s="28" t="inlineStr">
        <is>
          <t>2026-03-16brentfordwolverhamptonwanderers</t>
        </is>
      </c>
      <c r="C4" s="28" t="inlineStr">
        <is>
          <t>Brentford vs Wolverhampton Wanderers</t>
        </is>
      </c>
      <c r="D4" s="28" t="inlineStr">
        <is>
          <t>Brentford</t>
        </is>
      </c>
      <c r="E4" s="28" t="inlineStr">
        <is>
          <t>Wolverhampton Wanderers</t>
        </is>
      </c>
      <c r="F4" s="29" t="n">
        <v>1.55</v>
      </c>
      <c r="G4" s="29" t="n">
        <v>4.55</v>
      </c>
      <c r="H4" s="29" t="n">
        <v>5.9</v>
      </c>
      <c r="I4" s="29" t="n">
        <v>1.65</v>
      </c>
      <c r="J4" s="29" t="n">
        <v>2.25</v>
      </c>
      <c r="K4" s="30" t="inlineStr">
        <is>
          <t>Inglaterra</t>
        </is>
      </c>
      <c r="L4" s="31" t="n">
        <v>0.434312261576528</v>
      </c>
      <c r="M4" s="31" t="n">
        <v>0.2744559912783204</v>
      </c>
      <c r="N4" s="31" t="n">
        <v>0.2912317471451517</v>
      </c>
      <c r="O4" s="31" t="n">
        <v>0.4665313709826981</v>
      </c>
      <c r="P4" s="31" t="n">
        <v>0.5334686290173019</v>
      </c>
      <c r="Q4" s="30" t="n">
        <v>2</v>
      </c>
      <c r="R4" s="30" t="n">
        <v>2</v>
      </c>
      <c r="S4" s="28" t="inlineStr">
        <is>
          <t>[PASAR] Riesgo/Beneficio</t>
        </is>
      </c>
      <c r="T4" s="28" t="inlineStr">
        <is>
          <t>[PASAR] xG Margen Insuf (2.54, delta=0.04&lt;0.25)</t>
        </is>
      </c>
      <c r="U4" s="32" t="n">
        <v>0</v>
      </c>
      <c r="V4" s="32" t="n">
        <v>0</v>
      </c>
      <c r="W4" s="28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2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2">
        <f>Y3+X4</f>
        <v/>
      </c>
      <c r="Z4" s="33">
        <f>IF(OR(Q4="",R4=""),"",(L4-IF(Q4&gt;R4,1,0))^2+(M4-IF(Q4=R4,1,0))^2+(N4-IF(Q4&lt;R4,1,0))^2)</f>
        <v/>
      </c>
      <c r="AA4" s="33">
        <f>IF(OR(Q4="",R4="",F4="",F4=0,G4="",G4=0,H4="",H4=0),"",((1/F4/(1/F4+1/G4+1/H4))-IF(Q4&gt;R4,1,0))^2+((1/G4/(1/F4+1/G4+1/H4))-IF(Q4=R4,1,0))^2+((1/H4/(1/F4+1/G4+1/H4))-IF(Q4&lt;R4,1,0))^2)</f>
        <v/>
      </c>
      <c r="AB4" s="34" t="n">
        <v>0.696</v>
      </c>
      <c r="AC4" s="30" t="inlineStr">
        <is>
          <t>NO</t>
        </is>
      </c>
    </row>
    <row r="5">
      <c r="A5" s="27" t="n">
        <v>46097</v>
      </c>
      <c r="B5" s="28" t="inlineStr">
        <is>
          <t>2026-03-16chapecoensegremio</t>
        </is>
      </c>
      <c r="C5" s="28" t="inlineStr">
        <is>
          <t>Chapecoense vs Gremio</t>
        </is>
      </c>
      <c r="D5" s="28" t="inlineStr">
        <is>
          <t>Chapecoense</t>
        </is>
      </c>
      <c r="E5" s="28" t="inlineStr">
        <is>
          <t>Gremio</t>
        </is>
      </c>
      <c r="F5" s="29" t="n">
        <v>2.75</v>
      </c>
      <c r="G5" s="29" t="n">
        <v>3.3</v>
      </c>
      <c r="H5" s="29" t="n">
        <v>2.3</v>
      </c>
      <c r="I5" s="29" t="n">
        <v>1.92</v>
      </c>
      <c r="J5" s="29" t="n">
        <v>1.93</v>
      </c>
      <c r="K5" s="30" t="inlineStr">
        <is>
          <t>Brasil</t>
        </is>
      </c>
      <c r="L5" s="31" t="n">
        <v>0.3937602485601033</v>
      </c>
      <c r="M5" s="31" t="n">
        <v>0.2279331420748819</v>
      </c>
      <c r="N5" s="31" t="n">
        <v>0.3783066093650147</v>
      </c>
      <c r="O5" s="31" t="n">
        <v>0.6909968073204885</v>
      </c>
      <c r="P5" s="31" t="n">
        <v>0.3090031926795115</v>
      </c>
      <c r="Q5" s="30" t="n">
        <v>1</v>
      </c>
      <c r="R5" s="30" t="n">
        <v>1</v>
      </c>
      <c r="S5" s="28" t="inlineStr">
        <is>
          <t>[PASAR] Margen Predictivo Insuficiente (&lt;5%)</t>
        </is>
      </c>
      <c r="T5" s="28" t="inlineStr">
        <is>
          <t>[PASAR] Sin Valor</t>
        </is>
      </c>
      <c r="U5" s="32" t="n">
        <v>0</v>
      </c>
      <c r="V5" s="32" t="n">
        <v>0</v>
      </c>
      <c r="W5" s="28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2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2">
        <f>Y4+X5</f>
        <v/>
      </c>
      <c r="Z5" s="33">
        <f>IF(OR(Q5="",R5=""),"",(L5-IF(Q5&gt;R5,1,0))^2+(M5-IF(Q5=R5,1,0))^2+(N5-IF(Q5&lt;R5,1,0))^2)</f>
        <v/>
      </c>
      <c r="AA5" s="33">
        <f>IF(OR(Q5="",R5="",F5="",F5=0,G5="",G5=0,H5="",H5=0),"",((1/F5/(1/F5+1/G5+1/H5))-IF(Q5&gt;R5,1,0))^2+((1/G5/(1/F5+1/G5+1/H5))-IF(Q5=R5,1,0))^2+((1/H5/(1/F5+1/G5+1/H5))-IF(Q5&lt;R5,1,0))^2)</f>
        <v/>
      </c>
      <c r="AB5" s="34" t="n">
        <v>0.7547</v>
      </c>
      <c r="AC5" s="30" t="inlineStr">
        <is>
          <t>NO</t>
        </is>
      </c>
    </row>
    <row r="6">
      <c r="A6" s="27" t="n">
        <v>46097</v>
      </c>
      <c r="B6" s="28" t="inlineStr">
        <is>
          <t>2026-03-16institutodecordobaindependiente</t>
        </is>
      </c>
      <c r="C6" s="28" t="inlineStr">
        <is>
          <t>Instituto (córdoba) vs Independiente</t>
        </is>
      </c>
      <c r="D6" s="28" t="inlineStr">
        <is>
          <t>Instituto (córdoba)</t>
        </is>
      </c>
      <c r="E6" s="28" t="inlineStr">
        <is>
          <t>Independiente</t>
        </is>
      </c>
      <c r="F6" s="29" t="n">
        <v>2.63</v>
      </c>
      <c r="G6" s="29" t="n">
        <v>3</v>
      </c>
      <c r="H6" s="29" t="n">
        <v>2.85</v>
      </c>
      <c r="I6" s="29" t="n">
        <v>2.68</v>
      </c>
      <c r="J6" s="29" t="n">
        <v>1.46</v>
      </c>
      <c r="K6" s="30" t="inlineStr">
        <is>
          <t>Argentina</t>
        </is>
      </c>
      <c r="L6" s="31" t="n">
        <v>0.3773815414806954</v>
      </c>
      <c r="M6" s="31" t="n">
        <v>0.2978952117695611</v>
      </c>
      <c r="N6" s="31" t="n">
        <v>0.3247232467497435</v>
      </c>
      <c r="O6" s="31" t="n">
        <v>0.4019708307918866</v>
      </c>
      <c r="P6" s="31" t="n">
        <v>0.5980291692081136</v>
      </c>
      <c r="Q6" s="30" t="n">
        <v>2</v>
      </c>
      <c r="R6" s="30" t="n">
        <v>1</v>
      </c>
      <c r="S6" s="28" t="inlineStr">
        <is>
          <t>[PASAR] Riesgo/Beneficio</t>
        </is>
      </c>
      <c r="T6" s="28" t="inlineStr">
        <is>
          <t>[PASAR] xG Margen Insuf (2.29, delta=0.21&lt;0.25)</t>
        </is>
      </c>
      <c r="U6" s="32" t="n">
        <v>0</v>
      </c>
      <c r="V6" s="32" t="n">
        <v>0</v>
      </c>
      <c r="W6" s="28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2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2">
        <f>Y5+X6</f>
        <v/>
      </c>
      <c r="Z6" s="33">
        <f>IF(OR(Q6="",R6=""),"",(L6-IF(Q6&gt;R6,1,0))^2+(M6-IF(Q6=R6,1,0))^2+(N6-IF(Q6&lt;R6,1,0))^2)</f>
        <v/>
      </c>
      <c r="AA6" s="33">
        <f>IF(OR(Q6="",R6="",F6="",F6=0,G6="",G6=0,H6="",H6=0),"",((1/F6/(1/F6+1/G6+1/H6))-IF(Q6&gt;R6,1,0))^2+((1/G6/(1/F6+1/G6+1/H6))-IF(Q6=R6,1,0))^2+((1/H6/(1/F6+1/G6+1/H6))-IF(Q6&lt;R6,1,0))^2)</f>
        <v/>
      </c>
      <c r="AB6" s="34" t="n">
        <v>0.546</v>
      </c>
      <c r="AC6" s="30" t="inlineStr">
        <is>
          <t>NO</t>
        </is>
      </c>
    </row>
    <row r="7">
      <c r="A7" s="27" t="n">
        <v>46097</v>
      </c>
      <c r="B7" s="28" t="inlineStr">
        <is>
          <t>2026-03-16racingclubestudiantesderiocuarto</t>
        </is>
      </c>
      <c r="C7" s="28" t="inlineStr">
        <is>
          <t>Racing Club vs Estudiantes de Rio Cuarto</t>
        </is>
      </c>
      <c r="D7" s="28" t="inlineStr">
        <is>
          <t>Racing Club</t>
        </is>
      </c>
      <c r="E7" s="28" t="inlineStr">
        <is>
          <t>Estudiantes de Rio Cuarto</t>
        </is>
      </c>
      <c r="F7" s="29" t="n">
        <v>1.42</v>
      </c>
      <c r="G7" s="29" t="n">
        <v>4.2</v>
      </c>
      <c r="H7" s="29" t="n">
        <v>8.5</v>
      </c>
      <c r="I7" s="29" t="n">
        <v>2.2</v>
      </c>
      <c r="J7" s="29" t="n">
        <v>1.63</v>
      </c>
      <c r="K7" s="30" t="inlineStr">
        <is>
          <t>Argentina</t>
        </is>
      </c>
      <c r="L7" s="31" t="n">
        <v>0.4328360476795187</v>
      </c>
      <c r="M7" s="31" t="n">
        <v>0.2779236871677406</v>
      </c>
      <c r="N7" s="31" t="n">
        <v>0.2892402651527407</v>
      </c>
      <c r="O7" s="31" t="n">
        <v>0.4636024826220113</v>
      </c>
      <c r="P7" s="31" t="n">
        <v>0.5363975173779887</v>
      </c>
      <c r="Q7" s="30" t="n">
        <v>2</v>
      </c>
      <c r="R7" s="30" t="n">
        <v>0</v>
      </c>
      <c r="S7" s="28" t="inlineStr">
        <is>
          <t>[PASAR] Riesgo/Beneficio</t>
        </is>
      </c>
      <c r="T7" s="28" t="inlineStr">
        <is>
          <t>[PASAR] xG Margen Insuf (2.53, delta=0.03&lt;0.25)</t>
        </is>
      </c>
      <c r="U7" s="32" t="n">
        <v>0</v>
      </c>
      <c r="V7" s="32" t="n">
        <v>0</v>
      </c>
      <c r="W7" s="28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2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2">
        <f>Y6+X7</f>
        <v/>
      </c>
      <c r="Z7" s="33">
        <f>IF(OR(Q7="",R7=""),"",(L7-IF(Q7&gt;R7,1,0))^2+(M7-IF(Q7=R7,1,0))^2+(N7-IF(Q7&lt;R7,1,0))^2)</f>
        <v/>
      </c>
      <c r="AA7" s="33">
        <f>IF(OR(Q7="",R7="",F7="",F7=0,G7="",G7=0,H7="",H7=0),"",((1/F7/(1/F7+1/G7+1/H7))-IF(Q7&gt;R7,1,0))^2+((1/G7/(1/F7+1/G7+1/H7))-IF(Q7=R7,1,0))^2+((1/H7/(1/F7+1/G7+1/H7))-IF(Q7&lt;R7,1,0))^2)</f>
        <v/>
      </c>
      <c r="AB7" s="34" t="n">
        <v>0.6019</v>
      </c>
      <c r="AC7" s="30" t="inlineStr">
        <is>
          <t>NO</t>
        </is>
      </c>
    </row>
    <row r="8">
      <c r="A8" s="27" t="n">
        <v>46097</v>
      </c>
      <c r="B8" s="28" t="inlineStr">
        <is>
          <t>2026-03-16sanlorenzodefensayjusticia</t>
        </is>
      </c>
      <c r="C8" s="28" t="inlineStr">
        <is>
          <t>San Lorenzo vs Defensa y Justicia</t>
        </is>
      </c>
      <c r="D8" s="28" t="inlineStr">
        <is>
          <t>San Lorenzo</t>
        </is>
      </c>
      <c r="E8" s="28" t="inlineStr">
        <is>
          <t>Defensa y Justicia</t>
        </is>
      </c>
      <c r="F8" s="29" t="n">
        <v>2.2</v>
      </c>
      <c r="G8" s="29" t="n">
        <v>2.95</v>
      </c>
      <c r="H8" s="29" t="n">
        <v>3.7</v>
      </c>
      <c r="I8" s="29" t="n">
        <v>2.95</v>
      </c>
      <c r="J8" s="29" t="n">
        <v>1.39</v>
      </c>
      <c r="K8" s="30" t="inlineStr">
        <is>
          <t>Argentina</t>
        </is>
      </c>
      <c r="L8" s="31" t="n">
        <v>0.389266638939047</v>
      </c>
      <c r="M8" s="31" t="n">
        <v>0.2699437604172079</v>
      </c>
      <c r="N8" s="31" t="n">
        <v>0.3407896006437452</v>
      </c>
      <c r="O8" s="31" t="n">
        <v>0.5101630222875012</v>
      </c>
      <c r="P8" s="31" t="n">
        <v>0.4898369777124987</v>
      </c>
      <c r="Q8" s="30" t="n">
        <v>2</v>
      </c>
      <c r="R8" s="30" t="n">
        <v>5</v>
      </c>
      <c r="S8" s="28">
        <f>IF(OR(Q8="",R8=""),"[APOSTAR] VISITA",IF(Q8&lt;R8,"[GANADA] VISITA","[PERDIDA] VISITA"))</f>
        <v/>
      </c>
      <c r="T8" s="28" t="inlineStr">
        <is>
          <t>[PASAR] xG Margen Insuf (2.72, delta=0.22&lt;0.25)</t>
        </is>
      </c>
      <c r="U8" s="32" t="n">
        <v>2500</v>
      </c>
      <c r="V8" s="32" t="n">
        <v>0</v>
      </c>
      <c r="W8" s="28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2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2">
        <f>Y7+X8</f>
        <v/>
      </c>
      <c r="Z8" s="33">
        <f>IF(OR(Q8="",R8=""),"",(L8-IF(Q8&gt;R8,1,0))^2+(M8-IF(Q8=R8,1,0))^2+(N8-IF(Q8&lt;R8,1,0))^2)</f>
        <v/>
      </c>
      <c r="AA8" s="33">
        <f>IF(OR(Q8="",R8="",F8="",F8=0,G8="",G8=0,H8="",H8=0),"",((1/F8/(1/F8+1/G8+1/H8))-IF(Q8&gt;R8,1,0))^2+((1/G8/(1/F8+1/G8+1/H8))-IF(Q8=R8,1,0))^2+((1/H8/(1/F8+1/G8+1/H8))-IF(Q8&lt;R8,1,0))^2)</f>
        <v/>
      </c>
      <c r="AB8" s="34" t="n">
        <v>0.7287</v>
      </c>
      <c r="AC8" s="30" t="inlineStr">
        <is>
          <t>NO</t>
        </is>
      </c>
    </row>
    <row r="9">
      <c r="A9" s="27" t="n">
        <v>46098</v>
      </c>
      <c r="B9" s="28" t="inlineStr">
        <is>
          <t>2026-03-17centralcordobadeportivoriestra</t>
        </is>
      </c>
      <c r="C9" s="28" t="inlineStr">
        <is>
          <t>Central Córdoba (santiago del Estero) vs Deportivo Riestra</t>
        </is>
      </c>
      <c r="D9" s="28" t="inlineStr">
        <is>
          <t>Central Córdoba (santiago del Estero)</t>
        </is>
      </c>
      <c r="E9" s="28" t="inlineStr">
        <is>
          <t>Deportivo Riestra</t>
        </is>
      </c>
      <c r="F9" s="29" t="n">
        <v>2.9</v>
      </c>
      <c r="G9" s="29" t="n">
        <v>2.6</v>
      </c>
      <c r="H9" s="29" t="n">
        <v>3.05</v>
      </c>
      <c r="I9" s="29" t="n">
        <v>3.7</v>
      </c>
      <c r="J9" s="29" t="n">
        <v>1.27</v>
      </c>
      <c r="K9" s="30" t="inlineStr">
        <is>
          <t>Argentina</t>
        </is>
      </c>
      <c r="L9" s="31" t="n">
        <v>0.4183473784064732</v>
      </c>
      <c r="M9" s="31" t="n">
        <v>0.2858291034267562</v>
      </c>
      <c r="N9" s="31" t="n">
        <v>0.2958235181667705</v>
      </c>
      <c r="O9" s="31" t="n">
        <v>0.4371983044114202</v>
      </c>
      <c r="P9" s="31" t="n">
        <v>0.5628016955885798</v>
      </c>
      <c r="Q9" s="30" t="n">
        <v>1</v>
      </c>
      <c r="R9" s="30" t="n">
        <v>0</v>
      </c>
      <c r="S9" s="28">
        <f>IF(OR(Q9="",R9=""),"[APOSTAR] LOCAL",IF(Q9&gt;R9,"[GANADA] LOCAL","[PERDIDA] LOCAL"))</f>
        <v/>
      </c>
      <c r="T9" s="28" t="inlineStr">
        <is>
          <t>[PASAR] xG Margen Insuf (2.43, delta=0.07&lt;0.25)</t>
        </is>
      </c>
      <c r="U9" s="32" t="n">
        <v>2500</v>
      </c>
      <c r="V9" s="32" t="n">
        <v>0</v>
      </c>
      <c r="W9" s="28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2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2">
        <f>Y8+X9</f>
        <v/>
      </c>
      <c r="Z9" s="33">
        <f>IF(OR(Q9="",R9=""),"",(L9-IF(Q9&gt;R9,1,0))^2+(M9-IF(Q9=R9,1,0))^2+(N9-IF(Q9&lt;R9,1,0))^2)</f>
        <v/>
      </c>
      <c r="AA9" s="33">
        <f>IF(OR(Q9="",R9="",F9="",F9=0,G9="",G9=0,H9="",H9=0),"",((1/F9/(1/F9+1/G9+1/H9))-IF(Q9&gt;R9,1,0))^2+((1/G9/(1/F9+1/G9+1/H9))-IF(Q9=R9,1,0))^2+((1/H9/(1/F9+1/G9+1/H9))-IF(Q9&lt;R9,1,0))^2)</f>
        <v/>
      </c>
      <c r="AB9" s="34" t="n">
        <v>0.5397</v>
      </c>
      <c r="AC9" s="30" t="inlineStr">
        <is>
          <t>NO</t>
        </is>
      </c>
    </row>
    <row r="10">
      <c r="A10" s="27" t="n">
        <v>46098</v>
      </c>
      <c r="B10" s="28" t="inlineStr">
        <is>
          <t>2026-03-17gimnasiamendozaestudiantes</t>
        </is>
      </c>
      <c r="C10" s="28" t="inlineStr">
        <is>
          <t>Gimnasia Mendoza vs Estudiantes de la Plata</t>
        </is>
      </c>
      <c r="D10" s="28" t="inlineStr">
        <is>
          <t>Gimnasia Mendoza</t>
        </is>
      </c>
      <c r="E10" s="28" t="inlineStr">
        <is>
          <t>Estudiantes de la Plata</t>
        </is>
      </c>
      <c r="F10" s="29" t="n">
        <v>3.6</v>
      </c>
      <c r="G10" s="29" t="n">
        <v>2.85</v>
      </c>
      <c r="H10" s="29" t="n">
        <v>2.32</v>
      </c>
      <c r="I10" s="29" t="n">
        <v>3.15</v>
      </c>
      <c r="J10" s="29" t="n">
        <v>1.35</v>
      </c>
      <c r="K10" s="30" t="inlineStr">
        <is>
          <t>Argentina</t>
        </is>
      </c>
      <c r="L10" s="31" t="n">
        <v>0.3807875895261522</v>
      </c>
      <c r="M10" s="31" t="n">
        <v>0.2598425362627583</v>
      </c>
      <c r="N10" s="31" t="n">
        <v>0.3593698742110895</v>
      </c>
      <c r="O10" s="31" t="n">
        <v>0.5549589419807658</v>
      </c>
      <c r="P10" s="31" t="n">
        <v>0.4450410580192341</v>
      </c>
      <c r="Q10" s="30" t="n">
        <v>1</v>
      </c>
      <c r="R10" s="30" t="n">
        <v>2</v>
      </c>
      <c r="S10" s="28" t="inlineStr">
        <is>
          <t>[PASAR] Margen Predictivo Insuficiente (&lt;5%)</t>
        </is>
      </c>
      <c r="T10" s="28" t="inlineStr">
        <is>
          <t>[PASAR] Sin Valor</t>
        </is>
      </c>
      <c r="U10" s="32" t="n">
        <v>0</v>
      </c>
      <c r="V10" s="32" t="n">
        <v>0</v>
      </c>
      <c r="W10" s="28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2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2">
        <f>Y9+X10</f>
        <v/>
      </c>
      <c r="Z10" s="33">
        <f>IF(OR(Q10="",R10=""),"",(L10-IF(Q10&gt;R10,1,0))^2+(M10-IF(Q10=R10,1,0))^2+(N10-IF(Q10&lt;R10,1,0))^2)</f>
        <v/>
      </c>
      <c r="AA10" s="33">
        <f>IF(OR(Q10="",R10="",F10="",F10=0,G10="",G10=0,H10="",H10=0),"",((1/F10/(1/F10+1/G10+1/H10))-IF(Q10&gt;R10,1,0))^2+((1/G10/(1/F10+1/G10+1/H10))-IF(Q10=R10,1,0))^2+((1/H10/(1/F10+1/G10+1/H10))-IF(Q10&lt;R10,1,0))^2)</f>
        <v/>
      </c>
      <c r="AB10" s="34" t="n">
        <v>0.601</v>
      </c>
      <c r="AC10" s="30" t="inlineStr">
        <is>
          <t>NO</t>
        </is>
      </c>
    </row>
    <row r="11">
      <c r="A11" s="27" t="n">
        <v>46098</v>
      </c>
      <c r="B11" s="28" t="inlineStr">
        <is>
          <t>2026-03-17lanusnewells</t>
        </is>
      </c>
      <c r="C11" s="28" t="inlineStr">
        <is>
          <t>Lanus vs Newell's Old Boys</t>
        </is>
      </c>
      <c r="D11" s="28" t="inlineStr">
        <is>
          <t>Lanus</t>
        </is>
      </c>
      <c r="E11" s="28" t="inlineStr">
        <is>
          <t>Newell's Old Boys</t>
        </is>
      </c>
      <c r="F11" s="29" t="n">
        <v>1.75</v>
      </c>
      <c r="G11" s="29" t="n">
        <v>3.45</v>
      </c>
      <c r="H11" s="29" t="n">
        <v>5.1</v>
      </c>
      <c r="I11" s="29" t="n">
        <v>2.3</v>
      </c>
      <c r="J11" s="29" t="n">
        <v>1.6</v>
      </c>
      <c r="K11" s="30" t="inlineStr">
        <is>
          <t>Argentina</t>
        </is>
      </c>
      <c r="L11" s="31" t="n">
        <v>0.5389925247606683</v>
      </c>
      <c r="M11" s="31" t="n">
        <v>0.2437868489080903</v>
      </c>
      <c r="N11" s="31" t="n">
        <v>0.2172206263312415</v>
      </c>
      <c r="O11" s="31" t="n">
        <v>0.5422530919991749</v>
      </c>
      <c r="P11" s="31" t="n">
        <v>0.4577469080008251</v>
      </c>
      <c r="Q11" s="30" t="n">
        <v>5</v>
      </c>
      <c r="R11" s="30" t="n">
        <v>0</v>
      </c>
      <c r="S11" s="28" t="inlineStr">
        <is>
          <t>[PASAR] Riesgo/Beneficio</t>
        </is>
      </c>
      <c r="T11" s="28" t="inlineStr">
        <is>
          <t>[PASAR] Sin Valor</t>
        </is>
      </c>
      <c r="U11" s="32" t="n">
        <v>0</v>
      </c>
      <c r="V11" s="32" t="n">
        <v>0</v>
      </c>
      <c r="W11" s="28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2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2">
        <f>Y10+X11</f>
        <v/>
      </c>
      <c r="Z11" s="33">
        <f>IF(OR(Q11="",R11=""),"",(L11-IF(Q11&gt;R11,1,0))^2+(M11-IF(Q11=R11,1,0))^2+(N11-IF(Q11&lt;R11,1,0))^2)</f>
        <v/>
      </c>
      <c r="AA11" s="33">
        <f>IF(OR(Q11="",R11="",F11="",F11=0,G11="",G11=0,H11="",H11=0),"",((1/F11/(1/F11+1/G11+1/H11))-IF(Q11&gt;R11,1,0))^2+((1/G11/(1/F11+1/G11+1/H11))-IF(Q11=R11,1,0))^2+((1/H11/(1/F11+1/G11+1/H11))-IF(Q11&lt;R11,1,0))^2)</f>
        <v/>
      </c>
      <c r="AB11" s="34" t="n">
        <v>0.8588</v>
      </c>
      <c r="AC11" s="30" t="inlineStr">
        <is>
          <t>NO</t>
        </is>
      </c>
    </row>
    <row r="12">
      <c r="A12" s="27" t="n">
        <v>46099</v>
      </c>
      <c r="B12" s="28" t="inlineStr">
        <is>
          <t>2026-03-18alanyasporkocaelispor</t>
        </is>
      </c>
      <c r="C12" s="28" t="inlineStr">
        <is>
          <t>Alanyaspor vs Kocaelispor</t>
        </is>
      </c>
      <c r="D12" s="28" t="inlineStr">
        <is>
          <t>Alanyaspor</t>
        </is>
      </c>
      <c r="E12" s="28" t="inlineStr">
        <is>
          <t>Kocaelispor</t>
        </is>
      </c>
      <c r="F12" s="29" t="n"/>
      <c r="G12" s="29" t="n"/>
      <c r="H12" s="29" t="n"/>
      <c r="I12" s="29" t="n"/>
      <c r="J12" s="29" t="n"/>
      <c r="K12" s="30" t="inlineStr">
        <is>
          <t>Turquia</t>
        </is>
      </c>
      <c r="L12" s="31" t="n">
        <v>0.4714950682292441</v>
      </c>
      <c r="M12" s="31" t="n">
        <v>0.2827861433763474</v>
      </c>
      <c r="N12" s="31" t="n">
        <v>0.2457187883944085</v>
      </c>
      <c r="O12" s="31" t="n">
        <v>0.4148022099731867</v>
      </c>
      <c r="P12" s="31" t="n">
        <v>0.5851977900268133</v>
      </c>
      <c r="Q12" s="30" t="n">
        <v>5</v>
      </c>
      <c r="R12" s="30" t="n">
        <v>0</v>
      </c>
      <c r="S12" s="28" t="inlineStr">
        <is>
          <t>[PASAR] Sin Cuotas</t>
        </is>
      </c>
      <c r="T12" s="28" t="inlineStr">
        <is>
          <t>[PASAR] Sin Cuotas</t>
        </is>
      </c>
      <c r="U12" s="32" t="n">
        <v>0</v>
      </c>
      <c r="V12" s="32" t="n">
        <v>0</v>
      </c>
      <c r="W12" s="28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2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2">
        <f>Y11+X12</f>
        <v/>
      </c>
      <c r="Z12" s="33">
        <f>IF(OR(Q12="",R12=""),"",(L12-IF(Q12&gt;R12,1,0))^2+(M12-IF(Q12=R12,1,0))^2+(N12-IF(Q12&lt;R12,1,0))^2)</f>
        <v/>
      </c>
      <c r="AA12" s="33">
        <f>IF(OR(Q12="",R12="",F12="",F12=0,G12="",G12=0,H12="",H12=0),"",((1/F12/(1/F12+1/G12+1/H12))-IF(Q12&gt;R12,1,0))^2+((1/G12/(1/F12+1/G12+1/H12))-IF(Q12=R12,1,0))^2+((1/H12/(1/F12+1/G12+1/H12))-IF(Q12&lt;R12,1,0))^2)</f>
        <v/>
      </c>
      <c r="AB12" s="34" t="n">
        <v>0.7444</v>
      </c>
      <c r="AC12" s="30" t="inlineStr">
        <is>
          <t>NO</t>
        </is>
      </c>
    </row>
    <row r="13">
      <c r="A13" s="27" t="n">
        <v>46099</v>
      </c>
      <c r="B13" s="28" t="inlineStr">
        <is>
          <t>2026-03-18atleticomineirosaopaulo</t>
        </is>
      </c>
      <c r="C13" s="28" t="inlineStr">
        <is>
          <t>Atlético-mg vs Sao Paulo</t>
        </is>
      </c>
      <c r="D13" s="28" t="inlineStr">
        <is>
          <t>Atlético-mg</t>
        </is>
      </c>
      <c r="E13" s="28" t="inlineStr">
        <is>
          <t>Sao Paulo</t>
        </is>
      </c>
      <c r="F13" s="29" t="n"/>
      <c r="G13" s="29" t="n">
        <v>3.05</v>
      </c>
      <c r="H13" s="29" t="n"/>
      <c r="I13" s="29" t="n"/>
      <c r="J13" s="29" t="n"/>
      <c r="K13" s="30" t="inlineStr">
        <is>
          <t>Brasil</t>
        </is>
      </c>
      <c r="L13" s="31" t="n">
        <v>0.4728842474200235</v>
      </c>
      <c r="M13" s="31" t="n">
        <v>0.2408487917260128</v>
      </c>
      <c r="N13" s="31" t="n">
        <v>0.2862669608539637</v>
      </c>
      <c r="O13" s="31" t="n">
        <v>0.6015291871790185</v>
      </c>
      <c r="P13" s="31" t="n">
        <v>0.3984708128209815</v>
      </c>
      <c r="Q13" s="30" t="n">
        <v>1</v>
      </c>
      <c r="R13" s="30" t="n">
        <v>0</v>
      </c>
      <c r="S13" s="28" t="inlineStr">
        <is>
          <t>[PASAR] Sin Cuotas</t>
        </is>
      </c>
      <c r="T13" s="28" t="inlineStr">
        <is>
          <t>[PASAR] Sin Cuotas</t>
        </is>
      </c>
      <c r="U13" s="32" t="n">
        <v>0</v>
      </c>
      <c r="V13" s="32" t="n">
        <v>0</v>
      </c>
      <c r="W13" s="28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2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2">
        <f>Y12+X13</f>
        <v/>
      </c>
      <c r="Z13" s="33">
        <f>IF(OR(Q13="",R13=""),"",(L13-IF(Q13&gt;R13,1,0))^2+(M13-IF(Q13=R13,1,0))^2+(N13-IF(Q13&lt;R13,1,0))^2)</f>
        <v/>
      </c>
      <c r="AA13" s="33">
        <f>IF(OR(Q13="",R13="",F13="",F13=0,G13="",G13=0,H13="",H13=0),"",((1/F13/(1/F13+1/G13+1/H13))-IF(Q13&gt;R13,1,0))^2+((1/G13/(1/F13+1/G13+1/H13))-IF(Q13=R13,1,0))^2+((1/H13/(1/F13+1/G13+1/H13))-IF(Q13&lt;R13,1,0))^2)</f>
        <v/>
      </c>
      <c r="AB13" s="34" t="n">
        <v>1.0764</v>
      </c>
      <c r="AC13" s="30" t="inlineStr">
        <is>
          <t>NO</t>
        </is>
      </c>
    </row>
    <row r="14">
      <c r="A14" s="27" t="n">
        <v>46099</v>
      </c>
      <c r="B14" s="28" t="inlineStr">
        <is>
          <t>2026-03-18atleticoparanaensecruzeiro</t>
        </is>
      </c>
      <c r="C14" s="28" t="inlineStr">
        <is>
          <t>Atletico Paranaense vs Cruzeiro</t>
        </is>
      </c>
      <c r="D14" s="28" t="inlineStr">
        <is>
          <t>Atletico Paranaense</t>
        </is>
      </c>
      <c r="E14" s="28" t="inlineStr">
        <is>
          <t>Cruzeiro</t>
        </is>
      </c>
      <c r="F14" s="29" t="n"/>
      <c r="G14" s="29" t="n">
        <v>3.2</v>
      </c>
      <c r="H14" s="29" t="n"/>
      <c r="I14" s="29" t="n"/>
      <c r="J14" s="29" t="n"/>
      <c r="K14" s="30" t="inlineStr">
        <is>
          <t>Brasil</t>
        </is>
      </c>
      <c r="L14" s="31" t="n">
        <v>0.4709801108113196</v>
      </c>
      <c r="M14" s="31" t="n">
        <v>0.2388541216074238</v>
      </c>
      <c r="N14" s="31" t="n">
        <v>0.2901657675812566</v>
      </c>
      <c r="O14" s="31" t="n">
        <v>0.6127357803698895</v>
      </c>
      <c r="P14" s="31" t="n">
        <v>0.3872642196301105</v>
      </c>
      <c r="Q14" s="30" t="n">
        <v>2</v>
      </c>
      <c r="R14" s="30" t="n">
        <v>1</v>
      </c>
      <c r="S14" s="28" t="inlineStr">
        <is>
          <t>[PASAR] Sin Cuotas</t>
        </is>
      </c>
      <c r="T14" s="28" t="inlineStr">
        <is>
          <t>[PASAR] Sin Cuotas</t>
        </is>
      </c>
      <c r="U14" s="32" t="n">
        <v>0</v>
      </c>
      <c r="V14" s="32" t="n">
        <v>0</v>
      </c>
      <c r="W14" s="28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2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2">
        <f>Y13+X14</f>
        <v/>
      </c>
      <c r="Z14" s="33">
        <f>IF(OR(Q14="",R14=""),"",(L14-IF(Q14&gt;R14,1,0))^2+(M14-IF(Q14=R14,1,0))^2+(N14-IF(Q14&lt;R14,1,0))^2)</f>
        <v/>
      </c>
      <c r="AA14" s="33">
        <f>IF(OR(Q14="",R14="",F14="",F14=0,G14="",G14=0,H14="",H14=0),"",((1/F14/(1/F14+1/G14+1/H14))-IF(Q14&gt;R14,1,0))^2+((1/G14/(1/F14+1/G14+1/H14))-IF(Q14=R14,1,0))^2+((1/H14/(1/F14+1/G14+1/H14))-IF(Q14&lt;R14,1,0))^2)</f>
        <v/>
      </c>
      <c r="AB14" s="34" t="n">
        <v>0.643</v>
      </c>
      <c r="AC14" s="30" t="inlineStr">
        <is>
          <t>NO</t>
        </is>
      </c>
    </row>
    <row r="15">
      <c r="A15" s="27" t="n">
        <v>46099</v>
      </c>
      <c r="B15" s="28" t="inlineStr">
        <is>
          <t>2026-03-18bahiabragantinosp</t>
        </is>
      </c>
      <c r="C15" s="28" t="inlineStr">
        <is>
          <t>Bahia vs Red Bull Bragantino</t>
        </is>
      </c>
      <c r="D15" s="28" t="inlineStr">
        <is>
          <t>Bahia</t>
        </is>
      </c>
      <c r="E15" s="28" t="inlineStr">
        <is>
          <t>Red Bull Bragantino</t>
        </is>
      </c>
      <c r="F15" s="29" t="n"/>
      <c r="G15" s="29" t="n">
        <v>3.75</v>
      </c>
      <c r="H15" s="29" t="n"/>
      <c r="I15" s="29" t="n"/>
      <c r="J15" s="29" t="n"/>
      <c r="K15" s="30" t="inlineStr">
        <is>
          <t>Brasil</t>
        </is>
      </c>
      <c r="L15" s="31" t="n">
        <v>0.5375917150253967</v>
      </c>
      <c r="M15" s="31" t="n">
        <v>0.2271909306028471</v>
      </c>
      <c r="N15" s="31" t="n">
        <v>0.2352173543717563</v>
      </c>
      <c r="O15" s="31" t="n">
        <v>0.6197678553969835</v>
      </c>
      <c r="P15" s="31" t="n">
        <v>0.3802321446030164</v>
      </c>
      <c r="Q15" s="30" t="n">
        <v>2</v>
      </c>
      <c r="R15" s="30" t="n">
        <v>0</v>
      </c>
      <c r="S15" s="28" t="inlineStr">
        <is>
          <t>[PASAR] Sin Cuotas</t>
        </is>
      </c>
      <c r="T15" s="28" t="inlineStr">
        <is>
          <t>[PASAR] Sin Cuotas</t>
        </is>
      </c>
      <c r="U15" s="32" t="n">
        <v>0</v>
      </c>
      <c r="V15" s="32" t="n">
        <v>0</v>
      </c>
      <c r="W15" s="28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2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2">
        <f>Y14+X15</f>
        <v/>
      </c>
      <c r="Z15" s="33">
        <f>IF(OR(Q15="",R15=""),"",(L15-IF(Q15&gt;R15,1,0))^2+(M15-IF(Q15=R15,1,0))^2+(N15-IF(Q15&lt;R15,1,0))^2)</f>
        <v/>
      </c>
      <c r="AA15" s="33">
        <f>IF(OR(Q15="",R15="",F15="",F15=0,G15="",G15=0,H15="",H15=0),"",((1/F15/(1/F15+1/G15+1/H15))-IF(Q15&gt;R15,1,0))^2+((1/G15/(1/F15+1/G15+1/H15))-IF(Q15=R15,1,0))^2+((1/H15/(1/F15+1/G15+1/H15))-IF(Q15&lt;R15,1,0))^2)</f>
        <v/>
      </c>
      <c r="AB15" s="34" t="n">
        <v>0.7623</v>
      </c>
      <c r="AC15" s="30" t="inlineStr">
        <is>
          <t>NO</t>
        </is>
      </c>
    </row>
    <row r="16">
      <c r="A16" s="27" t="n">
        <v>46099</v>
      </c>
      <c r="B16" s="28" t="inlineStr">
        <is>
          <t>2026-03-18caykurrizesporsamsunspor</t>
        </is>
      </c>
      <c r="C16" s="28" t="inlineStr">
        <is>
          <t>Caykur Rizespor vs Samsunspor</t>
        </is>
      </c>
      <c r="D16" s="28" t="inlineStr">
        <is>
          <t>Caykur Rizespor</t>
        </is>
      </c>
      <c r="E16" s="28" t="inlineStr">
        <is>
          <t>Samsunspor</t>
        </is>
      </c>
      <c r="F16" s="29" t="n">
        <v>2.34</v>
      </c>
      <c r="G16" s="29" t="n">
        <v>3.53</v>
      </c>
      <c r="H16" s="29" t="n">
        <v>2.94</v>
      </c>
      <c r="I16" s="29" t="n">
        <v>1.93</v>
      </c>
      <c r="J16" s="29" t="n">
        <v>1.91</v>
      </c>
      <c r="K16" s="30" t="inlineStr">
        <is>
          <t>Turquia</t>
        </is>
      </c>
      <c r="L16" s="31" t="n">
        <v>0.4143338364837813</v>
      </c>
      <c r="M16" s="31" t="n">
        <v>0.2731865517515846</v>
      </c>
      <c r="N16" s="31" t="n">
        <v>0.3124796117646341</v>
      </c>
      <c r="O16" s="31" t="n">
        <v>0.4828233891977304</v>
      </c>
      <c r="P16" s="31" t="n">
        <v>0.5171766108022696</v>
      </c>
      <c r="Q16" s="35" t="n"/>
      <c r="R16" s="35" t="n"/>
      <c r="S16" s="28" t="inlineStr">
        <is>
          <t>[PASAR] Riesgo/Beneficio</t>
        </is>
      </c>
      <c r="T16" s="28" t="inlineStr">
        <is>
          <t>[PASAR] xG Margen Insuf (2.61, delta=0.11&lt;0.25)</t>
        </is>
      </c>
      <c r="U16" s="32" t="n">
        <v>0</v>
      </c>
      <c r="V16" s="32" t="n">
        <v>0</v>
      </c>
      <c r="W16" s="28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2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2">
        <f>Y15+X16</f>
        <v/>
      </c>
      <c r="Z16" s="33">
        <f>IF(OR(Q16="",R16=""),"",(L16-IF(Q16&gt;R16,1,0))^2+(M16-IF(Q16=R16,1,0))^2+(N16-IF(Q16&lt;R16,1,0))^2)</f>
        <v/>
      </c>
      <c r="AA16" s="33">
        <f>IF(OR(Q16="",R16="",F16="",F16=0,G16="",G16=0,H16="",H16=0),"",((1/F16/(1/F16+1/G16+1/H16))-IF(Q16&gt;R16,1,0))^2+((1/G16/(1/F16+1/G16+1/H16))-IF(Q16=R16,1,0))^2+((1/H16/(1/F16+1/G16+1/H16))-IF(Q16&lt;R16,1,0))^2)</f>
        <v/>
      </c>
      <c r="AB16" s="34" t="n">
        <v>0.859</v>
      </c>
      <c r="AC16" s="30" t="inlineStr">
        <is>
          <t>NO</t>
        </is>
      </c>
    </row>
    <row r="17">
      <c r="A17" s="27" t="n">
        <v>46099</v>
      </c>
      <c r="B17" s="28" t="inlineStr">
        <is>
          <t>2026-03-18eyupsportrabzonspor</t>
        </is>
      </c>
      <c r="C17" s="28" t="inlineStr">
        <is>
          <t>Eyupspor vs Trabzonspor</t>
        </is>
      </c>
      <c r="D17" s="28" t="inlineStr">
        <is>
          <t>Eyupspor</t>
        </is>
      </c>
      <c r="E17" s="28" t="inlineStr">
        <is>
          <t>Trabzonspor</t>
        </is>
      </c>
      <c r="F17" s="29" t="n"/>
      <c r="G17" s="29" t="n"/>
      <c r="H17" s="29" t="n"/>
      <c r="I17" s="29" t="n"/>
      <c r="J17" s="29" t="n"/>
      <c r="K17" s="30" t="inlineStr">
        <is>
          <t>Turquia</t>
        </is>
      </c>
      <c r="L17" s="31" t="n">
        <v>0.2861270283395916</v>
      </c>
      <c r="M17" s="31" t="n">
        <v>0.2607651812525669</v>
      </c>
      <c r="N17" s="31" t="n">
        <v>0.4531077904078414</v>
      </c>
      <c r="O17" s="31" t="n">
        <v>0.5214361653599625</v>
      </c>
      <c r="P17" s="31" t="n">
        <v>0.4785638346400374</v>
      </c>
      <c r="Q17" s="30" t="n">
        <v>0</v>
      </c>
      <c r="R17" s="30" t="n">
        <v>1</v>
      </c>
      <c r="S17" s="28" t="inlineStr">
        <is>
          <t>[PASAR] Sin Cuotas</t>
        </is>
      </c>
      <c r="T17" s="28" t="inlineStr">
        <is>
          <t>[PASAR] Sin Cuotas</t>
        </is>
      </c>
      <c r="U17" s="32" t="n">
        <v>0</v>
      </c>
      <c r="V17" s="32" t="n">
        <v>0</v>
      </c>
      <c r="W17" s="28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2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2">
        <f>Y16+X17</f>
        <v/>
      </c>
      <c r="Z17" s="33">
        <f>IF(OR(Q17="",R17=""),"",(L17-IF(Q17&gt;R17,1,0))^2+(M17-IF(Q17=R17,1,0))^2+(N17-IF(Q17&lt;R17,1,0))^2)</f>
        <v/>
      </c>
      <c r="AA17" s="33">
        <f>IF(OR(Q17="",R17="",F17="",F17=0,G17="",G17=0,H17="",H17=0),"",((1/F17/(1/F17+1/G17+1/H17))-IF(Q17&gt;R17,1,0))^2+((1/G17/(1/F17+1/G17+1/H17))-IF(Q17=R17,1,0))^2+((1/H17/(1/F17+1/G17+1/H17))-IF(Q17&lt;R17,1,0))^2)</f>
        <v/>
      </c>
      <c r="AB17" s="34" t="n">
        <v>0.8948</v>
      </c>
      <c r="AC17" s="30" t="inlineStr">
        <is>
          <t>NO</t>
        </is>
      </c>
    </row>
    <row r="18">
      <c r="A18" s="27" t="n">
        <v>46099</v>
      </c>
      <c r="B18" s="28" t="inlineStr">
        <is>
          <t>2026-03-18goztepegalatasaray</t>
        </is>
      </c>
      <c r="C18" s="28" t="inlineStr">
        <is>
          <t>Goztepe vs Galatasaray</t>
        </is>
      </c>
      <c r="D18" s="28" t="inlineStr">
        <is>
          <t>Goztepe</t>
        </is>
      </c>
      <c r="E18" s="28" t="inlineStr">
        <is>
          <t>Galatasaray</t>
        </is>
      </c>
      <c r="F18" s="29" t="n">
        <v>5.09</v>
      </c>
      <c r="G18" s="29" t="n">
        <v>4.04</v>
      </c>
      <c r="H18" s="29" t="n">
        <v>1.64</v>
      </c>
      <c r="I18" s="29" t="n"/>
      <c r="J18" s="29" t="n"/>
      <c r="K18" s="30" t="inlineStr">
        <is>
          <t>Turquia</t>
        </is>
      </c>
      <c r="L18" s="31" t="n">
        <v>0.3980929690869996</v>
      </c>
      <c r="M18" s="31" t="n">
        <v>0.2586017920120435</v>
      </c>
      <c r="N18" s="31" t="n">
        <v>0.3433052389009569</v>
      </c>
      <c r="O18" s="31" t="n">
        <v>0.5506715830807075</v>
      </c>
      <c r="P18" s="31" t="n">
        <v>0.4493284169192925</v>
      </c>
      <c r="Q18" s="35" t="n"/>
      <c r="R18" s="35" t="n"/>
      <c r="S18" s="28">
        <f>IF(OR(Q18="",R18=""),"[APOSTAR] LOCAL",IF(Q18&gt;R18,"[GANADA] LOCAL","[PERDIDA] LOCAL"))</f>
        <v/>
      </c>
      <c r="T18" s="28" t="inlineStr">
        <is>
          <t>[PASAR] Sin Cuotas</t>
        </is>
      </c>
      <c r="U18" s="32" t="n">
        <v>2500</v>
      </c>
      <c r="V18" s="32" t="n">
        <v>0</v>
      </c>
      <c r="W18" s="28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2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2">
        <f>Y17+X18</f>
        <v/>
      </c>
      <c r="Z18" s="33">
        <f>IF(OR(Q18="",R18=""),"",(L18-IF(Q18&gt;R18,1,0))^2+(M18-IF(Q18=R18,1,0))^2+(N18-IF(Q18&lt;R18,1,0))^2)</f>
        <v/>
      </c>
      <c r="AA18" s="33">
        <f>IF(OR(Q18="",R18="",F18="",F18=0,G18="",G18=0,H18="",H18=0),"",((1/F18/(1/F18+1/G18+1/H18))-IF(Q18&gt;R18,1,0))^2+((1/G18/(1/F18+1/G18+1/H18))-IF(Q18=R18,1,0))^2+((1/H18/(1/F18+1/G18+1/H18))-IF(Q18&lt;R18,1,0))^2)</f>
        <v/>
      </c>
      <c r="AB18" s="34" t="n">
        <v>0.694</v>
      </c>
      <c r="AC18" s="30" t="inlineStr">
        <is>
          <t>NO</t>
        </is>
      </c>
    </row>
    <row r="19">
      <c r="A19" s="27" t="n">
        <v>46099</v>
      </c>
      <c r="B19" s="28" t="inlineStr">
        <is>
          <t>2026-03-18istanbulbasaksehirantalyaspor</t>
        </is>
      </c>
      <c r="C19" s="28" t="inlineStr">
        <is>
          <t>Istanbul Basaksehir vs Antalyaspor</t>
        </is>
      </c>
      <c r="D19" s="28" t="inlineStr">
        <is>
          <t>Istanbul Basaksehir</t>
        </is>
      </c>
      <c r="E19" s="28" t="inlineStr">
        <is>
          <t>Antalyaspor</t>
        </is>
      </c>
      <c r="F19" s="29" t="n"/>
      <c r="G19" s="29" t="n"/>
      <c r="H19" s="29" t="n"/>
      <c r="I19" s="29" t="n"/>
      <c r="J19" s="29" t="n"/>
      <c r="K19" s="30" t="inlineStr">
        <is>
          <t>Turquia</t>
        </is>
      </c>
      <c r="L19" s="31" t="n">
        <v>0.4450762606164246</v>
      </c>
      <c r="M19" s="31" t="n">
        <v>0.2681926644878433</v>
      </c>
      <c r="N19" s="31" t="n">
        <v>0.2867310748957321</v>
      </c>
      <c r="O19" s="31" t="n">
        <v>0.4920602783752462</v>
      </c>
      <c r="P19" s="31" t="n">
        <v>0.5079397216247538</v>
      </c>
      <c r="Q19" s="30" t="n">
        <v>0</v>
      </c>
      <c r="R19" s="30" t="n">
        <v>0</v>
      </c>
      <c r="S19" s="28" t="inlineStr">
        <is>
          <t>[PASAR] Sin Cuotas</t>
        </is>
      </c>
      <c r="T19" s="28" t="inlineStr">
        <is>
          <t>[PASAR] Sin Cuotas</t>
        </is>
      </c>
      <c r="U19" s="32" t="n">
        <v>0</v>
      </c>
      <c r="V19" s="32" t="n">
        <v>0</v>
      </c>
      <c r="W19" s="28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2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2">
        <f>Y18+X19</f>
        <v/>
      </c>
      <c r="Z19" s="33">
        <f>IF(OR(Q19="",R19=""),"",(L19-IF(Q19&gt;R19,1,0))^2+(M19-IF(Q19=R19,1,0))^2+(N19-IF(Q19&lt;R19,1,0))^2)</f>
        <v/>
      </c>
      <c r="AA19" s="33">
        <f>IF(OR(Q19="",R19="",F19="",F19=0,G19="",G19=0,H19="",H19=0),"",((1/F19/(1/F19+1/G19+1/H19))-IF(Q19&gt;R19,1,0))^2+((1/G19/(1/F19+1/G19+1/H19))-IF(Q19=R19,1,0))^2+((1/H19/(1/F19+1/G19+1/H19))-IF(Q19&lt;R19,1,0))^2)</f>
        <v/>
      </c>
      <c r="AB19" s="34" t="n">
        <v>0.752</v>
      </c>
      <c r="AC19" s="30" t="inlineStr">
        <is>
          <t>NO</t>
        </is>
      </c>
    </row>
    <row r="20">
      <c r="A20" s="27" t="n">
        <v>46099</v>
      </c>
      <c r="B20" s="28" t="inlineStr">
        <is>
          <t>2026-03-18mirassolcoritiba</t>
        </is>
      </c>
      <c r="C20" s="28" t="inlineStr">
        <is>
          <t>Mirassol vs Coritiba</t>
        </is>
      </c>
      <c r="D20" s="28" t="inlineStr">
        <is>
          <t>Mirassol</t>
        </is>
      </c>
      <c r="E20" s="28" t="inlineStr">
        <is>
          <t>Coritiba</t>
        </is>
      </c>
      <c r="F20" s="29" t="n"/>
      <c r="G20" s="29" t="n">
        <v>3.65</v>
      </c>
      <c r="H20" s="29" t="n"/>
      <c r="I20" s="29" t="n"/>
      <c r="J20" s="29" t="n"/>
      <c r="K20" s="30" t="inlineStr">
        <is>
          <t>Brasil</t>
        </is>
      </c>
      <c r="L20" s="31" t="n">
        <v>0.482975468966526</v>
      </c>
      <c r="M20" s="31" t="n">
        <v>0.2489943090805346</v>
      </c>
      <c r="N20" s="31" t="n">
        <v>0.2680302219529394</v>
      </c>
      <c r="O20" s="31" t="n">
        <v>0.5542627005521311</v>
      </c>
      <c r="P20" s="31" t="n">
        <v>0.4457372994478689</v>
      </c>
      <c r="Q20" s="30" t="n">
        <v>0</v>
      </c>
      <c r="R20" s="30" t="n">
        <v>1</v>
      </c>
      <c r="S20" s="28" t="inlineStr">
        <is>
          <t>[PASAR] Sin Cuotas</t>
        </is>
      </c>
      <c r="T20" s="28" t="inlineStr">
        <is>
          <t>[PASAR] Sin Cuotas</t>
        </is>
      </c>
      <c r="U20" s="32" t="n">
        <v>0</v>
      </c>
      <c r="V20" s="32" t="n">
        <v>0</v>
      </c>
      <c r="W20" s="28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2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2">
        <f>Y19+X20</f>
        <v/>
      </c>
      <c r="Z20" s="33">
        <f>IF(OR(Q20="",R20=""),"",(L20-IF(Q20&gt;R20,1,0))^2+(M20-IF(Q20=R20,1,0))^2+(N20-IF(Q20&lt;R20,1,0))^2)</f>
        <v/>
      </c>
      <c r="AA20" s="33">
        <f>IF(OR(Q20="",R20="",F20="",F20=0,G20="",G20=0,H20="",H20=0),"",((1/F20/(1/F20+1/G20+1/H20))-IF(Q20&gt;R20,1,0))^2+((1/G20/(1/F20+1/G20+1/H20))-IF(Q20=R20,1,0))^2+((1/H20/(1/F20+1/G20+1/H20))-IF(Q20&lt;R20,1,0))^2)</f>
        <v/>
      </c>
      <c r="AB20" s="34" t="n">
        <v>0.6311</v>
      </c>
      <c r="AC20" s="30" t="inlineStr">
        <is>
          <t>NO</t>
        </is>
      </c>
    </row>
    <row r="21">
      <c r="A21" s="27" t="n">
        <v>46099</v>
      </c>
      <c r="B21" s="28" t="inlineStr">
        <is>
          <t>2026-03-18palmeirasbotafogo</t>
        </is>
      </c>
      <c r="C21" s="28" t="inlineStr">
        <is>
          <t>Palmeiras vs Botafogo</t>
        </is>
      </c>
      <c r="D21" s="28" t="inlineStr">
        <is>
          <t>Palmeiras</t>
        </is>
      </c>
      <c r="E21" s="28" t="inlineStr">
        <is>
          <t>Botafogo</t>
        </is>
      </c>
      <c r="F21" s="29" t="n"/>
      <c r="G21" s="29" t="n"/>
      <c r="H21" s="29" t="n"/>
      <c r="I21" s="29" t="n"/>
      <c r="J21" s="29" t="n"/>
      <c r="K21" s="30" t="inlineStr">
        <is>
          <t>Brasil</t>
        </is>
      </c>
      <c r="L21" s="31" t="n">
        <v>0.4788512867037201</v>
      </c>
      <c r="M21" s="31" t="n">
        <v>0.2219314635183941</v>
      </c>
      <c r="N21" s="31" t="n">
        <v>0.2992172497778857</v>
      </c>
      <c r="O21" s="31" t="n">
        <v>0.6949277206627653</v>
      </c>
      <c r="P21" s="31" t="n">
        <v>0.3050722793372347</v>
      </c>
      <c r="Q21" s="30" t="n">
        <v>2</v>
      </c>
      <c r="R21" s="30" t="n">
        <v>1</v>
      </c>
      <c r="S21" s="28" t="inlineStr">
        <is>
          <t>[PASAR] Sin Cuotas</t>
        </is>
      </c>
      <c r="T21" s="28" t="inlineStr">
        <is>
          <t>[PASAR] Sin Cuotas</t>
        </is>
      </c>
      <c r="U21" s="32" t="n">
        <v>0</v>
      </c>
      <c r="V21" s="32" t="n">
        <v>0</v>
      </c>
      <c r="W21" s="28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2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2">
        <f>Y20+X21</f>
        <v/>
      </c>
      <c r="Z21" s="33">
        <f>IF(OR(Q21="",R21=""),"",(L21-IF(Q21&gt;R21,1,0))^2+(M21-IF(Q21=R21,1,0))^2+(N21-IF(Q21&lt;R21,1,0))^2)</f>
        <v/>
      </c>
      <c r="AA21" s="33">
        <f>IF(OR(Q21="",R21="",F21="",F21=0,G21="",G21=0,H21="",H21=0),"",((1/F21/(1/F21+1/G21+1/H21))-IF(Q21&gt;R21,1,0))^2+((1/G21/(1/F21+1/G21+1/H21))-IF(Q21=R21,1,0))^2+((1/H21/(1/F21+1/G21+1/H21))-IF(Q21&lt;R21,1,0))^2)</f>
        <v/>
      </c>
      <c r="AB21" s="34" t="n">
        <v>0.8979</v>
      </c>
      <c r="AC21" s="30" t="inlineStr">
        <is>
          <t>NO</t>
        </is>
      </c>
    </row>
    <row r="22">
      <c r="A22" s="27" t="n">
        <v>46100</v>
      </c>
      <c r="B22" s="28" t="inlineStr">
        <is>
          <t>2026-03-19santosinternacional</t>
        </is>
      </c>
      <c r="C22" s="28" t="inlineStr">
        <is>
          <t>Santos vs Internacional</t>
        </is>
      </c>
      <c r="D22" s="28" t="inlineStr">
        <is>
          <t>Santos</t>
        </is>
      </c>
      <c r="E22" s="28" t="inlineStr">
        <is>
          <t>Internacional</t>
        </is>
      </c>
      <c r="F22" s="29" t="n"/>
      <c r="G22" s="29" t="n">
        <v>3.3</v>
      </c>
      <c r="H22" s="29" t="n"/>
      <c r="I22" s="29" t="n"/>
      <c r="J22" s="29" t="n"/>
      <c r="K22" s="30" t="inlineStr">
        <is>
          <t>Brasil</t>
        </is>
      </c>
      <c r="L22" s="31" t="n">
        <v>0.4564242566712488</v>
      </c>
      <c r="M22" s="31" t="n">
        <v>0.2445861736316765</v>
      </c>
      <c r="N22" s="31" t="n">
        <v>0.2989895696970746</v>
      </c>
      <c r="O22" s="31" t="n">
        <v>0.5921931616962641</v>
      </c>
      <c r="P22" s="31" t="n">
        <v>0.4078068383037359</v>
      </c>
      <c r="Q22" s="30" t="n">
        <v>1</v>
      </c>
      <c r="R22" s="30" t="n">
        <v>2</v>
      </c>
      <c r="S22" s="28" t="inlineStr">
        <is>
          <t>[PASAR] Sin Cuotas</t>
        </is>
      </c>
      <c r="T22" s="28" t="inlineStr">
        <is>
          <t>[PASAR] Sin Cuotas</t>
        </is>
      </c>
      <c r="U22" s="32" t="n">
        <v>0</v>
      </c>
      <c r="V22" s="32" t="n">
        <v>0</v>
      </c>
      <c r="W22" s="28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2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2">
        <f>Y21+X22</f>
        <v/>
      </c>
      <c r="Z22" s="33">
        <f>IF(OR(Q22="",R22=""),"",(L22-IF(Q22&gt;R22,1,0))^2+(M22-IF(Q22=R22,1,0))^2+(N22-IF(Q22&lt;R22,1,0))^2)</f>
        <v/>
      </c>
      <c r="AA22" s="33">
        <f>IF(OR(Q22="",R22="",F22="",F22=0,G22="",G22=0,H22="",H22=0),"",((1/F22/(1/F22+1/G22+1/H22))-IF(Q22&gt;R22,1,0))^2+((1/G22/(1/F22+1/G22+1/H22))-IF(Q22=R22,1,0))^2+((1/H22/(1/F22+1/G22+1/H22))-IF(Q22&lt;R22,1,0))^2)</f>
        <v/>
      </c>
      <c r="AB22" s="34" t="n">
        <v>0.733</v>
      </c>
      <c r="AC22" s="30" t="inlineStr">
        <is>
          <t>NO</t>
        </is>
      </c>
    </row>
    <row r="23">
      <c r="A23" s="27" t="n">
        <v>46100</v>
      </c>
      <c r="B23" s="28" t="inlineStr">
        <is>
          <t>2026-03-19vascodagamafluminense</t>
        </is>
      </c>
      <c r="C23" s="28" t="inlineStr">
        <is>
          <t>Vasco da Gama vs Fluminense</t>
        </is>
      </c>
      <c r="D23" s="28" t="inlineStr">
        <is>
          <t>Vasco da Gama</t>
        </is>
      </c>
      <c r="E23" s="28" t="inlineStr">
        <is>
          <t>Fluminense</t>
        </is>
      </c>
      <c r="F23" s="29" t="n"/>
      <c r="G23" s="29" t="n">
        <v>3.15</v>
      </c>
      <c r="H23" s="29" t="n"/>
      <c r="I23" s="29" t="n"/>
      <c r="J23" s="29" t="n"/>
      <c r="K23" s="30" t="inlineStr">
        <is>
          <t>Brasil</t>
        </is>
      </c>
      <c r="L23" s="31" t="n">
        <v>0.4179454983170294</v>
      </c>
      <c r="M23" s="31" t="n">
        <v>0.2262501769591969</v>
      </c>
      <c r="N23" s="31" t="n">
        <v>0.3558043247237737</v>
      </c>
      <c r="O23" s="31" t="n">
        <v>0.6962658764730534</v>
      </c>
      <c r="P23" s="31" t="n">
        <v>0.3037341235269466</v>
      </c>
      <c r="Q23" s="30" t="n">
        <v>3</v>
      </c>
      <c r="R23" s="30" t="n">
        <v>2</v>
      </c>
      <c r="S23" s="28" t="inlineStr">
        <is>
          <t>[PASAR] Sin Cuotas</t>
        </is>
      </c>
      <c r="T23" s="28" t="inlineStr">
        <is>
          <t>[PASAR] Sin Cuotas</t>
        </is>
      </c>
      <c r="U23" s="32" t="n">
        <v>0</v>
      </c>
      <c r="V23" s="32" t="n">
        <v>0</v>
      </c>
      <c r="W23" s="28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2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2">
        <f>Y22+X23</f>
        <v/>
      </c>
      <c r="Z23" s="33">
        <f>IF(OR(Q23="",R23=""),"",(L23-IF(Q23&gt;R23,1,0))^2+(M23-IF(Q23=R23,1,0))^2+(N23-IF(Q23&lt;R23,1,0))^2)</f>
        <v/>
      </c>
      <c r="AA23" s="33">
        <f>IF(OR(Q23="",R23="",F23="",F23=0,G23="",G23=0,H23="",H23=0),"",((1/F23/(1/F23+1/G23+1/H23))-IF(Q23&gt;R23,1,0))^2+((1/G23/(1/F23+1/G23+1/H23))-IF(Q23=R23,1,0))^2+((1/H23/(1/F23+1/G23+1/H23))-IF(Q23&lt;R23,1,0))^2)</f>
        <v/>
      </c>
      <c r="AB23" s="34" t="n">
        <v>0.6863</v>
      </c>
      <c r="AC23" s="30" t="inlineStr">
        <is>
          <t>NO</t>
        </is>
      </c>
    </row>
    <row r="24">
      <c r="A24" s="27" t="n">
        <v>46101</v>
      </c>
      <c r="B24" s="28" t="inlineStr">
        <is>
          <t>2026-03-20afcbournemouthmanchesterunited</t>
        </is>
      </c>
      <c r="C24" s="28" t="inlineStr">
        <is>
          <t>AFC Bournemouth vs Manchester United</t>
        </is>
      </c>
      <c r="D24" s="28" t="inlineStr">
        <is>
          <t>AFC Bournemouth</t>
        </is>
      </c>
      <c r="E24" s="28" t="inlineStr">
        <is>
          <t>Manchester United</t>
        </is>
      </c>
      <c r="F24" s="29" t="n">
        <v>3.5</v>
      </c>
      <c r="G24" s="29" t="n">
        <v>3.95</v>
      </c>
      <c r="H24" s="29" t="n">
        <v>2.16</v>
      </c>
      <c r="I24" s="29" t="n">
        <v>1.53</v>
      </c>
      <c r="J24" s="29" t="n">
        <v>2.38</v>
      </c>
      <c r="K24" s="30" t="inlineStr">
        <is>
          <t>Inglaterra</t>
        </is>
      </c>
      <c r="L24" s="31" t="n">
        <v>0.3799957049122062</v>
      </c>
      <c r="M24" s="31" t="n">
        <v>0.2708599958047667</v>
      </c>
      <c r="N24" s="31" t="n">
        <v>0.3491442992830271</v>
      </c>
      <c r="O24" s="31" t="n">
        <v>0.4961539582723372</v>
      </c>
      <c r="P24" s="31" t="n">
        <v>0.5038460417276629</v>
      </c>
      <c r="Q24" s="30" t="n">
        <v>2</v>
      </c>
      <c r="R24" s="30" t="n">
        <v>2</v>
      </c>
      <c r="S24" s="28">
        <f>IF(OR(Q24="",R24=""),"[APOSTAR] LOCAL",IF(Q24&gt;R24,"[GANADA] LOCAL","[PERDIDA] LOCAL"))</f>
        <v/>
      </c>
      <c r="T24" s="28" t="inlineStr">
        <is>
          <t>[PASAR] xG Margen Insuf (2.66, delta=0.16&lt;0.25)</t>
        </is>
      </c>
      <c r="U24" s="32" t="n">
        <v>2500</v>
      </c>
      <c r="V24" s="32" t="n">
        <v>0</v>
      </c>
      <c r="W24" s="28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2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2">
        <f>Y23+X24</f>
        <v/>
      </c>
      <c r="Z24" s="33">
        <f>IF(OR(Q24="",R24=""),"",(L24-IF(Q24&gt;R24,1,0))^2+(M24-IF(Q24=R24,1,0))^2+(N24-IF(Q24&lt;R24,1,0))^2)</f>
        <v/>
      </c>
      <c r="AA24" s="33">
        <f>IF(OR(Q24="",R24="",F24="",F24=0,G24="",G24=0,H24="",H24=0),"",((1/F24/(1/F24+1/G24+1/H24))-IF(Q24&gt;R24,1,0))^2+((1/G24/(1/F24+1/G24+1/H24))-IF(Q24=R24,1,0))^2+((1/H24/(1/F24+1/G24+1/H24))-IF(Q24&lt;R24,1,0))^2)</f>
        <v/>
      </c>
      <c r="AB24" s="34" t="n">
        <v>0.6242</v>
      </c>
      <c r="AC24" s="30" t="inlineStr">
        <is>
          <t>NO</t>
        </is>
      </c>
    </row>
    <row r="25">
      <c r="A25" s="27" t="n">
        <v>46102</v>
      </c>
      <c r="B25" s="28" t="inlineStr">
        <is>
          <t>2026-03-21atleticotucumangimnasialaplata</t>
        </is>
      </c>
      <c r="C25" s="28" t="inlineStr">
        <is>
          <t>Atlético Tucumán vs Gimnasia la Plata</t>
        </is>
      </c>
      <c r="D25" s="28" t="inlineStr">
        <is>
          <t>Atlético Tucumán</t>
        </is>
      </c>
      <c r="E25" s="28" t="inlineStr">
        <is>
          <t>Gimnasia la Plata</t>
        </is>
      </c>
      <c r="F25" s="29" t="n">
        <v>2.16</v>
      </c>
      <c r="G25" s="29" t="n">
        <v>3.3</v>
      </c>
      <c r="H25" s="29" t="n">
        <v>4.1</v>
      </c>
      <c r="I25" s="29" t="n">
        <v>2.43</v>
      </c>
      <c r="J25" s="29" t="n">
        <v>1.55</v>
      </c>
      <c r="K25" s="30" t="inlineStr">
        <is>
          <t>Argentina</t>
        </is>
      </c>
      <c r="L25" s="31" t="n">
        <v>0.4603227561410582</v>
      </c>
      <c r="M25" s="31" t="n">
        <v>0.2873036217162985</v>
      </c>
      <c r="N25" s="31" t="n">
        <v>0.2523736221426435</v>
      </c>
      <c r="O25" s="31" t="n">
        <v>0.4109749443702656</v>
      </c>
      <c r="P25" s="31" t="n">
        <v>0.5890250556297344</v>
      </c>
      <c r="Q25" s="30" t="n">
        <v>1</v>
      </c>
      <c r="R25" s="30" t="n">
        <v>0</v>
      </c>
      <c r="S25" s="28" t="inlineStr">
        <is>
          <t>[PASAR] Riesgo/Beneficio</t>
        </is>
      </c>
      <c r="T25" s="28" t="inlineStr">
        <is>
          <t>[PASAR] xG Margen Insuf (2.33, delta=0.17&lt;0.25)</t>
        </is>
      </c>
      <c r="U25" s="32" t="n">
        <v>0</v>
      </c>
      <c r="V25" s="32" t="n">
        <v>0</v>
      </c>
      <c r="W25" s="28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2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2">
        <f>Y24+X25</f>
        <v/>
      </c>
      <c r="Z25" s="33">
        <f>IF(OR(Q25="",R25=""),"",(L25-IF(Q25&gt;R25,1,0))^2+(M25-IF(Q25=R25,1,0))^2+(N25-IF(Q25&lt;R25,1,0))^2)</f>
        <v/>
      </c>
      <c r="AA25" s="33">
        <f>IF(OR(Q25="",R25="",F25="",F25=0,G25="",G25=0,H25="",H25=0),"",((1/F25/(1/F25+1/G25+1/H25))-IF(Q25&gt;R25,1,0))^2+((1/G25/(1/F25+1/G25+1/H25))-IF(Q25=R25,1,0))^2+((1/H25/(1/F25+1/G25+1/H25))-IF(Q25&lt;R25,1,0))^2)</f>
        <v/>
      </c>
      <c r="AB25" s="34" t="n">
        <v>0.6594</v>
      </c>
      <c r="AC25" s="30" t="inlineStr">
        <is>
          <t>NO</t>
        </is>
      </c>
    </row>
    <row r="26">
      <c r="A26" s="27" t="n">
        <v>46102</v>
      </c>
      <c r="B26" s="28" t="inlineStr">
        <is>
          <t>2026-03-21banfieldtigre</t>
        </is>
      </c>
      <c r="C26" s="28" t="inlineStr">
        <is>
          <t>Banfield vs Tigre</t>
        </is>
      </c>
      <c r="D26" s="28" t="inlineStr">
        <is>
          <t>Banfield</t>
        </is>
      </c>
      <c r="E26" s="28" t="inlineStr">
        <is>
          <t>Tigre</t>
        </is>
      </c>
      <c r="F26" s="29" t="n">
        <v>3</v>
      </c>
      <c r="G26" s="29" t="n">
        <v>3</v>
      </c>
      <c r="H26" s="29" t="n">
        <v>2.9</v>
      </c>
      <c r="I26" s="29" t="n">
        <v>2.85</v>
      </c>
      <c r="J26" s="29" t="n">
        <v>1.47</v>
      </c>
      <c r="K26" s="30" t="inlineStr">
        <is>
          <t>Argentina</t>
        </is>
      </c>
      <c r="L26" s="31" t="n">
        <v>0.3772058935317406</v>
      </c>
      <c r="M26" s="31" t="n">
        <v>0.2949087474357349</v>
      </c>
      <c r="N26" s="31" t="n">
        <v>0.3278853590325246</v>
      </c>
      <c r="O26" s="31" t="n">
        <v>0.4128242964781709</v>
      </c>
      <c r="P26" s="31" t="n">
        <v>0.5871757035218291</v>
      </c>
      <c r="Q26" s="30" t="n">
        <v>1</v>
      </c>
      <c r="R26" s="30" t="n">
        <v>0</v>
      </c>
      <c r="S26" s="28">
        <f>IF(OR(Q26="",R26=""),"[APOSTAR] LOCAL",IF(Q26&gt;R26,"[GANADA] LOCAL","[PERDIDA] LOCAL"))</f>
        <v/>
      </c>
      <c r="T26" s="28" t="inlineStr">
        <is>
          <t>[PASAR] xG Margen Insuf (2.33, delta=0.17&lt;0.25)</t>
        </is>
      </c>
      <c r="U26" s="32" t="n">
        <v>1443.38</v>
      </c>
      <c r="V26" s="32" t="n">
        <v>0</v>
      </c>
      <c r="W26" s="28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2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2">
        <f>Y25+X26</f>
        <v/>
      </c>
      <c r="Z26" s="33">
        <f>IF(OR(Q26="",R26=""),"",(L26-IF(Q26&gt;R26,1,0))^2+(M26-IF(Q26=R26,1,0))^2+(N26-IF(Q26&lt;R26,1,0))^2)</f>
        <v/>
      </c>
      <c r="AA26" s="33">
        <f>IF(OR(Q26="",R26="",F26="",F26=0,G26="",G26=0,H26="",H26=0),"",((1/F26/(1/F26+1/G26+1/H26))-IF(Q26&gt;R26,1,0))^2+((1/G26/(1/F26+1/G26+1/H26))-IF(Q26=R26,1,0))^2+((1/H26/(1/F26+1/G26+1/H26))-IF(Q26&lt;R26,1,0))^2)</f>
        <v/>
      </c>
      <c r="AB26" s="34" t="n">
        <v>0.6399</v>
      </c>
      <c r="AC26" s="30" t="inlineStr">
        <is>
          <t>NO</t>
        </is>
      </c>
    </row>
    <row r="27">
      <c r="A27" s="27" t="n">
        <v>46102</v>
      </c>
      <c r="B27" s="28" t="inlineStr">
        <is>
          <t>2026-03-21brightonhovealbionliverpool</t>
        </is>
      </c>
      <c r="C27" s="28" t="inlineStr">
        <is>
          <t>Brighton &amp; Hove Albion vs Liverpool</t>
        </is>
      </c>
      <c r="D27" s="28" t="inlineStr">
        <is>
          <t>Brighton &amp; Hove Albion</t>
        </is>
      </c>
      <c r="E27" s="28" t="inlineStr">
        <is>
          <t>Liverpool</t>
        </is>
      </c>
      <c r="F27" s="29" t="n">
        <v>3.25</v>
      </c>
      <c r="G27" s="29" t="n">
        <v>3.75</v>
      </c>
      <c r="H27" s="29" t="n">
        <v>2.33</v>
      </c>
      <c r="I27" s="29" t="n">
        <v>1.78</v>
      </c>
      <c r="J27" s="29" t="n">
        <v>2.21</v>
      </c>
      <c r="K27" s="30" t="inlineStr">
        <is>
          <t>Inglaterra</t>
        </is>
      </c>
      <c r="L27" s="31" t="n">
        <v>0.4108978929417581</v>
      </c>
      <c r="M27" s="31" t="n">
        <v>0.2678994893669501</v>
      </c>
      <c r="N27" s="31" t="n">
        <v>0.3212026176912918</v>
      </c>
      <c r="O27" s="31" t="n">
        <v>0.5030608941671695</v>
      </c>
      <c r="P27" s="31" t="n">
        <v>0.4969391058328305</v>
      </c>
      <c r="Q27" s="30" t="n">
        <v>2</v>
      </c>
      <c r="R27" s="30" t="n">
        <v>1</v>
      </c>
      <c r="S27" s="28">
        <f>IF(OR(Q27="",R27=""),"[APOSTAR] LOCAL",IF(Q27&gt;R27,"[GANADA] LOCAL","[PERDIDA] LOCAL"))</f>
        <v/>
      </c>
      <c r="T27" s="28" t="inlineStr">
        <is>
          <t>[PASAR] xG Margen Insuf (2.69, delta=0.19&lt;0.25)</t>
        </is>
      </c>
      <c r="U27" s="32" t="n">
        <v>2500</v>
      </c>
      <c r="V27" s="32" t="n">
        <v>0</v>
      </c>
      <c r="W27" s="28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2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2">
        <f>Y26+X27</f>
        <v/>
      </c>
      <c r="Z27" s="33">
        <f>IF(OR(Q27="",R27=""),"",(L27-IF(Q27&gt;R27,1,0))^2+(M27-IF(Q27=R27,1,0))^2+(N27-IF(Q27&lt;R27,1,0))^2)</f>
        <v/>
      </c>
      <c r="AA27" s="33">
        <f>IF(OR(Q27="",R27="",F27="",F27=0,G27="",G27=0,H27="",H27=0),"",((1/F27/(1/F27+1/G27+1/H27))-IF(Q27&gt;R27,1,0))^2+((1/G27/(1/F27+1/G27+1/H27))-IF(Q27=R27,1,0))^2+((1/H27/(1/F27+1/G27+1/H27))-IF(Q27&lt;R27,1,0))^2)</f>
        <v/>
      </c>
      <c r="AB27" s="34" t="n">
        <v>0.7135</v>
      </c>
      <c r="AC27" s="30" t="inlineStr">
        <is>
          <t>NO</t>
        </is>
      </c>
    </row>
    <row r="28">
      <c r="A28" s="27" t="n">
        <v>46102</v>
      </c>
      <c r="B28" s="28" t="inlineStr">
        <is>
          <t>2026-03-21defensayjusticiaunionsantafe</t>
        </is>
      </c>
      <c r="C28" s="28" t="inlineStr">
        <is>
          <t>Defensa y Justicia vs Unión (santa Fe)</t>
        </is>
      </c>
      <c r="D28" s="28" t="inlineStr">
        <is>
          <t>Defensa y Justicia</t>
        </is>
      </c>
      <c r="E28" s="28" t="inlineStr">
        <is>
          <t>Unión (santa Fe)</t>
        </is>
      </c>
      <c r="F28" s="29" t="n">
        <v>2.9</v>
      </c>
      <c r="G28" s="29" t="n">
        <v>3.1</v>
      </c>
      <c r="H28" s="29" t="n">
        <v>2.88</v>
      </c>
      <c r="I28" s="29" t="n">
        <v>2.62</v>
      </c>
      <c r="J28" s="29" t="n">
        <v>1.56</v>
      </c>
      <c r="K28" s="30" t="inlineStr">
        <is>
          <t>Argentina</t>
        </is>
      </c>
      <c r="L28" s="31" t="n">
        <v>0.4007373641237821</v>
      </c>
      <c r="M28" s="31" t="n">
        <v>0.2783119242231875</v>
      </c>
      <c r="N28" s="31" t="n">
        <v>0.3209507116530305</v>
      </c>
      <c r="O28" s="31" t="n">
        <v>0.4728740634574408</v>
      </c>
      <c r="P28" s="31" t="n">
        <v>0.5271259365425592</v>
      </c>
      <c r="Q28" s="30" t="n">
        <v>2</v>
      </c>
      <c r="R28" s="30" t="n">
        <v>0</v>
      </c>
      <c r="S28" s="28">
        <f>IF(OR(Q28="",R28=""),"[APOSTAR] LOCAL",IF(Q28&gt;R28,"[GANADA] LOCAL","[PERDIDA] LOCAL"))</f>
        <v/>
      </c>
      <c r="T28" s="28" t="inlineStr">
        <is>
          <t>[PASAR] xG Margen Insuf (2.57, delta=0.07&lt;0.25)</t>
        </is>
      </c>
      <c r="U28" s="32" t="n">
        <v>1443.38</v>
      </c>
      <c r="V28" s="32" t="n">
        <v>0</v>
      </c>
      <c r="W28" s="28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2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2">
        <f>Y27+X28</f>
        <v/>
      </c>
      <c r="Z28" s="33">
        <f>IF(OR(Q28="",R28=""),"",(L28-IF(Q28&gt;R28,1,0))^2+(M28-IF(Q28=R28,1,0))^2+(N28-IF(Q28&lt;R28,1,0))^2)</f>
        <v/>
      </c>
      <c r="AA28" s="33">
        <f>IF(OR(Q28="",R28="",F28="",F28=0,G28="",G28=0,H28="",H28=0),"",((1/F28/(1/F28+1/G28+1/H28))-IF(Q28&gt;R28,1,0))^2+((1/G28/(1/F28+1/G28+1/H28))-IF(Q28=R28,1,0))^2+((1/H28/(1/F28+1/G28+1/H28))-IF(Q28&lt;R28,1,0))^2)</f>
        <v/>
      </c>
      <c r="AB28" s="34" t="n">
        <v>0.6448</v>
      </c>
      <c r="AC28" s="30" t="inlineStr">
        <is>
          <t>NO</t>
        </is>
      </c>
    </row>
    <row r="29">
      <c r="A29" s="27" t="n">
        <v>46102</v>
      </c>
      <c r="B29" s="28" t="inlineStr">
        <is>
          <t>2026-03-21evertonchelsea</t>
        </is>
      </c>
      <c r="C29" s="28" t="inlineStr">
        <is>
          <t>Everton vs Chelsea</t>
        </is>
      </c>
      <c r="D29" s="28" t="inlineStr">
        <is>
          <t>Everton</t>
        </is>
      </c>
      <c r="E29" s="28" t="inlineStr">
        <is>
          <t>Chelsea</t>
        </is>
      </c>
      <c r="F29" s="29" t="n">
        <v>3.6</v>
      </c>
      <c r="G29" s="29" t="n">
        <v>3.75</v>
      </c>
      <c r="H29" s="29" t="n">
        <v>2.2</v>
      </c>
      <c r="I29" s="29" t="n">
        <v>1.9</v>
      </c>
      <c r="J29" s="29" t="n">
        <v>2.11</v>
      </c>
      <c r="K29" s="30" t="inlineStr">
        <is>
          <t>Inglaterra</t>
        </is>
      </c>
      <c r="L29" s="31" t="n">
        <v>0.3695913356161412</v>
      </c>
      <c r="M29" s="31" t="n">
        <v>0.2608173287677175</v>
      </c>
      <c r="N29" s="31" t="n">
        <v>0.3695913356161413</v>
      </c>
      <c r="O29" s="31" t="n">
        <v>0.539788427825295</v>
      </c>
      <c r="P29" s="31" t="n">
        <v>0.460211572174705</v>
      </c>
      <c r="Q29" s="30" t="n">
        <v>3</v>
      </c>
      <c r="R29" s="30" t="n">
        <v>0</v>
      </c>
      <c r="S29" s="28" t="inlineStr">
        <is>
          <t>[PASAR] Margen Predictivo Insuficiente (&lt;5%)</t>
        </is>
      </c>
      <c r="T29" s="28" t="inlineStr">
        <is>
          <t>[PASAR] Sin Valor</t>
        </is>
      </c>
      <c r="U29" s="32" t="n">
        <v>0</v>
      </c>
      <c r="V29" s="32" t="n">
        <v>0</v>
      </c>
      <c r="W29" s="28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2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2">
        <f>Y28+X29</f>
        <v/>
      </c>
      <c r="Z29" s="33">
        <f>IF(OR(Q29="",R29=""),"",(L29-IF(Q29&gt;R29,1,0))^2+(M29-IF(Q29=R29,1,0))^2+(N29-IF(Q29&lt;R29,1,0))^2)</f>
        <v/>
      </c>
      <c r="AA29" s="33">
        <f>IF(OR(Q29="",R29="",F29="",F29=0,G29="",G29=0,H29="",H29=0),"",((1/F29/(1/F29+1/G29+1/H29))-IF(Q29&gt;R29,1,0))^2+((1/G29/(1/F29+1/G29+1/H29))-IF(Q29=R29,1,0))^2+((1/H29/(1/F29+1/G29+1/H29))-IF(Q29&lt;R29,1,0))^2)</f>
        <v/>
      </c>
      <c r="AB29" s="34" t="n">
        <v>0.8038999999999999</v>
      </c>
      <c r="AC29" s="30" t="inlineStr">
        <is>
          <t>NO</t>
        </is>
      </c>
    </row>
    <row r="30">
      <c r="A30" s="27" t="n">
        <v>46102</v>
      </c>
      <c r="B30" s="28" t="inlineStr">
        <is>
          <t>2026-03-21fluminenseatleticomg</t>
        </is>
      </c>
      <c r="C30" s="28" t="inlineStr">
        <is>
          <t>Fluminense vs Atlético-mg</t>
        </is>
      </c>
      <c r="D30" s="28" t="inlineStr">
        <is>
          <t>Fluminense</t>
        </is>
      </c>
      <c r="E30" s="28" t="inlineStr">
        <is>
          <t>Atlético-mg</t>
        </is>
      </c>
      <c r="F30" s="29" t="n">
        <v>1.78</v>
      </c>
      <c r="G30" s="29" t="n">
        <v>3.7</v>
      </c>
      <c r="H30" s="29" t="n">
        <v>5.2</v>
      </c>
      <c r="I30" s="29" t="n">
        <v>2.08</v>
      </c>
      <c r="J30" s="29" t="n">
        <v>1.81</v>
      </c>
      <c r="K30" s="30" t="inlineStr">
        <is>
          <t>Brasil</t>
        </is>
      </c>
      <c r="L30" s="31" t="n">
        <v>0.4890383775254059</v>
      </c>
      <c r="M30" s="31" t="n">
        <v>0.226928211007076</v>
      </c>
      <c r="N30" s="31" t="n">
        <v>0.2840334114675181</v>
      </c>
      <c r="O30" s="31" t="n">
        <v>0.6626510174407112</v>
      </c>
      <c r="P30" s="31" t="n">
        <v>0.3373489825592889</v>
      </c>
      <c r="Q30" s="30" t="n">
        <v>1</v>
      </c>
      <c r="R30" s="30" t="n">
        <v>0</v>
      </c>
      <c r="S30" s="28" t="inlineStr">
        <is>
          <t>[PASAR] Riesgo/Beneficio</t>
        </is>
      </c>
      <c r="T30" s="28" t="inlineStr">
        <is>
          <t>[PASAR] Sin Valor</t>
        </is>
      </c>
      <c r="U30" s="32" t="n">
        <v>0</v>
      </c>
      <c r="V30" s="32" t="n">
        <v>0</v>
      </c>
      <c r="W30" s="28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2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2">
        <f>Y29+X30</f>
        <v/>
      </c>
      <c r="Z30" s="33">
        <f>IF(OR(Q30="",R30=""),"",(L30-IF(Q30&gt;R30,1,0))^2+(M30-IF(Q30=R30,1,0))^2+(N30-IF(Q30&lt;R30,1,0))^2)</f>
        <v/>
      </c>
      <c r="AA30" s="33">
        <f>IF(OR(Q30="",R30="",F30="",F30=0,G30="",G30=0,H30="",H30=0),"",((1/F30/(1/F30+1/G30+1/H30))-IF(Q30&gt;R30,1,0))^2+((1/G30/(1/F30+1/G30+1/H30))-IF(Q30=R30,1,0))^2+((1/H30/(1/F30+1/G30+1/H30))-IF(Q30&lt;R30,1,0))^2)</f>
        <v/>
      </c>
      <c r="AB30" s="34" t="n">
        <v>1.0006</v>
      </c>
      <c r="AC30" s="30" t="inlineStr">
        <is>
          <t>NO</t>
        </is>
      </c>
    </row>
    <row r="31">
      <c r="A31" s="27" t="n">
        <v>46102</v>
      </c>
      <c r="B31" s="28" t="inlineStr">
        <is>
          <t>2026-03-21fulhamburnley</t>
        </is>
      </c>
      <c r="C31" s="28" t="inlineStr">
        <is>
          <t>Fulham vs Burnley</t>
        </is>
      </c>
      <c r="D31" s="28" t="inlineStr">
        <is>
          <t>Fulham</t>
        </is>
      </c>
      <c r="E31" s="28" t="inlineStr">
        <is>
          <t>Burnley</t>
        </is>
      </c>
      <c r="F31" s="29" t="n">
        <v>1.6</v>
      </c>
      <c r="G31" s="29" t="n">
        <v>4.3</v>
      </c>
      <c r="H31" s="29" t="n">
        <v>6.8</v>
      </c>
      <c r="I31" s="29" t="n">
        <v>1.86</v>
      </c>
      <c r="J31" s="29" t="n">
        <v>2.14</v>
      </c>
      <c r="K31" s="30" t="inlineStr">
        <is>
          <t>Inglaterra</t>
        </is>
      </c>
      <c r="L31" s="31" t="n">
        <v>0.4747849593452914</v>
      </c>
      <c r="M31" s="31" t="n">
        <v>0.2608106257157422</v>
      </c>
      <c r="N31" s="31" t="n">
        <v>0.2644044149389664</v>
      </c>
      <c r="O31" s="31" t="n">
        <v>0.5046559413263287</v>
      </c>
      <c r="P31" s="31" t="n">
        <v>0.4953440586736713</v>
      </c>
      <c r="Q31" s="30" t="n">
        <v>3</v>
      </c>
      <c r="R31" s="30" t="n">
        <v>1</v>
      </c>
      <c r="S31" s="28" t="inlineStr">
        <is>
          <t>[PASAR] Riesgo/Beneficio</t>
        </is>
      </c>
      <c r="T31" s="28" t="inlineStr">
        <is>
          <t>[PASAR] xG Margen Insuf (2.69, delta=0.19&lt;0.25)</t>
        </is>
      </c>
      <c r="U31" s="32" t="n">
        <v>0</v>
      </c>
      <c r="V31" s="32" t="n">
        <v>0</v>
      </c>
      <c r="W31" s="28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2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2">
        <f>Y30+X31</f>
        <v/>
      </c>
      <c r="Z31" s="33">
        <f>IF(OR(Q31="",R31=""),"",(L31-IF(Q31&gt;R31,1,0))^2+(M31-IF(Q31=R31,1,0))^2+(N31-IF(Q31&lt;R31,1,0))^2)</f>
        <v/>
      </c>
      <c r="AA31" s="33">
        <f>IF(OR(Q31="",R31="",F31="",F31=0,G31="",G31=0,H31="",H31=0),"",((1/F31/(1/F31+1/G31+1/H31))-IF(Q31&gt;R31,1,0))^2+((1/G31/(1/F31+1/G31+1/H31))-IF(Q31=R31,1,0))^2+((1/H31/(1/F31+1/G31+1/H31))-IF(Q31&lt;R31,1,0))^2)</f>
        <v/>
      </c>
      <c r="AB31" s="34" t="n">
        <v>0.6356000000000001</v>
      </c>
      <c r="AC31" s="30" t="inlineStr">
        <is>
          <t>NO</t>
        </is>
      </c>
    </row>
    <row r="32">
      <c r="A32" s="27" t="n">
        <v>46102</v>
      </c>
      <c r="B32" s="28" t="inlineStr">
        <is>
          <t>2026-03-21ikstartaalesund</t>
        </is>
      </c>
      <c r="C32" s="28" t="inlineStr">
        <is>
          <t>Ik Start vs Aalesund</t>
        </is>
      </c>
      <c r="D32" s="28" t="inlineStr">
        <is>
          <t>Ik Start</t>
        </is>
      </c>
      <c r="E32" s="28" t="inlineStr">
        <is>
          <t>Aalesund</t>
        </is>
      </c>
      <c r="F32" s="29" t="n">
        <v>2.28</v>
      </c>
      <c r="G32" s="29" t="n">
        <v>3.6</v>
      </c>
      <c r="H32" s="29" t="n">
        <v>3.45</v>
      </c>
      <c r="I32" s="29" t="n">
        <v>1.83</v>
      </c>
      <c r="J32" s="29" t="n">
        <v>2.07</v>
      </c>
      <c r="K32" s="30" t="inlineStr">
        <is>
          <t>Noruega</t>
        </is>
      </c>
      <c r="L32" s="31" t="n">
        <v>0.3728764081189995</v>
      </c>
      <c r="M32" s="31" t="n">
        <v>0.2634196863066652</v>
      </c>
      <c r="N32" s="31" t="n">
        <v>0.3637039055743354</v>
      </c>
      <c r="O32" s="31" t="n">
        <v>0.5136938723906329</v>
      </c>
      <c r="P32" s="31" t="n">
        <v>0.486306127609367</v>
      </c>
      <c r="Q32" s="30" t="n">
        <v>1</v>
      </c>
      <c r="R32" s="30" t="n">
        <v>1</v>
      </c>
      <c r="S32" s="28" t="inlineStr">
        <is>
          <t>[PASAR] Margen Predictivo Insuficiente (&lt;5%)</t>
        </is>
      </c>
      <c r="T32" s="28" t="inlineStr">
        <is>
          <t>[PASAR] xG Margen Insuf (2.73, delta=0.23&lt;0.25)</t>
        </is>
      </c>
      <c r="U32" s="32" t="n">
        <v>0</v>
      </c>
      <c r="V32" s="32" t="n">
        <v>0</v>
      </c>
      <c r="W32" s="28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2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2">
        <f>Y31+X32</f>
        <v/>
      </c>
      <c r="Z32" s="33">
        <f>IF(OR(Q32="",R32=""),"",(L32-IF(Q32&gt;R32,1,0))^2+(M32-IF(Q32=R32,1,0))^2+(N32-IF(Q32&lt;R32,1,0))^2)</f>
        <v/>
      </c>
      <c r="AA32" s="33">
        <f>IF(OR(Q32="",R32="",F32="",F32=0,G32="",G32=0,H32="",H32=0),"",((1/F32/(1/F32+1/G32+1/H32))-IF(Q32&gt;R32,1,0))^2+((1/G32/(1/F32+1/G32+1/H32))-IF(Q32=R32,1,0))^2+((1/H32/(1/F32+1/G32+1/H32))-IF(Q32&lt;R32,1,0))^2)</f>
        <v/>
      </c>
      <c r="AB32" s="34" t="n">
        <v>0.3228</v>
      </c>
      <c r="AC32" s="30" t="inlineStr">
        <is>
          <t>NO</t>
        </is>
      </c>
    </row>
    <row r="33">
      <c r="A33" s="27" t="n">
        <v>46102</v>
      </c>
      <c r="B33" s="28" t="inlineStr">
        <is>
          <t>2026-03-21independientetallerescordoba</t>
        </is>
      </c>
      <c r="C33" s="28" t="inlineStr">
        <is>
          <t>Independiente vs Talleres (córdoba)</t>
        </is>
      </c>
      <c r="D33" s="28" t="inlineStr">
        <is>
          <t>Independiente</t>
        </is>
      </c>
      <c r="E33" s="28" t="inlineStr">
        <is>
          <t>Talleres (córdoba)</t>
        </is>
      </c>
      <c r="F33" s="29" t="n">
        <v>2.04</v>
      </c>
      <c r="G33" s="29" t="n">
        <v>3.2</v>
      </c>
      <c r="H33" s="29" t="n">
        <v>4.38</v>
      </c>
      <c r="I33" s="29" t="n">
        <v>2.58</v>
      </c>
      <c r="J33" s="29" t="n">
        <v>1.56</v>
      </c>
      <c r="K33" s="30" t="inlineStr">
        <is>
          <t>Argentina</t>
        </is>
      </c>
      <c r="L33" s="31" t="n">
        <v>0.413123913794344</v>
      </c>
      <c r="M33" s="31" t="n">
        <v>0.2751580186117192</v>
      </c>
      <c r="N33" s="31" t="n">
        <v>0.3117180675939367</v>
      </c>
      <c r="O33" s="31" t="n">
        <v>0.4825726127876495</v>
      </c>
      <c r="P33" s="31" t="n">
        <v>0.5174273872123505</v>
      </c>
      <c r="Q33" s="30" t="n">
        <v>1</v>
      </c>
      <c r="R33" s="30" t="n">
        <v>2</v>
      </c>
      <c r="S33" s="28" t="inlineStr">
        <is>
          <t>[PASAR] Floor Prob (31%&lt;33%)</t>
        </is>
      </c>
      <c r="T33" s="28" t="inlineStr">
        <is>
          <t>[PASAR] xG Margen Insuf (2.60, delta=0.10&lt;0.25)</t>
        </is>
      </c>
      <c r="U33" s="32" t="n">
        <v>0</v>
      </c>
      <c r="V33" s="32" t="n">
        <v>0</v>
      </c>
      <c r="W33" s="28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2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2">
        <f>Y32+X33</f>
        <v/>
      </c>
      <c r="Z33" s="33">
        <f>IF(OR(Q33="",R33=""),"",(L33-IF(Q33&gt;R33,1,0))^2+(M33-IF(Q33=R33,1,0))^2+(N33-IF(Q33&lt;R33,1,0))^2)</f>
        <v/>
      </c>
      <c r="AA33" s="33">
        <f>IF(OR(Q33="",R33="",F33="",F33=0,G33="",G33=0,H33="",H33=0),"",((1/F33/(1/F33+1/G33+1/H33))-IF(Q33&gt;R33,1,0))^2+((1/G33/(1/F33+1/G33+1/H33))-IF(Q33=R33,1,0))^2+((1/H33/(1/F33+1/G33+1/H33))-IF(Q33&lt;R33,1,0))^2)</f>
        <v/>
      </c>
      <c r="AB33" s="34" t="n">
        <v>0.6639</v>
      </c>
      <c r="AC33" s="30" t="inlineStr">
        <is>
          <t>NO</t>
        </is>
      </c>
    </row>
    <row r="34">
      <c r="A34" s="27" t="n">
        <v>46102</v>
      </c>
      <c r="B34" s="28" t="inlineStr">
        <is>
          <t>2026-03-21leedsunitedbrentford</t>
        </is>
      </c>
      <c r="C34" s="28" t="inlineStr">
        <is>
          <t>Leeds United vs Brentford</t>
        </is>
      </c>
      <c r="D34" s="28" t="inlineStr">
        <is>
          <t>Leeds United</t>
        </is>
      </c>
      <c r="E34" s="28" t="inlineStr">
        <is>
          <t>Brentford</t>
        </is>
      </c>
      <c r="F34" s="29" t="n">
        <v>2.58</v>
      </c>
      <c r="G34" s="29" t="n">
        <v>3.56</v>
      </c>
      <c r="H34" s="29" t="n">
        <v>3.05</v>
      </c>
      <c r="I34" s="29" t="n">
        <v>1.93</v>
      </c>
      <c r="J34" s="29" t="n">
        <v>2.04</v>
      </c>
      <c r="K34" s="30" t="inlineStr">
        <is>
          <t>Inglaterra</t>
        </is>
      </c>
      <c r="L34" s="31" t="n">
        <v>0.368413852818284</v>
      </c>
      <c r="M34" s="31" t="n">
        <v>0.2810524265651128</v>
      </c>
      <c r="N34" s="31" t="n">
        <v>0.3505337206166031</v>
      </c>
      <c r="O34" s="31" t="n">
        <v>0.4555445338173486</v>
      </c>
      <c r="P34" s="31" t="n">
        <v>0.5444554661826514</v>
      </c>
      <c r="Q34" s="30" t="n">
        <v>0</v>
      </c>
      <c r="R34" s="30" t="n">
        <v>0</v>
      </c>
      <c r="S34" s="28" t="inlineStr">
        <is>
          <t>[PASAR] Margen Predictivo Insuficiente (&lt;5%)</t>
        </is>
      </c>
      <c r="T34" s="28" t="inlineStr">
        <is>
          <t>[PASAR] xG Margen Insuf (2.50, delta=0.00&lt;0.25)</t>
        </is>
      </c>
      <c r="U34" s="32" t="n">
        <v>0</v>
      </c>
      <c r="V34" s="32" t="n">
        <v>0</v>
      </c>
      <c r="W34" s="28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2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2">
        <f>Y33+X34</f>
        <v/>
      </c>
      <c r="Z34" s="33">
        <f>IF(OR(Q34="",R34=""),"",(L34-IF(Q34&gt;R34,1,0))^2+(M34-IF(Q34=R34,1,0))^2+(N34-IF(Q34&lt;R34,1,0))^2)</f>
        <v/>
      </c>
      <c r="AA34" s="33">
        <f>IF(OR(Q34="",R34="",F34="",F34=0,G34="",G34=0,H34="",H34=0),"",((1/F34/(1/F34+1/G34+1/H34))-IF(Q34&gt;R34,1,0))^2+((1/G34/(1/F34+1/G34+1/H34))-IF(Q34=R34,1,0))^2+((1/H34/(1/F34+1/G34+1/H34))-IF(Q34&lt;R34,1,0))^2)</f>
        <v/>
      </c>
      <c r="AB34" s="34" t="n">
        <v>0.7822</v>
      </c>
      <c r="AC34" s="30" t="inlineStr">
        <is>
          <t>NO</t>
        </is>
      </c>
    </row>
    <row r="35">
      <c r="A35" s="27" t="n">
        <v>46102</v>
      </c>
      <c r="B35" s="28" t="inlineStr">
        <is>
          <t>2026-03-21newellsoldboysgimnasiamendoza</t>
        </is>
      </c>
      <c r="C35" s="28" t="inlineStr">
        <is>
          <t>Newell's Old Boys vs Gimnasia (mendoza)</t>
        </is>
      </c>
      <c r="D35" s="28" t="inlineStr">
        <is>
          <t>Newell's Old Boys</t>
        </is>
      </c>
      <c r="E35" s="28" t="inlineStr">
        <is>
          <t>Gimnasia (mendoza)</t>
        </is>
      </c>
      <c r="F35" s="29" t="n">
        <v>2.38</v>
      </c>
      <c r="G35" s="29" t="n">
        <v>2.98</v>
      </c>
      <c r="H35" s="29" t="n">
        <v>3.5</v>
      </c>
      <c r="I35" s="29" t="n">
        <v>2.92</v>
      </c>
      <c r="J35" s="29" t="n">
        <v>1.39</v>
      </c>
      <c r="K35" s="30" t="inlineStr">
        <is>
          <t>Argentina</t>
        </is>
      </c>
      <c r="L35" s="31" t="n">
        <v>0.3778806238098235</v>
      </c>
      <c r="M35" s="31" t="n">
        <v>0.2814411786821948</v>
      </c>
      <c r="N35" s="31" t="n">
        <v>0.3406781975079819</v>
      </c>
      <c r="O35" s="31" t="n">
        <v>0.4642402790842933</v>
      </c>
      <c r="P35" s="31" t="n">
        <v>0.5357597209157067</v>
      </c>
      <c r="Q35" s="30" t="n">
        <v>1</v>
      </c>
      <c r="R35" s="30" t="n">
        <v>0</v>
      </c>
      <c r="S35" s="28">
        <f>IF(OR(Q35="",R35=""),"[APOSTAR] VISITA",IF(Q35&lt;R35,"[GANADA] VISITA","[PERDIDA] VISITA"))</f>
        <v/>
      </c>
      <c r="T35" s="28" t="inlineStr">
        <is>
          <t>[PASAR] xG Margen Insuf (2.53, delta=0.03&lt;0.25)</t>
        </is>
      </c>
      <c r="U35" s="32" t="n">
        <v>1443.38</v>
      </c>
      <c r="V35" s="32" t="n">
        <v>0</v>
      </c>
      <c r="W35" s="28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2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2">
        <f>Y34+X35</f>
        <v/>
      </c>
      <c r="Z35" s="33">
        <f>IF(OR(Q35="",R35=""),"",(L35-IF(Q35&gt;R35,1,0))^2+(M35-IF(Q35=R35,1,0))^2+(N35-IF(Q35&lt;R35,1,0))^2)</f>
        <v/>
      </c>
      <c r="AA35" s="33">
        <f>IF(OR(Q35="",R35="",F35="",F35=0,G35="",G35=0,H35="",H35=0),"",((1/F35/(1/F35+1/G35+1/H35))-IF(Q35&gt;R35,1,0))^2+((1/G35/(1/F35+1/G35+1/H35))-IF(Q35=R35,1,0))^2+((1/H35/(1/F35+1/G35+1/H35))-IF(Q35&lt;R35,1,0))^2)</f>
        <v/>
      </c>
      <c r="AB35" s="34" t="n">
        <v>0.5247000000000001</v>
      </c>
      <c r="AC35" s="30" t="inlineStr">
        <is>
          <t>NO</t>
        </is>
      </c>
    </row>
    <row r="36">
      <c r="A36" s="27" t="n">
        <v>46102</v>
      </c>
      <c r="B36" s="28" t="inlineStr">
        <is>
          <t>2026-03-21redbullbragantinobotafogo</t>
        </is>
      </c>
      <c r="C36" s="28" t="inlineStr">
        <is>
          <t>Red Bull Bragantino vs Botafogo</t>
        </is>
      </c>
      <c r="D36" s="28" t="inlineStr">
        <is>
          <t>Red Bull Bragantino</t>
        </is>
      </c>
      <c r="E36" s="28" t="inlineStr">
        <is>
          <t>Botafogo</t>
        </is>
      </c>
      <c r="F36" s="29" t="n">
        <v>2.12</v>
      </c>
      <c r="G36" s="29" t="n">
        <v>3.5</v>
      </c>
      <c r="H36" s="29" t="n">
        <v>3.79</v>
      </c>
      <c r="I36" s="29" t="n">
        <v>2.08</v>
      </c>
      <c r="J36" s="29" t="n">
        <v>1.86</v>
      </c>
      <c r="K36" s="30" t="inlineStr">
        <is>
          <t>Brasil</t>
        </is>
      </c>
      <c r="L36" s="31" t="n">
        <v>0.4371080543458052</v>
      </c>
      <c r="M36" s="31" t="n">
        <v>0.2296551705392528</v>
      </c>
      <c r="N36" s="31" t="n">
        <v>0.333236775114942</v>
      </c>
      <c r="O36" s="31" t="n">
        <v>0.6744931291712692</v>
      </c>
      <c r="P36" s="31" t="n">
        <v>0.3255068708287308</v>
      </c>
      <c r="Q36" s="30" t="n">
        <v>1</v>
      </c>
      <c r="R36" s="30" t="n">
        <v>2</v>
      </c>
      <c r="S36" s="28">
        <f>IF(OR(Q36="",R36=""),"[APOSTAR] VISITA",IF(Q36&lt;R36,"[GANADA] VISITA","[PERDIDA] VISITA"))</f>
        <v/>
      </c>
      <c r="T36" s="28" t="inlineStr">
        <is>
          <t>[PASAR] Sin Valor</t>
        </is>
      </c>
      <c r="U36" s="32" t="n">
        <v>2500</v>
      </c>
      <c r="V36" s="32" t="n">
        <v>0</v>
      </c>
      <c r="W36" s="28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2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2">
        <f>Y35+X36</f>
        <v/>
      </c>
      <c r="Z36" s="33">
        <f>IF(OR(Q36="",R36=""),"",(L36-IF(Q36&gt;R36,1,0))^2+(M36-IF(Q36=R36,1,0))^2+(N36-IF(Q36&lt;R36,1,0))^2)</f>
        <v/>
      </c>
      <c r="AA36" s="33">
        <f>IF(OR(Q36="",R36="",F36="",F36=0,G36="",G36=0,H36="",H36=0),"",((1/F36/(1/F36+1/G36+1/H36))-IF(Q36&gt;R36,1,0))^2+((1/G36/(1/F36+1/G36+1/H36))-IF(Q36=R36,1,0))^2+((1/H36/(1/F36+1/G36+1/H36))-IF(Q36&lt;R36,1,0))^2)</f>
        <v/>
      </c>
      <c r="AB36" s="34" t="n">
        <v>0.8495</v>
      </c>
      <c r="AC36" s="30" t="inlineStr">
        <is>
          <t>NO</t>
        </is>
      </c>
    </row>
    <row r="37">
      <c r="A37" s="27" t="n">
        <v>46102</v>
      </c>
      <c r="B37" s="28" t="inlineStr">
        <is>
          <t>2026-03-21velezsarsfieldlanus</t>
        </is>
      </c>
      <c r="C37" s="28" t="inlineStr">
        <is>
          <t>Vélez Sarsfield vs Lanús</t>
        </is>
      </c>
      <c r="D37" s="28" t="inlineStr">
        <is>
          <t>Vélez Sarsfield</t>
        </is>
      </c>
      <c r="E37" s="28" t="inlineStr">
        <is>
          <t>Lanús</t>
        </is>
      </c>
      <c r="F37" s="29" t="n">
        <v>2.2</v>
      </c>
      <c r="G37" s="29" t="n">
        <v>3.1</v>
      </c>
      <c r="H37" s="29" t="n">
        <v>4</v>
      </c>
      <c r="I37" s="29" t="n">
        <v>2.75</v>
      </c>
      <c r="J37" s="29" t="n">
        <v>1.47</v>
      </c>
      <c r="K37" s="30" t="inlineStr">
        <is>
          <t>Argentina</t>
        </is>
      </c>
      <c r="L37" s="31" t="n">
        <v>0.3846617080054454</v>
      </c>
      <c r="M37" s="31" t="n">
        <v>0.2892306494942386</v>
      </c>
      <c r="N37" s="31" t="n">
        <v>0.326107642500316</v>
      </c>
      <c r="O37" s="31" t="n">
        <v>0.4329010012935023</v>
      </c>
      <c r="P37" s="31" t="n">
        <v>0.5670989987064977</v>
      </c>
      <c r="Q37" s="30" t="n">
        <v>0</v>
      </c>
      <c r="R37" s="30" t="n">
        <v>1</v>
      </c>
      <c r="S37" s="28" t="inlineStr">
        <is>
          <t>[PASAR] Floor Prob (33%&lt;33%)</t>
        </is>
      </c>
      <c r="T37" s="28" t="inlineStr">
        <is>
          <t>[PASAR] xG Margen Insuf (2.41, delta=0.09&lt;0.25)</t>
        </is>
      </c>
      <c r="U37" s="32" t="n">
        <v>0</v>
      </c>
      <c r="V37" s="32" t="n">
        <v>0</v>
      </c>
      <c r="W37" s="28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2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2">
        <f>Y36+X37</f>
        <v/>
      </c>
      <c r="Z37" s="33">
        <f>IF(OR(Q37="",R37=""),"",(L37-IF(Q37&gt;R37,1,0))^2+(M37-IF(Q37=R37,1,0))^2+(N37-IF(Q37&lt;R37,1,0))^2)</f>
        <v/>
      </c>
      <c r="AA37" s="33">
        <f>IF(OR(Q37="",R37="",F37="",F37=0,G37="",G37=0,H37="",H37=0),"",((1/F37/(1/F37+1/G37+1/H37))-IF(Q37&gt;R37,1,0))^2+((1/G37/(1/F37+1/G37+1/H37))-IF(Q37=R37,1,0))^2+((1/H37/(1/F37+1/G37+1/H37))-IF(Q37&lt;R37,1,0))^2)</f>
        <v/>
      </c>
      <c r="AB37" s="34" t="n">
        <v>0.5455</v>
      </c>
      <c r="AC37" s="30" t="inlineStr">
        <is>
          <t>NO</t>
        </is>
      </c>
    </row>
    <row r="38">
      <c r="A38" s="27" t="n">
        <v>46102</v>
      </c>
      <c r="B38" s="28" t="inlineStr">
        <is>
          <t>2026-03-21vikingfkmolde</t>
        </is>
      </c>
      <c r="C38" s="28" t="inlineStr">
        <is>
          <t>Viking fk vs Molde</t>
        </is>
      </c>
      <c r="D38" s="28" t="inlineStr">
        <is>
          <t>Viking fk</t>
        </is>
      </c>
      <c r="E38" s="28" t="inlineStr">
        <is>
          <t>Molde</t>
        </is>
      </c>
      <c r="F38" s="29" t="n">
        <v>1.9</v>
      </c>
      <c r="G38" s="29" t="n">
        <v>4.1</v>
      </c>
      <c r="H38" s="29" t="n">
        <v>4.24</v>
      </c>
      <c r="I38" s="29" t="n">
        <v>1.44</v>
      </c>
      <c r="J38" s="29" t="n">
        <v>2.5</v>
      </c>
      <c r="K38" s="30" t="inlineStr">
        <is>
          <t>Noruega</t>
        </is>
      </c>
      <c r="L38" s="31" t="n">
        <v>0.5520694254248895</v>
      </c>
      <c r="M38" s="31" t="n">
        <v>0.2266510763334995</v>
      </c>
      <c r="N38" s="31" t="n">
        <v>0.221279498241611</v>
      </c>
      <c r="O38" s="31" t="n">
        <v>0.5937147479622737</v>
      </c>
      <c r="P38" s="31" t="n">
        <v>0.4062852520377261</v>
      </c>
      <c r="Q38" s="30" t="n">
        <v>4</v>
      </c>
      <c r="R38" s="30" t="n">
        <v>1</v>
      </c>
      <c r="S38" s="28">
        <f>IF(OR(Q38="",R38=""),"[APOSTAR] LOCAL",IF(Q38&gt;R38,"[GANADA] LOCAL","[PERDIDA] LOCAL"))</f>
        <v/>
      </c>
      <c r="T38" s="28" t="inlineStr">
        <is>
          <t>[PASAR] Sin Valor</t>
        </is>
      </c>
      <c r="U38" s="32" t="n">
        <v>2500</v>
      </c>
      <c r="V38" s="32" t="n">
        <v>0</v>
      </c>
      <c r="W38" s="28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2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2">
        <f>Y37+X38</f>
        <v/>
      </c>
      <c r="Z38" s="33">
        <f>IF(OR(Q38="",R38=""),"",(L38-IF(Q38&gt;R38,1,0))^2+(M38-IF(Q38=R38,1,0))^2+(N38-IF(Q38&lt;R38,1,0))^2)</f>
        <v/>
      </c>
      <c r="AA38" s="33">
        <f>IF(OR(Q38="",R38="",F38="",F38=0,G38="",G38=0,H38="",H38=0),"",((1/F38/(1/F38+1/G38+1/H38))-IF(Q38&gt;R38,1,0))^2+((1/G38/(1/F38+1/G38+1/H38))-IF(Q38=R38,1,0))^2+((1/H38/(1/F38+1/G38+1/H38))-IF(Q38&lt;R38,1,0))^2)</f>
        <v/>
      </c>
      <c r="AB38" s="34" t="n">
        <v>0.7687</v>
      </c>
      <c r="AC38" s="30" t="inlineStr">
        <is>
          <t>NO</t>
        </is>
      </c>
    </row>
    <row r="39">
      <c r="A39" s="27" t="n">
        <v>46103</v>
      </c>
      <c r="B39" s="28" t="inlineStr">
        <is>
          <t>2026-03-22astonvillawesthamunited</t>
        </is>
      </c>
      <c r="C39" s="28" t="inlineStr">
        <is>
          <t>Aston Villa vs West Ham United</t>
        </is>
      </c>
      <c r="D39" s="28" t="inlineStr">
        <is>
          <t>Aston Villa</t>
        </is>
      </c>
      <c r="E39" s="28" t="inlineStr">
        <is>
          <t>West Ham United</t>
        </is>
      </c>
      <c r="F39" s="29" t="n">
        <v>2.04</v>
      </c>
      <c r="G39" s="29" t="n">
        <v>3.77</v>
      </c>
      <c r="H39" s="29" t="n">
        <v>4.16</v>
      </c>
      <c r="I39" s="29" t="n">
        <v>1.89</v>
      </c>
      <c r="J39" s="29" t="n">
        <v>2.11</v>
      </c>
      <c r="K39" s="30" t="inlineStr">
        <is>
          <t>Inglaterra</t>
        </is>
      </c>
      <c r="L39" s="31" t="n">
        <v>0.4928664544249471</v>
      </c>
      <c r="M39" s="31" t="n">
        <v>0.2525110804175839</v>
      </c>
      <c r="N39" s="31" t="n">
        <v>0.2546224651574689</v>
      </c>
      <c r="O39" s="31" t="n">
        <v>0.5308988957465525</v>
      </c>
      <c r="P39" s="31" t="n">
        <v>0.4691011042534474</v>
      </c>
      <c r="Q39" s="30" t="n">
        <v>2</v>
      </c>
      <c r="R39" s="30" t="n">
        <v>0</v>
      </c>
      <c r="S39" s="28" t="inlineStr">
        <is>
          <t>[PASAR] Floor Prob (25%&lt;33%)</t>
        </is>
      </c>
      <c r="T39" s="28" t="inlineStr">
        <is>
          <t>[PASAR] Sin Valor</t>
        </is>
      </c>
      <c r="U39" s="32" t="n">
        <v>0</v>
      </c>
      <c r="V39" s="32" t="n">
        <v>0</v>
      </c>
      <c r="W39" s="28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2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2">
        <f>Y38+X39</f>
        <v/>
      </c>
      <c r="Z39" s="33">
        <f>IF(OR(Q39="",R39=""),"",(L39-IF(Q39&gt;R39,1,0))^2+(M39-IF(Q39=R39,1,0))^2+(N39-IF(Q39&lt;R39,1,0))^2)</f>
        <v/>
      </c>
      <c r="AA39" s="33">
        <f>IF(OR(Q39="",R39="",F39="",F39=0,G39="",G39=0,H39="",H39=0),"",((1/F39/(1/F39+1/G39+1/H39))-IF(Q39&gt;R39,1,0))^2+((1/G39/(1/F39+1/G39+1/H39))-IF(Q39=R39,1,0))^2+((1/H39/(1/F39+1/G39+1/H39))-IF(Q39&lt;R39,1,0))^2)</f>
        <v/>
      </c>
      <c r="AB39" s="34" t="n">
        <v>0.7591</v>
      </c>
      <c r="AC39" s="30" t="inlineStr">
        <is>
          <t>NO</t>
        </is>
      </c>
    </row>
    <row r="40">
      <c r="A40" s="27" t="n">
        <v>46103</v>
      </c>
      <c r="B40" s="28" t="inlineStr">
        <is>
          <t>2026-03-22athleticoparanaensecoritiba</t>
        </is>
      </c>
      <c r="C40" s="28" t="inlineStr">
        <is>
          <t>Athletico Paranaense vs Coritiba</t>
        </is>
      </c>
      <c r="D40" s="28" t="inlineStr">
        <is>
          <t>Athletico Paranaense</t>
        </is>
      </c>
      <c r="E40" s="28" t="inlineStr">
        <is>
          <t>Coritiba</t>
        </is>
      </c>
      <c r="F40" s="29" t="n">
        <v>2.05</v>
      </c>
      <c r="G40" s="29" t="n">
        <v>3.4</v>
      </c>
      <c r="H40" s="29" t="n">
        <v>4.31</v>
      </c>
      <c r="I40" s="29" t="n">
        <v>2.23</v>
      </c>
      <c r="J40" s="29" t="n">
        <v>1.68</v>
      </c>
      <c r="K40" s="30" t="inlineStr">
        <is>
          <t>Brasil</t>
        </is>
      </c>
      <c r="L40" s="31" t="n">
        <v>0.4325257967730947</v>
      </c>
      <c r="M40" s="31" t="n">
        <v>0.2666484292202701</v>
      </c>
      <c r="N40" s="31" t="n">
        <v>0.3008257740066352</v>
      </c>
      <c r="O40" s="31" t="n">
        <v>0.4998597255701074</v>
      </c>
      <c r="P40" s="31" t="n">
        <v>0.5001402744298925</v>
      </c>
      <c r="Q40" s="30" t="n">
        <v>2</v>
      </c>
      <c r="R40" s="30" t="n">
        <v>0</v>
      </c>
      <c r="S40" s="28" t="inlineStr">
        <is>
          <t>[PASAR] Floor Prob (30%&lt;33%)</t>
        </is>
      </c>
      <c r="T40" s="28" t="inlineStr">
        <is>
          <t>[PASAR] xG Margen Insuf (2.67, delta=0.17&lt;0.25)</t>
        </is>
      </c>
      <c r="U40" s="32" t="n">
        <v>0</v>
      </c>
      <c r="V40" s="32" t="n">
        <v>0</v>
      </c>
      <c r="W40" s="28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2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2">
        <f>Y39+X40</f>
        <v/>
      </c>
      <c r="Z40" s="33">
        <f>IF(OR(Q40="",R40=""),"",(L40-IF(Q40&gt;R40,1,0))^2+(M40-IF(Q40=R40,1,0))^2+(N40-IF(Q40&lt;R40,1,0))^2)</f>
        <v/>
      </c>
      <c r="AA40" s="33">
        <f>IF(OR(Q40="",R40="",F40="",F40=0,G40="",G40=0,H40="",H40=0),"",((1/F40/(1/F40+1/G40+1/H40))-IF(Q40&gt;R40,1,0))^2+((1/G40/(1/F40+1/G40+1/H40))-IF(Q40=R40,1,0))^2+((1/H40/(1/F40+1/G40+1/H40))-IF(Q40&lt;R40,1,0))^2)</f>
        <v/>
      </c>
      <c r="AB40" s="34" t="n">
        <v>0.5407999999999999</v>
      </c>
      <c r="AC40" s="30" t="inlineStr">
        <is>
          <t>NO</t>
        </is>
      </c>
    </row>
    <row r="41">
      <c r="A41" s="27" t="n">
        <v>46103</v>
      </c>
      <c r="B41" s="28" t="inlineStr">
        <is>
          <t>2026-03-22belgranocordobaracingclub</t>
        </is>
      </c>
      <c r="C41" s="28" t="inlineStr">
        <is>
          <t>Belgrano (córdoba) vs Racing Club</t>
        </is>
      </c>
      <c r="D41" s="28" t="inlineStr">
        <is>
          <t>Belgrano (córdoba)</t>
        </is>
      </c>
      <c r="E41" s="28" t="inlineStr">
        <is>
          <t>Racing Club</t>
        </is>
      </c>
      <c r="F41" s="29" t="n">
        <v>2.88</v>
      </c>
      <c r="G41" s="29" t="n">
        <v>3.1</v>
      </c>
      <c r="H41" s="29" t="n">
        <v>2.95</v>
      </c>
      <c r="I41" s="29" t="n">
        <v>2.7</v>
      </c>
      <c r="J41" s="29" t="n">
        <v>1.52</v>
      </c>
      <c r="K41" s="30" t="inlineStr">
        <is>
          <t>Argentina</t>
        </is>
      </c>
      <c r="L41" s="31" t="n">
        <v>0.3562294018228677</v>
      </c>
      <c r="M41" s="31" t="n">
        <v>0.2885062220759475</v>
      </c>
      <c r="N41" s="31" t="n">
        <v>0.3552643761011849</v>
      </c>
      <c r="O41" s="31" t="n">
        <v>0.4381085945823797</v>
      </c>
      <c r="P41" s="31" t="n">
        <v>0.5618914054176203</v>
      </c>
      <c r="Q41" s="30" t="n">
        <v>1</v>
      </c>
      <c r="R41" s="30" t="n">
        <v>2</v>
      </c>
      <c r="S41" s="28" t="inlineStr">
        <is>
          <t>[PASAR] Margen Predictivo Insuficiente (&lt;5%)</t>
        </is>
      </c>
      <c r="T41" s="28" t="inlineStr">
        <is>
          <t>[PASAR] xG Margen Insuf (2.43, delta=0.07&lt;0.25)</t>
        </is>
      </c>
      <c r="U41" s="32" t="n">
        <v>0</v>
      </c>
      <c r="V41" s="32" t="n">
        <v>0</v>
      </c>
      <c r="W41" s="28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2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2">
        <f>Y40+X41</f>
        <v/>
      </c>
      <c r="Z41" s="33">
        <f>IF(OR(Q41="",R41=""),"",(L41-IF(Q41&gt;R41,1,0))^2+(M41-IF(Q41=R41,1,0))^2+(N41-IF(Q41&lt;R41,1,0))^2)</f>
        <v/>
      </c>
      <c r="AA41" s="33">
        <f>IF(OR(Q41="",R41="",F41="",F41=0,G41="",G41=0,H41="",H41=0),"",((1/F41/(1/F41+1/G41+1/H41))-IF(Q41&gt;R41,1,0))^2+((1/G41/(1/F41+1/G41+1/H41))-IF(Q41=R41,1,0))^2+((1/H41/(1/F41+1/G41+1/H41))-IF(Q41&lt;R41,1,0))^2)</f>
        <v/>
      </c>
      <c r="AB41" s="34" t="n">
        <v>0.6309</v>
      </c>
      <c r="AC41" s="30" t="inlineStr">
        <is>
          <t>NO</t>
        </is>
      </c>
    </row>
    <row r="42">
      <c r="A42" s="27" t="n">
        <v>46103</v>
      </c>
      <c r="B42" s="28" t="inlineStr">
        <is>
          <t>2026-03-22bocajuniorsinstitutocordoba</t>
        </is>
      </c>
      <c r="C42" s="28" t="inlineStr">
        <is>
          <t>Boca Juniors vs Instituto (córdoba)</t>
        </is>
      </c>
      <c r="D42" s="28" t="inlineStr">
        <is>
          <t>Boca Juniors</t>
        </is>
      </c>
      <c r="E42" s="28" t="inlineStr">
        <is>
          <t>Instituto (córdoba)</t>
        </is>
      </c>
      <c r="F42" s="29" t="n">
        <v>1.8</v>
      </c>
      <c r="G42" s="29" t="n">
        <v>3.4</v>
      </c>
      <c r="H42" s="29" t="n">
        <v>5.75</v>
      </c>
      <c r="I42" s="29" t="n">
        <v>2.72</v>
      </c>
      <c r="J42" s="29" t="n">
        <v>1.49</v>
      </c>
      <c r="K42" s="30" t="inlineStr">
        <is>
          <t>Argentina</t>
        </is>
      </c>
      <c r="L42" s="31" t="n">
        <v>0.472331218913578</v>
      </c>
      <c r="M42" s="31" t="n">
        <v>0.2890517182043581</v>
      </c>
      <c r="N42" s="31" t="n">
        <v>0.2386170628820639</v>
      </c>
      <c r="O42" s="31" t="n">
        <v>0.3963885637853248</v>
      </c>
      <c r="P42" s="31" t="n">
        <v>0.6036114362146752</v>
      </c>
      <c r="Q42" s="30" t="n">
        <v>2</v>
      </c>
      <c r="R42" s="30" t="n">
        <v>0</v>
      </c>
      <c r="S42" s="28" t="inlineStr">
        <is>
          <t>[PASAR] Riesgo/Beneficio</t>
        </is>
      </c>
      <c r="T42" s="28" t="inlineStr">
        <is>
          <t>[PASAR] xG Margen Insuf (2.27, delta=0.23&lt;0.25)</t>
        </is>
      </c>
      <c r="U42" s="32" t="n">
        <v>0</v>
      </c>
      <c r="V42" s="32" t="n">
        <v>0</v>
      </c>
      <c r="W42" s="28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2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2">
        <f>Y41+X42</f>
        <v/>
      </c>
      <c r="Z42" s="33">
        <f>IF(OR(Q42="",R42=""),"",(L42-IF(Q42&gt;R42,1,0))^2+(M42-IF(Q42=R42,1,0))^2+(N42-IF(Q42&lt;R42,1,0))^2)</f>
        <v/>
      </c>
      <c r="AA42" s="33">
        <f>IF(OR(Q42="",R42="",F42="",F42=0,G42="",G42=0,H42="",H42=0),"",((1/F42/(1/F42+1/G42+1/H42))-IF(Q42&gt;R42,1,0))^2+((1/G42/(1/F42+1/G42+1/H42))-IF(Q42=R42,1,0))^2+((1/H42/(1/F42+1/G42+1/H42))-IF(Q42&lt;R42,1,0))^2)</f>
        <v/>
      </c>
      <c r="AB42" s="34" t="n">
        <v>0.6121</v>
      </c>
      <c r="AC42" s="30" t="inlineStr">
        <is>
          <t>NO</t>
        </is>
      </c>
    </row>
    <row r="43">
      <c r="A43" s="27" t="n">
        <v>46103</v>
      </c>
      <c r="B43" s="28" t="inlineStr">
        <is>
          <t>2026-03-22corinthiansflamengo</t>
        </is>
      </c>
      <c r="C43" s="28" t="inlineStr">
        <is>
          <t>Corinthians vs Flamengo</t>
        </is>
      </c>
      <c r="D43" s="28" t="inlineStr">
        <is>
          <t>Corinthians</t>
        </is>
      </c>
      <c r="E43" s="28" t="inlineStr">
        <is>
          <t>Flamengo</t>
        </is>
      </c>
      <c r="F43" s="29" t="n">
        <v>3.74</v>
      </c>
      <c r="G43" s="29" t="n">
        <v>3.3</v>
      </c>
      <c r="H43" s="29" t="n">
        <v>2.18</v>
      </c>
      <c r="I43" s="29" t="n">
        <v>2.31</v>
      </c>
      <c r="J43" s="29" t="n">
        <v>1.65</v>
      </c>
      <c r="K43" s="30" t="inlineStr">
        <is>
          <t>Brasil</t>
        </is>
      </c>
      <c r="L43" s="31" t="n">
        <v>0.3931238580672648</v>
      </c>
      <c r="M43" s="31" t="n">
        <v>0.2612093373656894</v>
      </c>
      <c r="N43" s="31" t="n">
        <v>0.3456668045670458</v>
      </c>
      <c r="O43" s="31" t="n">
        <v>0.5350607893625914</v>
      </c>
      <c r="P43" s="31" t="n">
        <v>0.4649392106374086</v>
      </c>
      <c r="Q43" s="30" t="n">
        <v>1</v>
      </c>
      <c r="R43" s="30" t="n">
        <v>1</v>
      </c>
      <c r="S43" s="28">
        <f>IF(OR(Q43="",R43=""),"[APOSTAR] LOCAL",IF(Q43&gt;R43,"[GANADA] LOCAL","[PERDIDA] LOCAL"))</f>
        <v/>
      </c>
      <c r="T43" s="28" t="inlineStr">
        <is>
          <t>[PASAR] Sin Valor</t>
        </is>
      </c>
      <c r="U43" s="32" t="n">
        <v>1250</v>
      </c>
      <c r="V43" s="32" t="n">
        <v>0</v>
      </c>
      <c r="W43" s="28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2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2">
        <f>Y42+X43</f>
        <v/>
      </c>
      <c r="Z43" s="33">
        <f>IF(OR(Q43="",R43=""),"",(L43-IF(Q43&gt;R43,1,0))^2+(M43-IF(Q43=R43,1,0))^2+(N43-IF(Q43&lt;R43,1,0))^2)</f>
        <v/>
      </c>
      <c r="AA43" s="33">
        <f>IF(OR(Q43="",R43="",F43="",F43=0,G43="",G43=0,H43="",H43=0),"",((1/F43/(1/F43+1/G43+1/H43))-IF(Q43&gt;R43,1,0))^2+((1/G43/(1/F43+1/G43+1/H43))-IF(Q43=R43,1,0))^2+((1/H43/(1/F43+1/G43+1/H43))-IF(Q43&lt;R43,1,0))^2)</f>
        <v/>
      </c>
      <c r="AB43" s="34" t="n">
        <v>0.7604</v>
      </c>
      <c r="AC43" s="30" t="inlineStr">
        <is>
          <t>NO</t>
        </is>
      </c>
    </row>
    <row r="44">
      <c r="A44" s="27" t="n">
        <v>46103</v>
      </c>
      <c r="B44" s="28" t="inlineStr">
        <is>
          <t>2026-03-22cruzeirosantos</t>
        </is>
      </c>
      <c r="C44" s="28" t="inlineStr">
        <is>
          <t>Cruzeiro vs Santos</t>
        </is>
      </c>
      <c r="D44" s="28" t="inlineStr">
        <is>
          <t>Cruzeiro</t>
        </is>
      </c>
      <c r="E44" s="28" t="inlineStr">
        <is>
          <t>Santos</t>
        </is>
      </c>
      <c r="F44" s="29" t="n">
        <v>1.94</v>
      </c>
      <c r="G44" s="29" t="n">
        <v>3.6</v>
      </c>
      <c r="H44" s="29" t="n">
        <v>4.42</v>
      </c>
      <c r="I44" s="29" t="n">
        <v>2.05</v>
      </c>
      <c r="J44" s="29" t="n">
        <v>1.81</v>
      </c>
      <c r="K44" s="30" t="inlineStr">
        <is>
          <t>Brasil</t>
        </is>
      </c>
      <c r="L44" s="31" t="n">
        <v>0.4949402584051957</v>
      </c>
      <c r="M44" s="31" t="n">
        <v>0.2384619846153782</v>
      </c>
      <c r="N44" s="31" t="n">
        <v>0.2665977569794261</v>
      </c>
      <c r="O44" s="31" t="n">
        <v>0.5985032908303799</v>
      </c>
      <c r="P44" s="31" t="n">
        <v>0.4014967091696201</v>
      </c>
      <c r="Q44" s="30" t="n">
        <v>0</v>
      </c>
      <c r="R44" s="30" t="n">
        <v>0</v>
      </c>
      <c r="S44" s="28" t="inlineStr">
        <is>
          <t>[PASAR] Floor Prob (27%&lt;33%)</t>
        </is>
      </c>
      <c r="T44" s="28" t="inlineStr">
        <is>
          <t>[PASAR] Sin Valor</t>
        </is>
      </c>
      <c r="U44" s="32" t="n">
        <v>0</v>
      </c>
      <c r="V44" s="32" t="n">
        <v>0</v>
      </c>
      <c r="W44" s="28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2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2">
        <f>Y43+X44</f>
        <v/>
      </c>
      <c r="Z44" s="33">
        <f>IF(OR(Q44="",R44=""),"",(L44-IF(Q44&gt;R44,1,0))^2+(M44-IF(Q44=R44,1,0))^2+(N44-IF(Q44&lt;R44,1,0))^2)</f>
        <v/>
      </c>
      <c r="AA44" s="33">
        <f>IF(OR(Q44="",R44="",F44="",F44=0,G44="",G44=0,H44="",H44=0),"",((1/F44/(1/F44+1/G44+1/H44))-IF(Q44&gt;R44,1,0))^2+((1/G44/(1/F44+1/G44+1/H44))-IF(Q44=R44,1,0))^2+((1/H44/(1/F44+1/G44+1/H44))-IF(Q44&lt;R44,1,0))^2)</f>
        <v/>
      </c>
      <c r="AB44" s="34" t="n">
        <v>0.7753</v>
      </c>
      <c r="AC44" s="30" t="inlineStr">
        <is>
          <t>NO</t>
        </is>
      </c>
    </row>
    <row r="45">
      <c r="A45" s="27" t="n">
        <v>46103</v>
      </c>
      <c r="B45" s="28" t="inlineStr">
        <is>
          <t>2026-03-22estudiantesderiocuartoriverplate</t>
        </is>
      </c>
      <c r="C45" s="28" t="inlineStr">
        <is>
          <t>Estudiantes de Río Cuarto vs River Plate</t>
        </is>
      </c>
      <c r="D45" s="28" t="inlineStr">
        <is>
          <t>Estudiantes de Río Cuarto</t>
        </is>
      </c>
      <c r="E45" s="28" t="inlineStr">
        <is>
          <t>River Plate</t>
        </is>
      </c>
      <c r="F45" s="29" t="n">
        <v>5.96</v>
      </c>
      <c r="G45" s="29" t="n">
        <v>3.55</v>
      </c>
      <c r="H45" s="29" t="n">
        <v>1.75</v>
      </c>
      <c r="I45" s="29" t="n">
        <v>2.38</v>
      </c>
      <c r="J45" s="29" t="n">
        <v>1.64</v>
      </c>
      <c r="K45" s="30" t="inlineStr">
        <is>
          <t>Argentina</t>
        </is>
      </c>
      <c r="L45" s="31" t="n">
        <v>0.3301149312056603</v>
      </c>
      <c r="M45" s="31" t="n">
        <v>0.2966507528014525</v>
      </c>
      <c r="N45" s="31" t="n">
        <v>0.3732343159928871</v>
      </c>
      <c r="O45" s="31" t="n">
        <v>0.4070079729829673</v>
      </c>
      <c r="P45" s="31" t="n">
        <v>0.5929920270170328</v>
      </c>
      <c r="Q45" s="30" t="n">
        <v>0</v>
      </c>
      <c r="R45" s="30" t="n">
        <v>2</v>
      </c>
      <c r="S45" s="28" t="inlineStr">
        <is>
          <t>[PASAR] Riesgo/Beneficio</t>
        </is>
      </c>
      <c r="T45" s="28" t="inlineStr">
        <is>
          <t>[PASAR] xG Margen Insuf (2.31, delta=0.19&lt;0.25)</t>
        </is>
      </c>
      <c r="U45" s="32" t="n">
        <v>0</v>
      </c>
      <c r="V45" s="32" t="n">
        <v>0</v>
      </c>
      <c r="W45" s="28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2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2">
        <f>Y44+X45</f>
        <v/>
      </c>
      <c r="Z45" s="33">
        <f>IF(OR(Q45="",R45=""),"",(L45-IF(Q45&gt;R45,1,0))^2+(M45-IF(Q45=R45,1,0))^2+(N45-IF(Q45&lt;R45,1,0))^2)</f>
        <v/>
      </c>
      <c r="AA45" s="33">
        <f>IF(OR(Q45="",R45="",F45="",F45=0,G45="",G45=0,H45="",H45=0),"",((1/F45/(1/F45+1/G45+1/H45))-IF(Q45&gt;R45,1,0))^2+((1/G45/(1/F45+1/G45+1/H45))-IF(Q45=R45,1,0))^2+((1/H45/(1/F45+1/G45+1/H45))-IF(Q45&lt;R45,1,0))^2)</f>
        <v/>
      </c>
      <c r="AB45" s="34" t="n">
        <v>0.6315</v>
      </c>
      <c r="AC45" s="30" t="inlineStr">
        <is>
          <t>NO</t>
        </is>
      </c>
    </row>
    <row r="46">
      <c r="A46" s="27" t="n">
        <v>46103</v>
      </c>
      <c r="B46" s="28" t="inlineStr">
        <is>
          <t>2026-03-22fredrikstadkfumoslo</t>
        </is>
      </c>
      <c r="C46" s="28" t="inlineStr">
        <is>
          <t>Fredrikstad vs Kfum Oslo</t>
        </is>
      </c>
      <c r="D46" s="28" t="inlineStr">
        <is>
          <t>Fredrikstad</t>
        </is>
      </c>
      <c r="E46" s="28" t="inlineStr">
        <is>
          <t>Kfum Oslo</t>
        </is>
      </c>
      <c r="F46" s="29" t="n">
        <v>2.38</v>
      </c>
      <c r="G46" s="29" t="n">
        <v>3.3</v>
      </c>
      <c r="H46" s="29" t="n">
        <v>3.22</v>
      </c>
      <c r="I46" s="29" t="n">
        <v>2.15</v>
      </c>
      <c r="J46" s="29" t="n">
        <v>1.76</v>
      </c>
      <c r="K46" s="30" t="inlineStr">
        <is>
          <t>Noruega</t>
        </is>
      </c>
      <c r="L46" s="31" t="n">
        <v>0.3783673362548702</v>
      </c>
      <c r="M46" s="31" t="n">
        <v>0.2603108873463264</v>
      </c>
      <c r="N46" s="31" t="n">
        <v>0.3613217763988035</v>
      </c>
      <c r="O46" s="31" t="n">
        <v>0.5270806894054612</v>
      </c>
      <c r="P46" s="31" t="n">
        <v>0.4729193105945388</v>
      </c>
      <c r="Q46" s="30" t="n">
        <v>3</v>
      </c>
      <c r="R46" s="30" t="n">
        <v>1</v>
      </c>
      <c r="S46" s="28" t="inlineStr">
        <is>
          <t>[PASAR] Margen Predictivo Insuficiente (&lt;5%)</t>
        </is>
      </c>
      <c r="T46" s="28" t="inlineStr">
        <is>
          <t>[PASAR] Sin Valor</t>
        </is>
      </c>
      <c r="U46" s="32" t="n">
        <v>0</v>
      </c>
      <c r="V46" s="32" t="n">
        <v>0</v>
      </c>
      <c r="W46" s="28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2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2">
        <f>Y45+X46</f>
        <v/>
      </c>
      <c r="Z46" s="33">
        <f>IF(OR(Q46="",R46=""),"",(L46-IF(Q46&gt;R46,1,0))^2+(M46-IF(Q46=R46,1,0))^2+(N46-IF(Q46&lt;R46,1,0))^2)</f>
        <v/>
      </c>
      <c r="AA46" s="33">
        <f>IF(OR(Q46="",R46="",F46="",F46=0,G46="",G46=0,H46="",H46=0),"",((1/F46/(1/F46+1/G46+1/H46))-IF(Q46&gt;R46,1,0))^2+((1/G46/(1/F46+1/G46+1/H46))-IF(Q46=R46,1,0))^2+((1/H46/(1/F46+1/G46+1/H46))-IF(Q46&lt;R46,1,0))^2)</f>
        <v/>
      </c>
      <c r="AB46" s="34" t="n">
        <v>0.6645</v>
      </c>
      <c r="AC46" s="30" t="inlineStr">
        <is>
          <t>NO</t>
        </is>
      </c>
    </row>
    <row r="47">
      <c r="A47" s="27" t="n">
        <v>46103</v>
      </c>
      <c r="B47" s="28" t="inlineStr">
        <is>
          <t>2026-03-22internacionalchapecoense</t>
        </is>
      </c>
      <c r="C47" s="28" t="inlineStr">
        <is>
          <t>Internacional vs Chapecoense</t>
        </is>
      </c>
      <c r="D47" s="28" t="inlineStr">
        <is>
          <t>Internacional</t>
        </is>
      </c>
      <c r="E47" s="28" t="inlineStr">
        <is>
          <t>Chapecoense</t>
        </is>
      </c>
      <c r="F47" s="29" t="n">
        <v>1.6</v>
      </c>
      <c r="G47" s="29" t="n">
        <v>4.36</v>
      </c>
      <c r="H47" s="29" t="n">
        <v>8.199999999999999</v>
      </c>
      <c r="I47" s="29" t="n">
        <v>1.93</v>
      </c>
      <c r="J47" s="29" t="n">
        <v>2.04</v>
      </c>
      <c r="K47" s="30" t="inlineStr">
        <is>
          <t>Brasil</t>
        </is>
      </c>
      <c r="L47" s="31" t="n">
        <v>0.4766029423588835</v>
      </c>
      <c r="M47" s="31" t="n">
        <v>0.2464959847328186</v>
      </c>
      <c r="N47" s="31" t="n">
        <v>0.276901072908298</v>
      </c>
      <c r="O47" s="31" t="n">
        <v>0.5709537516820591</v>
      </c>
      <c r="P47" s="31" t="n">
        <v>0.4290462483179409</v>
      </c>
      <c r="Q47" s="30" t="n">
        <v>2</v>
      </c>
      <c r="R47" s="30" t="n">
        <v>0</v>
      </c>
      <c r="S47" s="28" t="inlineStr">
        <is>
          <t>[PASAR] Riesgo/Beneficio</t>
        </is>
      </c>
      <c r="T47" s="28" t="inlineStr">
        <is>
          <t>[PASAR] Sin Valor</t>
        </is>
      </c>
      <c r="U47" s="32" t="n">
        <v>0</v>
      </c>
      <c r="V47" s="32" t="n">
        <v>0</v>
      </c>
      <c r="W47" s="28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2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2">
        <f>Y46+X47</f>
        <v/>
      </c>
      <c r="Z47" s="33">
        <f>IF(OR(Q47="",R47=""),"",(L47-IF(Q47&gt;R47,1,0))^2+(M47-IF(Q47=R47,1,0))^2+(N47-IF(Q47&lt;R47,1,0))^2)</f>
        <v/>
      </c>
      <c r="AA47" s="33">
        <f>IF(OR(Q47="",R47="",F47="",F47=0,G47="",G47=0,H47="",H47=0),"",((1/F47/(1/F47+1/G47+1/H47))-IF(Q47&gt;R47,1,0))^2+((1/G47/(1/F47+1/G47+1/H47))-IF(Q47=R47,1,0))^2+((1/H47/(1/F47+1/G47+1/H47))-IF(Q47&lt;R47,1,0))^2)</f>
        <v/>
      </c>
      <c r="AB47" s="34" t="n">
        <v>0.6413</v>
      </c>
      <c r="AC47" s="30" t="inlineStr">
        <is>
          <t>NO</t>
        </is>
      </c>
    </row>
    <row r="48">
      <c r="A48" s="27" t="n">
        <v>46103</v>
      </c>
      <c r="B48" s="28" t="inlineStr">
        <is>
          <t>2026-03-22newcastleunitedsunderland</t>
        </is>
      </c>
      <c r="C48" s="28" t="inlineStr">
        <is>
          <t>Newcastle United vs Sunderland</t>
        </is>
      </c>
      <c r="D48" s="28" t="inlineStr">
        <is>
          <t>Newcastle United</t>
        </is>
      </c>
      <c r="E48" s="28" t="inlineStr">
        <is>
          <t>Sunderland</t>
        </is>
      </c>
      <c r="F48" s="29" t="n">
        <v>1.74</v>
      </c>
      <c r="G48" s="29" t="n">
        <v>4.2</v>
      </c>
      <c r="H48" s="29" t="n">
        <v>5.6</v>
      </c>
      <c r="I48" s="29" t="n">
        <v>1.96</v>
      </c>
      <c r="J48" s="29" t="n">
        <v>2.02</v>
      </c>
      <c r="K48" s="30" t="inlineStr">
        <is>
          <t>Inglaterra</t>
        </is>
      </c>
      <c r="L48" s="31" t="n">
        <v>0.4508549739721156</v>
      </c>
      <c r="M48" s="31" t="n">
        <v>0.2538639291312507</v>
      </c>
      <c r="N48" s="31" t="n">
        <v>0.2952810968966337</v>
      </c>
      <c r="O48" s="31" t="n">
        <v>0.5513673051023443</v>
      </c>
      <c r="P48" s="31" t="n">
        <v>0.4486326948976557</v>
      </c>
      <c r="Q48" s="30" t="n">
        <v>1</v>
      </c>
      <c r="R48" s="30" t="n">
        <v>2</v>
      </c>
      <c r="S48" s="28" t="inlineStr">
        <is>
          <t>[PASAR] Riesgo/Beneficio</t>
        </is>
      </c>
      <c r="T48" s="28">
        <f>IF(OR(Q48="",R48=""),"[APOSTAR] OVER 2.5",IF((Q48+R48)&gt;2.5,"[GANADA] OVER 2.5","[PERDIDA] OVER 2.5"))</f>
        <v/>
      </c>
      <c r="U48" s="32" t="n">
        <v>0</v>
      </c>
      <c r="V48" s="32" t="n">
        <v>1767.77</v>
      </c>
      <c r="W48" s="28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2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2">
        <f>Y47+X48</f>
        <v/>
      </c>
      <c r="Z48" s="33">
        <f>IF(OR(Q48="",R48=""),"",(L48-IF(Q48&gt;R48,1,0))^2+(M48-IF(Q48=R48,1,0))^2+(N48-IF(Q48&lt;R48,1,0))^2)</f>
        <v/>
      </c>
      <c r="AA48" s="33">
        <f>IF(OR(Q48="",R48="",F48="",F48=0,G48="",G48=0,H48="",H48=0),"",((1/F48/(1/F48+1/G48+1/H48))-IF(Q48&gt;R48,1,0))^2+((1/G48/(1/F48+1/G48+1/H48))-IF(Q48=R48,1,0))^2+((1/H48/(1/F48+1/G48+1/H48))-IF(Q48&lt;R48,1,0))^2)</f>
        <v/>
      </c>
      <c r="AB48" s="34" t="n">
        <v>0.6213</v>
      </c>
      <c r="AC48" s="30" t="inlineStr">
        <is>
          <t>NO</t>
        </is>
      </c>
    </row>
    <row r="49">
      <c r="A49" s="27" t="n">
        <v>46103</v>
      </c>
      <c r="B49" s="28" t="inlineStr">
        <is>
          <t>2026-03-22remobahia</t>
        </is>
      </c>
      <c r="C49" s="28" t="inlineStr">
        <is>
          <t>Remo vs Bahia</t>
        </is>
      </c>
      <c r="D49" s="28" t="inlineStr">
        <is>
          <t>Remo</t>
        </is>
      </c>
      <c r="E49" s="28" t="inlineStr">
        <is>
          <t>Bahia</t>
        </is>
      </c>
      <c r="F49" s="29" t="n">
        <v>3.69</v>
      </c>
      <c r="G49" s="29" t="n">
        <v>3.5</v>
      </c>
      <c r="H49" s="29" t="n">
        <v>2.28</v>
      </c>
      <c r="I49" s="29" t="n">
        <v>1.96</v>
      </c>
      <c r="J49" s="29" t="n">
        <v>2.01</v>
      </c>
      <c r="K49" s="30" t="inlineStr">
        <is>
          <t>Brasil</t>
        </is>
      </c>
      <c r="L49" s="31" t="n">
        <v>0.4732293327193446</v>
      </c>
      <c r="M49" s="31" t="n">
        <v>0.2488329350843732</v>
      </c>
      <c r="N49" s="31" t="n">
        <v>0.2779377321962822</v>
      </c>
      <c r="O49" s="31" t="n">
        <v>0.5616275155884431</v>
      </c>
      <c r="P49" s="31" t="n">
        <v>0.4383724844115568</v>
      </c>
      <c r="Q49" s="30" t="n">
        <v>4</v>
      </c>
      <c r="R49" s="30" t="n">
        <v>1</v>
      </c>
      <c r="S49" s="28">
        <f>IF(OR(Q49="",R49=""),"[APOSTAR] LOCAL",IF(Q49&gt;R49,"[GANADA] LOCAL","[PERDIDA] LOCAL"))</f>
        <v/>
      </c>
      <c r="T49" s="28" t="inlineStr">
        <is>
          <t>[PASAR] Sin Valor</t>
        </is>
      </c>
      <c r="U49" s="32" t="n">
        <v>1250</v>
      </c>
      <c r="V49" s="32" t="n">
        <v>0</v>
      </c>
      <c r="W49" s="28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2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2">
        <f>Y48+X49</f>
        <v/>
      </c>
      <c r="Z49" s="33">
        <f>IF(OR(Q49="",R49=""),"",(L49-IF(Q49&gt;R49,1,0))^2+(M49-IF(Q49=R49,1,0))^2+(N49-IF(Q49&lt;R49,1,0))^2)</f>
        <v/>
      </c>
      <c r="AA49" s="33">
        <f>IF(OR(Q49="",R49="",F49="",F49=0,G49="",G49=0,H49="",H49=0),"",((1/F49/(1/F49+1/G49+1/H49))-IF(Q49&gt;R49,1,0))^2+((1/G49/(1/F49+1/G49+1/H49))-IF(Q49=R49,1,0))^2+((1/H49/(1/F49+1/G49+1/H49))-IF(Q49&lt;R49,1,0))^2)</f>
        <v/>
      </c>
      <c r="AB49" s="34" t="n">
        <v>0.7503</v>
      </c>
      <c r="AC49" s="30" t="inlineStr">
        <is>
          <t>NO</t>
        </is>
      </c>
    </row>
    <row r="50">
      <c r="A50" s="27" t="n">
        <v>46103</v>
      </c>
      <c r="B50" s="28" t="inlineStr">
        <is>
          <t>2026-03-22rosenborgvalerenga</t>
        </is>
      </c>
      <c r="C50" s="28" t="inlineStr">
        <is>
          <t>Rosenborg vs Valerenga</t>
        </is>
      </c>
      <c r="D50" s="28" t="inlineStr">
        <is>
          <t>Rosenborg</t>
        </is>
      </c>
      <c r="E50" s="28" t="inlineStr">
        <is>
          <t>Valerenga</t>
        </is>
      </c>
      <c r="F50" s="29" t="n">
        <v>2.26</v>
      </c>
      <c r="G50" s="29" t="n">
        <v>3.85</v>
      </c>
      <c r="H50" s="29" t="n">
        <v>3.25</v>
      </c>
      <c r="I50" s="29" t="n">
        <v>1.58</v>
      </c>
      <c r="J50" s="29" t="n">
        <v>2.33</v>
      </c>
      <c r="K50" s="30" t="inlineStr">
        <is>
          <t>Noruega</t>
        </is>
      </c>
      <c r="L50" s="31" t="n">
        <v>0.4866934908317617</v>
      </c>
      <c r="M50" s="31" t="n">
        <v>0.2477732271558427</v>
      </c>
      <c r="N50" s="31" t="n">
        <v>0.2655332820123957</v>
      </c>
      <c r="O50" s="31" t="n">
        <v>0.5442511332454576</v>
      </c>
      <c r="P50" s="31" t="n">
        <v>0.4557488667545425</v>
      </c>
      <c r="Q50" s="30" t="n">
        <v>0</v>
      </c>
      <c r="R50" s="30" t="n">
        <v>2</v>
      </c>
      <c r="S50" s="28">
        <f>IF(OR(Q50="",R50=""),"[APOSTAR] LOCAL",IF(Q50&gt;R50,"[GANADA] LOCAL","[PERDIDA] LOCAL"))</f>
        <v/>
      </c>
      <c r="T50" s="28" t="inlineStr">
        <is>
          <t>[PASAR] Sin Valor</t>
        </is>
      </c>
      <c r="U50" s="32" t="n">
        <v>1767.77</v>
      </c>
      <c r="V50" s="32" t="n">
        <v>0</v>
      </c>
      <c r="W50" s="28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2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2">
        <f>Y49+X50</f>
        <v/>
      </c>
      <c r="Z50" s="33">
        <f>IF(OR(Q50="",R50=""),"",(L50-IF(Q50&gt;R50,1,0))^2+(M50-IF(Q50=R50,1,0))^2+(N50-IF(Q50&lt;R50,1,0))^2)</f>
        <v/>
      </c>
      <c r="AA50" s="33">
        <f>IF(OR(Q50="",R50="",F50="",F50=0,G50="",G50=0,H50="",H50=0),"",((1/F50/(1/F50+1/G50+1/H50))-IF(Q50&gt;R50,1,0))^2+((1/G50/(1/F50+1/G50+1/H50))-IF(Q50=R50,1,0))^2+((1/H50/(1/F50+1/G50+1/H50))-IF(Q50&lt;R50,1,0))^2)</f>
        <v/>
      </c>
      <c r="AB50" s="34" t="n">
        <v>1.038</v>
      </c>
      <c r="AC50" s="30" t="inlineStr">
        <is>
          <t>NO</t>
        </is>
      </c>
    </row>
    <row r="51">
      <c r="A51" s="27" t="n">
        <v>46103</v>
      </c>
      <c r="B51" s="28" t="inlineStr">
        <is>
          <t>2026-03-22sandefjordsarpsborgfk</t>
        </is>
      </c>
      <c r="C51" s="28" t="inlineStr">
        <is>
          <t>Sandefjord vs Sarpsborg fk</t>
        </is>
      </c>
      <c r="D51" s="28" t="inlineStr">
        <is>
          <t>Sandefjord</t>
        </is>
      </c>
      <c r="E51" s="28" t="inlineStr">
        <is>
          <t>Sarpsborg fk</t>
        </is>
      </c>
      <c r="F51" s="29" t="n">
        <v>2.1</v>
      </c>
      <c r="G51" s="29" t="n">
        <v>4.25</v>
      </c>
      <c r="H51" s="29" t="n">
        <v>3.15</v>
      </c>
      <c r="I51" s="29" t="n">
        <v>1.4</v>
      </c>
      <c r="J51" s="29" t="n">
        <v>2.7</v>
      </c>
      <c r="K51" s="30" t="inlineStr">
        <is>
          <t>Noruega</t>
        </is>
      </c>
      <c r="L51" s="31" t="n">
        <v>0.4042249201863001</v>
      </c>
      <c r="M51" s="31" t="n">
        <v>0.2470649039021326</v>
      </c>
      <c r="N51" s="31" t="n">
        <v>0.3487101759115673</v>
      </c>
      <c r="O51" s="31" t="n">
        <v>0.585044147222101</v>
      </c>
      <c r="P51" s="31" t="n">
        <v>0.414955852777899</v>
      </c>
      <c r="Q51" s="30" t="n">
        <v>0</v>
      </c>
      <c r="R51" s="30" t="n">
        <v>2</v>
      </c>
      <c r="S51" s="28" t="inlineStr">
        <is>
          <t>[PASAR] EV Insuf (0.098&lt;0.120)</t>
        </is>
      </c>
      <c r="T51" s="28" t="inlineStr">
        <is>
          <t>[PASAR] Sin Valor</t>
        </is>
      </c>
      <c r="U51" s="32" t="n">
        <v>0</v>
      </c>
      <c r="V51" s="32" t="n">
        <v>0</v>
      </c>
      <c r="W51" s="28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2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2">
        <f>Y50+X51</f>
        <v/>
      </c>
      <c r="Z51" s="33">
        <f>IF(OR(Q51="",R51=""),"",(L51-IF(Q51&gt;R51,1,0))^2+(M51-IF(Q51=R51,1,0))^2+(N51-IF(Q51&lt;R51,1,0))^2)</f>
        <v/>
      </c>
      <c r="AA51" s="33">
        <f>IF(OR(Q51="",R51="",F51="",F51=0,G51="",G51=0,H51="",H51=0),"",((1/F51/(1/F51+1/G51+1/H51))-IF(Q51&gt;R51,1,0))^2+((1/G51/(1/F51+1/G51+1/H51))-IF(Q51=R51,1,0))^2+((1/H51/(1/F51+1/G51+1/H51))-IF(Q51&lt;R51,1,0))^2)</f>
        <v/>
      </c>
      <c r="AB51" s="34" t="n">
        <v>0.7825</v>
      </c>
      <c r="AC51" s="30" t="inlineStr">
        <is>
          <t>NO</t>
        </is>
      </c>
    </row>
    <row r="52">
      <c r="A52" s="27" t="n">
        <v>46103</v>
      </c>
      <c r="B52" s="28" t="inlineStr">
        <is>
          <t>2026-03-22saopaulopalmeiras</t>
        </is>
      </c>
      <c r="C52" s="28" t="inlineStr">
        <is>
          <t>São Paulo vs Palmeiras</t>
        </is>
      </c>
      <c r="D52" s="28" t="inlineStr">
        <is>
          <t>São Paulo</t>
        </is>
      </c>
      <c r="E52" s="28" t="inlineStr">
        <is>
          <t>Palmeiras</t>
        </is>
      </c>
      <c r="F52" s="29" t="n">
        <v>3.01</v>
      </c>
      <c r="G52" s="29" t="n">
        <v>3.25</v>
      </c>
      <c r="H52" s="29" t="n">
        <v>2.77</v>
      </c>
      <c r="I52" s="29" t="n">
        <v>2.12</v>
      </c>
      <c r="J52" s="29" t="n">
        <v>1.76</v>
      </c>
      <c r="K52" s="30" t="inlineStr">
        <is>
          <t>Brasil</t>
        </is>
      </c>
      <c r="L52" s="31" t="n">
        <v>0.3799976504400017</v>
      </c>
      <c r="M52" s="31" t="n">
        <v>0.2447315069332119</v>
      </c>
      <c r="N52" s="31" t="n">
        <v>0.3752708426267864</v>
      </c>
      <c r="O52" s="31" t="n">
        <v>0.6114688439440668</v>
      </c>
      <c r="P52" s="31" t="n">
        <v>0.3885311560559332</v>
      </c>
      <c r="Q52" s="30" t="n">
        <v>0</v>
      </c>
      <c r="R52" s="30" t="n">
        <v>1</v>
      </c>
      <c r="S52" s="28" t="inlineStr">
        <is>
          <t>[PASAR] Margen Predictivo Insuficiente (&lt;5%)</t>
        </is>
      </c>
      <c r="T52" s="28" t="inlineStr">
        <is>
          <t>[PASAR] Sin Valor</t>
        </is>
      </c>
      <c r="U52" s="32" t="n">
        <v>0</v>
      </c>
      <c r="V52" s="32" t="n">
        <v>0</v>
      </c>
      <c r="W52" s="28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2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2">
        <f>Y51+X52</f>
        <v/>
      </c>
      <c r="Z52" s="33">
        <f>IF(OR(Q52="",R52=""),"",(L52-IF(Q52&gt;R52,1,0))^2+(M52-IF(Q52=R52,1,0))^2+(N52-IF(Q52&lt;R52,1,0))^2)</f>
        <v/>
      </c>
      <c r="AA52" s="33">
        <f>IF(OR(Q52="",R52="",F52="",F52=0,G52="",G52=0,H52="",H52=0),"",((1/F52/(1/F52+1/G52+1/H52))-IF(Q52&gt;R52,1,0))^2+((1/G52/(1/F52+1/G52+1/H52))-IF(Q52=R52,1,0))^2+((1/H52/(1/F52+1/G52+1/H52))-IF(Q52&lt;R52,1,0))^2)</f>
        <v/>
      </c>
      <c r="AB52" s="34" t="n">
        <v>0.7977</v>
      </c>
      <c r="AC52" s="30" t="inlineStr">
        <is>
          <t>NO</t>
        </is>
      </c>
    </row>
    <row r="53">
      <c r="A53" s="27" t="n">
        <v>46103</v>
      </c>
      <c r="B53" s="28" t="inlineStr">
        <is>
          <t>2026-03-22sarmientojuninaldosivi</t>
        </is>
      </c>
      <c r="C53" s="28" t="inlineStr">
        <is>
          <t>Sarmiento (junín) vs Aldosivi</t>
        </is>
      </c>
      <c r="D53" s="28" t="inlineStr">
        <is>
          <t>Sarmiento (junín)</t>
        </is>
      </c>
      <c r="E53" s="28" t="inlineStr">
        <is>
          <t>Aldosivi</t>
        </is>
      </c>
      <c r="F53" s="29" t="n">
        <v>2.26</v>
      </c>
      <c r="G53" s="29" t="n">
        <v>3</v>
      </c>
      <c r="H53" s="29" t="n">
        <v>4</v>
      </c>
      <c r="I53" s="29" t="n">
        <v>3.15</v>
      </c>
      <c r="J53" s="29" t="n">
        <v>1.35</v>
      </c>
      <c r="K53" s="30" t="inlineStr">
        <is>
          <t>Argentina</t>
        </is>
      </c>
      <c r="L53" s="31" t="n">
        <v>0.4574924107575877</v>
      </c>
      <c r="M53" s="31" t="n">
        <v>0.2833979424552279</v>
      </c>
      <c r="N53" s="31" t="n">
        <v>0.2591096467871843</v>
      </c>
      <c r="O53" s="31" t="n">
        <v>0.4283291668066846</v>
      </c>
      <c r="P53" s="31" t="n">
        <v>0.5716708331933155</v>
      </c>
      <c r="Q53" s="30" t="n">
        <v>2</v>
      </c>
      <c r="R53" s="30" t="n">
        <v>0</v>
      </c>
      <c r="S53" s="28" t="inlineStr">
        <is>
          <t>[PASAR] EV Insuf (0.034&lt;0.080)</t>
        </is>
      </c>
      <c r="T53" s="28" t="inlineStr">
        <is>
          <t>[PASAR] xG Margen Insuf (2.39, delta=0.11&lt;0.25)</t>
        </is>
      </c>
      <c r="U53" s="32" t="n">
        <v>0</v>
      </c>
      <c r="V53" s="32" t="n">
        <v>0</v>
      </c>
      <c r="W53" s="28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2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2">
        <f>Y52+X53</f>
        <v/>
      </c>
      <c r="Z53" s="33">
        <f>IF(OR(Q53="",R53=""),"",(L53-IF(Q53&gt;R53,1,0))^2+(M53-IF(Q53=R53,1,0))^2+(N53-IF(Q53&lt;R53,1,0))^2)</f>
        <v/>
      </c>
      <c r="AA53" s="33">
        <f>IF(OR(Q53="",R53="",F53="",F53=0,G53="",G53=0,H53="",H53=0),"",((1/F53/(1/F53+1/G53+1/H53))-IF(Q53&gt;R53,1,0))^2+((1/G53/(1/F53+1/G53+1/H53))-IF(Q53=R53,1,0))^2+((1/H53/(1/F53+1/G53+1/H53))-IF(Q53&lt;R53,1,0))^2)</f>
        <v/>
      </c>
      <c r="AB53" s="34" t="n">
        <v>0.6433</v>
      </c>
      <c r="AC53" s="30" t="inlineStr">
        <is>
          <t>NO</t>
        </is>
      </c>
    </row>
    <row r="54">
      <c r="A54" s="27" t="n">
        <v>46103</v>
      </c>
      <c r="B54" s="28" t="inlineStr">
        <is>
          <t>2026-03-22skbranntromso</t>
        </is>
      </c>
      <c r="C54" s="28" t="inlineStr">
        <is>
          <t>Sk Brann vs Tromso</t>
        </is>
      </c>
      <c r="D54" s="28" t="inlineStr">
        <is>
          <t>Sk Brann</t>
        </is>
      </c>
      <c r="E54" s="28" t="inlineStr">
        <is>
          <t>Tromso</t>
        </is>
      </c>
      <c r="F54" s="29" t="n">
        <v>2.15</v>
      </c>
      <c r="G54" s="29" t="n">
        <v>3.65</v>
      </c>
      <c r="H54" s="29" t="n">
        <v>3.4</v>
      </c>
      <c r="I54" s="29" t="n">
        <v>1.77</v>
      </c>
      <c r="J54" s="29" t="n">
        <v>2.12</v>
      </c>
      <c r="K54" s="30" t="inlineStr">
        <is>
          <t>Noruega</t>
        </is>
      </c>
      <c r="L54" s="31" t="n">
        <v>0.4012742120202197</v>
      </c>
      <c r="M54" s="31" t="n">
        <v>0.2569191123823455</v>
      </c>
      <c r="N54" s="31" t="n">
        <v>0.3418066755974347</v>
      </c>
      <c r="O54" s="31" t="n">
        <v>0.5395525426368118</v>
      </c>
      <c r="P54" s="31" t="n">
        <v>0.4604474573631882</v>
      </c>
      <c r="Q54" s="30" t="n">
        <v>1</v>
      </c>
      <c r="R54" s="30" t="n">
        <v>2</v>
      </c>
      <c r="S54" s="28">
        <f>IF(OR(Q54="",R54=""),"[APOSTAR] VISITA",IF(Q54&lt;R54,"[GANADA] VISITA","[PERDIDA] VISITA"))</f>
        <v/>
      </c>
      <c r="T54" s="28" t="inlineStr">
        <is>
          <t>[PASAR] Sin Valor</t>
        </is>
      </c>
      <c r="U54" s="32" t="n">
        <v>1767.77</v>
      </c>
      <c r="V54" s="32" t="n">
        <v>0</v>
      </c>
      <c r="W54" s="28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2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2">
        <f>Y53+X54</f>
        <v/>
      </c>
      <c r="Z54" s="33">
        <f>IF(OR(Q54="",R54=""),"",(L54-IF(Q54&gt;R54,1,0))^2+(M54-IF(Q54=R54,1,0))^2+(N54-IF(Q54&lt;R54,1,0))^2)</f>
        <v/>
      </c>
      <c r="AA54" s="33">
        <f>IF(OR(Q54="",R54="",F54="",F54=0,G54="",G54=0,H54="",H54=0),"",((1/F54/(1/F54+1/G54+1/H54))-IF(Q54&gt;R54,1,0))^2+((1/G54/(1/F54+1/G54+1/H54))-IF(Q54=R54,1,0))^2+((1/H54/(1/F54+1/G54+1/H54))-IF(Q54&lt;R54,1,0))^2)</f>
        <v/>
      </c>
      <c r="AB54" s="34" t="n">
        <v>0.7016</v>
      </c>
      <c r="AC54" s="30" t="inlineStr">
        <is>
          <t>NO</t>
        </is>
      </c>
    </row>
    <row r="55">
      <c r="A55" s="27" t="n">
        <v>46103</v>
      </c>
      <c r="B55" s="28" t="inlineStr">
        <is>
          <t>2026-03-22tottenhamhotspurnottinghamforest</t>
        </is>
      </c>
      <c r="C55" s="28" t="inlineStr">
        <is>
          <t>Tottenham Hotspur vs Nottingham Forest</t>
        </is>
      </c>
      <c r="D55" s="28" t="inlineStr">
        <is>
          <t>Tottenham Hotspur</t>
        </is>
      </c>
      <c r="E55" s="28" t="inlineStr">
        <is>
          <t>Nottingham Forest</t>
        </is>
      </c>
      <c r="F55" s="29" t="n">
        <v>2.36</v>
      </c>
      <c r="G55" s="29" t="n">
        <v>3.5</v>
      </c>
      <c r="H55" s="29" t="n">
        <v>3.4</v>
      </c>
      <c r="I55" s="29" t="n">
        <v>1.97</v>
      </c>
      <c r="J55" s="29" t="n">
        <v>2.02</v>
      </c>
      <c r="K55" s="30" t="inlineStr">
        <is>
          <t>Inglaterra</t>
        </is>
      </c>
      <c r="L55" s="31" t="n">
        <v>0.3189858742001957</v>
      </c>
      <c r="M55" s="31" t="n">
        <v>0.2610953806422436</v>
      </c>
      <c r="N55" s="31" t="n">
        <v>0.4199187451575607</v>
      </c>
      <c r="O55" s="31" t="n">
        <v>0.5305437527495472</v>
      </c>
      <c r="P55" s="31" t="n">
        <v>0.4694562472504527</v>
      </c>
      <c r="Q55" s="30" t="n">
        <v>0</v>
      </c>
      <c r="R55" s="30" t="n">
        <v>3</v>
      </c>
      <c r="S55" s="28">
        <f>IF(OR(Q55="",R55=""),"[APOSTAR] VISITA",IF(Q55&lt;R55,"[GANADA] VISITA","[PERDIDA] VISITA"))</f>
        <v/>
      </c>
      <c r="T55" s="28" t="inlineStr">
        <is>
          <t>[PASAR] Overlap Riesgo (1X2 Priorizado)</t>
        </is>
      </c>
      <c r="U55" s="32" t="n">
        <v>1767.77</v>
      </c>
      <c r="V55" s="32" t="n">
        <v>0</v>
      </c>
      <c r="W55" s="28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2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2">
        <f>Y54+X55</f>
        <v/>
      </c>
      <c r="Z55" s="33">
        <f>IF(OR(Q55="",R55=""),"",(L55-IF(Q55&gt;R55,1,0))^2+(M55-IF(Q55=R55,1,0))^2+(N55-IF(Q55&lt;R55,1,0))^2)</f>
        <v/>
      </c>
      <c r="AA55" s="33">
        <f>IF(OR(Q55="",R55="",F55="",F55=0,G55="",G55=0,H55="",H55=0),"",((1/F55/(1/F55+1/G55+1/H55))-IF(Q55&gt;R55,1,0))^2+((1/G55/(1/F55+1/G55+1/H55))-IF(Q55=R55,1,0))^2+((1/H55/(1/F55+1/G55+1/H55))-IF(Q55&lt;R55,1,0))^2)</f>
        <v/>
      </c>
      <c r="AB55" s="34" t="n">
        <v>0.6999</v>
      </c>
      <c r="AC55" s="30" t="inlineStr">
        <is>
          <t>NO</t>
        </is>
      </c>
    </row>
    <row r="56">
      <c r="A56" s="27" t="n">
        <v>46103</v>
      </c>
      <c r="B56" s="28" t="inlineStr">
        <is>
          <t>2026-03-22vascodagamagremio</t>
        </is>
      </c>
      <c r="C56" s="28" t="inlineStr">
        <is>
          <t>Vasco da Gama vs Grêmio</t>
        </is>
      </c>
      <c r="D56" s="28" t="inlineStr">
        <is>
          <t>Vasco da Gama</t>
        </is>
      </c>
      <c r="E56" s="28" t="inlineStr">
        <is>
          <t>Grêmio</t>
        </is>
      </c>
      <c r="F56" s="29" t="n">
        <v>2.08</v>
      </c>
      <c r="G56" s="29" t="n">
        <v>3.6</v>
      </c>
      <c r="H56" s="29" t="n">
        <v>3.9</v>
      </c>
      <c r="I56" s="29" t="n">
        <v>2</v>
      </c>
      <c r="J56" s="29" t="n">
        <v>1.94</v>
      </c>
      <c r="K56" s="30" t="inlineStr">
        <is>
          <t>Brasil</t>
        </is>
      </c>
      <c r="L56" s="31" t="n">
        <v>0.4376025748268576</v>
      </c>
      <c r="M56" s="31" t="n">
        <v>0.2237084213430154</v>
      </c>
      <c r="N56" s="31" t="n">
        <v>0.3386890038301269</v>
      </c>
      <c r="O56" s="31" t="n">
        <v>0.7039103277145289</v>
      </c>
      <c r="P56" s="31" t="n">
        <v>0.2960896722854711</v>
      </c>
      <c r="Q56" s="30" t="n">
        <v>2</v>
      </c>
      <c r="R56" s="30" t="n">
        <v>1</v>
      </c>
      <c r="S56" s="28">
        <f>IF(OR(Q56="",R56=""),"[APOSTAR] VISITA",IF(Q56&lt;R56,"[GANADA] VISITA","[PERDIDA] VISITA"))</f>
        <v/>
      </c>
      <c r="T56" s="28" t="inlineStr">
        <is>
          <t>[PASAR] Sin Valor</t>
        </is>
      </c>
      <c r="U56" s="32" t="n">
        <v>1250</v>
      </c>
      <c r="V56" s="32" t="n">
        <v>0</v>
      </c>
      <c r="W56" s="28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2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2">
        <f>Y55+X56</f>
        <v/>
      </c>
      <c r="Z56" s="33">
        <f>IF(OR(Q56="",R56=""),"",(L56-IF(Q56&gt;R56,1,0))^2+(M56-IF(Q56=R56,1,0))^2+(N56-IF(Q56&lt;R56,1,0))^2)</f>
        <v/>
      </c>
      <c r="AA56" s="33">
        <f>IF(OR(Q56="",R56="",F56="",F56=0,G56="",G56=0,H56="",H56=0),"",((1/F56/(1/F56+1/G56+1/H56))-IF(Q56&gt;R56,1,0))^2+((1/G56/(1/F56+1/G56+1/H56))-IF(Q56=R56,1,0))^2+((1/H56/(1/F56+1/G56+1/H56))-IF(Q56&lt;R56,1,0))^2)</f>
        <v/>
      </c>
      <c r="AB56" s="34" t="n">
        <v>0.7739</v>
      </c>
      <c r="AC56" s="30" t="inlineStr">
        <is>
          <t>NO</t>
        </is>
      </c>
    </row>
    <row r="57">
      <c r="A57" s="27" t="n">
        <v>46103</v>
      </c>
      <c r="B57" s="28" t="inlineStr">
        <is>
          <t>2026-03-22vitoriamirassol</t>
        </is>
      </c>
      <c r="C57" s="28" t="inlineStr">
        <is>
          <t>Vitória vs Mirassol</t>
        </is>
      </c>
      <c r="D57" s="28" t="inlineStr">
        <is>
          <t>Vitória</t>
        </is>
      </c>
      <c r="E57" s="28" t="inlineStr">
        <is>
          <t>Mirassol</t>
        </is>
      </c>
      <c r="F57" s="29" t="n">
        <v>2.55</v>
      </c>
      <c r="G57" s="29" t="n">
        <v>3.4</v>
      </c>
      <c r="H57" s="29" t="n">
        <v>3.03</v>
      </c>
      <c r="I57" s="29" t="n">
        <v>2.07</v>
      </c>
      <c r="J57" s="29" t="n">
        <v>1.81</v>
      </c>
      <c r="K57" s="30" t="inlineStr">
        <is>
          <t>Brasil</t>
        </is>
      </c>
      <c r="L57" s="31" t="n">
        <v>0.4430807149531331</v>
      </c>
      <c r="M57" s="31" t="n">
        <v>0.2556007184478316</v>
      </c>
      <c r="N57" s="31" t="n">
        <v>0.3013185665990354</v>
      </c>
      <c r="O57" s="31" t="n">
        <v>0.545657589335549</v>
      </c>
      <c r="P57" s="31" t="n">
        <v>0.454342410664451</v>
      </c>
      <c r="Q57" s="30" t="n">
        <v>1</v>
      </c>
      <c r="R57" s="30" t="n">
        <v>0</v>
      </c>
      <c r="S57" s="28">
        <f>IF(OR(Q57="",R57=""),"[APOSTAR] LOCAL",IF(Q57&gt;R57,"[GANADA] LOCAL","[PERDIDA] LOCAL"))</f>
        <v/>
      </c>
      <c r="T57" s="28" t="inlineStr">
        <is>
          <t>[PASAR] Sin Valor</t>
        </is>
      </c>
      <c r="U57" s="32" t="n">
        <v>1250</v>
      </c>
      <c r="V57" s="32" t="n">
        <v>0</v>
      </c>
      <c r="W57" s="28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2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2">
        <f>Y56+X57</f>
        <v/>
      </c>
      <c r="Z57" s="33">
        <f>IF(OR(Q57="",R57=""),"",(L57-IF(Q57&gt;R57,1,0))^2+(M57-IF(Q57=R57,1,0))^2+(N57-IF(Q57&lt;R57,1,0))^2)</f>
        <v/>
      </c>
      <c r="AA57" s="33">
        <f>IF(OR(Q57="",R57="",F57="",F57=0,G57="",G57=0,H57="",H57=0),"",((1/F57/(1/F57+1/G57+1/H57))-IF(Q57&gt;R57,1,0))^2+((1/G57/(1/F57+1/G57+1/H57))-IF(Q57=R57,1,0))^2+((1/H57/(1/F57+1/G57+1/H57))-IF(Q57&lt;R57,1,0))^2)</f>
        <v/>
      </c>
      <c r="AB57" s="34" t="n">
        <v>0.5823</v>
      </c>
      <c r="AC57" s="30" t="inlineStr">
        <is>
          <t>NO</t>
        </is>
      </c>
    </row>
    <row r="58">
      <c r="A58" s="27" t="n">
        <v>46104</v>
      </c>
      <c r="B58" s="28" t="inlineStr">
        <is>
          <t>2026-03-23argentinosjuniorsplatense</t>
        </is>
      </c>
      <c r="C58" s="28" t="inlineStr">
        <is>
          <t>Argentinos Juniors vs Platense</t>
        </is>
      </c>
      <c r="D58" s="28" t="inlineStr">
        <is>
          <t>Argentinos Juniors</t>
        </is>
      </c>
      <c r="E58" s="28" t="inlineStr">
        <is>
          <t>Platense</t>
        </is>
      </c>
      <c r="F58" s="29" t="n">
        <v>1.79</v>
      </c>
      <c r="G58" s="29" t="n">
        <v>3.4</v>
      </c>
      <c r="H58" s="29" t="n">
        <v>5.95</v>
      </c>
      <c r="I58" s="29" t="n">
        <v>2.72</v>
      </c>
      <c r="J58" s="29" t="n">
        <v>1.44</v>
      </c>
      <c r="K58" s="30" t="inlineStr">
        <is>
          <t>Argentina</t>
        </is>
      </c>
      <c r="L58" s="31" t="n">
        <v>0.4861831714162479</v>
      </c>
      <c r="M58" s="31" t="n">
        <v>0.2824404306796986</v>
      </c>
      <c r="N58" s="31" t="n">
        <v>0.2313763979040536</v>
      </c>
      <c r="O58" s="31" t="n">
        <v>0.4128232474368506</v>
      </c>
      <c r="P58" s="31" t="n">
        <v>0.5871767525631493</v>
      </c>
      <c r="Q58" s="30" t="n">
        <v>1</v>
      </c>
      <c r="R58" s="30" t="n">
        <v>0</v>
      </c>
      <c r="S58" s="28" t="inlineStr">
        <is>
          <t>[PASAR] Riesgo/Beneficio</t>
        </is>
      </c>
      <c r="T58" s="28" t="inlineStr">
        <is>
          <t>[PASAR] xG Margen Insuf (2.33, delta=0.17&lt;0.25)</t>
        </is>
      </c>
      <c r="U58" s="32" t="n">
        <v>0</v>
      </c>
      <c r="V58" s="32" t="n">
        <v>0</v>
      </c>
      <c r="W58" s="28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2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2">
        <f>Y57+X58</f>
        <v/>
      </c>
      <c r="Z58" s="33">
        <f>IF(OR(Q58="",R58=""),"",(L58-IF(Q58&gt;R58,1,0))^2+(M58-IF(Q58=R58,1,0))^2+(N58-IF(Q58&lt;R58,1,0))^2)</f>
        <v/>
      </c>
      <c r="AA58" s="33">
        <f>IF(OR(Q58="",R58="",F58="",F58=0,G58="",G58=0,H58="",H58=0),"",((1/F58/(1/F58+1/G58+1/H58))-IF(Q58&gt;R58,1,0))^2+((1/G58/(1/F58+1/G58+1/H58))-IF(Q58=R58,1,0))^2+((1/H58/(1/F58+1/G58+1/H58))-IF(Q58&lt;R58,1,0))^2)</f>
        <v/>
      </c>
      <c r="AB58" s="34" t="n">
        <v>0.6281</v>
      </c>
      <c r="AC58" s="30" t="inlineStr">
        <is>
          <t>NO</t>
        </is>
      </c>
    </row>
    <row r="59">
      <c r="A59" s="27" t="n">
        <v>46104</v>
      </c>
      <c r="B59" s="28" t="inlineStr">
        <is>
          <t>2026-03-23estudiantesdelaplatacentralcordobasantiagodelestero</t>
        </is>
      </c>
      <c r="C59" s="28" t="inlineStr">
        <is>
          <t>Estudiantes de la Plata vs Central Córdoba (santiago del Estero)</t>
        </is>
      </c>
      <c r="D59" s="28" t="inlineStr">
        <is>
          <t>Estudiantes de la Plata</t>
        </is>
      </c>
      <c r="E59" s="28" t="inlineStr">
        <is>
          <t>Central Córdoba (santiago del Estero)</t>
        </is>
      </c>
      <c r="F59" s="29" t="n">
        <v>1.56</v>
      </c>
      <c r="G59" s="29" t="n">
        <v>4.05</v>
      </c>
      <c r="H59" s="29" t="n">
        <v>7.4</v>
      </c>
      <c r="I59" s="29" t="n">
        <v>2.52</v>
      </c>
      <c r="J59" s="29" t="n">
        <v>1.55</v>
      </c>
      <c r="K59" s="30" t="inlineStr">
        <is>
          <t>Argentina</t>
        </is>
      </c>
      <c r="L59" s="31" t="n">
        <v>0.5734322988906213</v>
      </c>
      <c r="M59" s="31" t="n">
        <v>0.2543605121061134</v>
      </c>
      <c r="N59" s="31" t="n">
        <v>0.1722071890032654</v>
      </c>
      <c r="O59" s="31" t="n">
        <v>0.4463974102627131</v>
      </c>
      <c r="P59" s="31" t="n">
        <v>0.5536025897372868</v>
      </c>
      <c r="Q59" s="30" t="n">
        <v>5</v>
      </c>
      <c r="R59" s="30" t="n">
        <v>0</v>
      </c>
      <c r="S59" s="28" t="inlineStr">
        <is>
          <t>[PASAR] Riesgo/Beneficio</t>
        </is>
      </c>
      <c r="T59" s="28" t="inlineStr">
        <is>
          <t>[PASAR] xG Margen Insuf (2.46, delta=0.04&lt;0.25)</t>
        </is>
      </c>
      <c r="U59" s="32" t="n">
        <v>0</v>
      </c>
      <c r="V59" s="32" t="n">
        <v>0</v>
      </c>
      <c r="W59" s="28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2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2">
        <f>Y58+X59</f>
        <v/>
      </c>
      <c r="Z59" s="33">
        <f>IF(OR(Q59="",R59=""),"",(L59-IF(Q59&gt;R59,1,0))^2+(M59-IF(Q59=R59,1,0))^2+(N59-IF(Q59&lt;R59,1,0))^2)</f>
        <v/>
      </c>
      <c r="AA59" s="33">
        <f>IF(OR(Q59="",R59="",F59="",F59=0,G59="",G59=0,H59="",H59=0),"",((1/F59/(1/F59+1/G59+1/H59))-IF(Q59&gt;R59,1,0))^2+((1/G59/(1/F59+1/G59+1/H59))-IF(Q59=R59,1,0))^2+((1/H59/(1/F59+1/G59+1/H59))-IF(Q59&lt;R59,1,0))^2)</f>
        <v/>
      </c>
      <c r="AB59" s="34" t="n">
        <v>0.9419</v>
      </c>
      <c r="AC59" s="30" t="inlineStr">
        <is>
          <t>NO</t>
        </is>
      </c>
    </row>
    <row r="60">
      <c r="A60" s="27" t="n">
        <v>46104</v>
      </c>
      <c r="B60" s="28" t="inlineStr">
        <is>
          <t>2026-03-23independienterivadaviarosariocentral</t>
        </is>
      </c>
      <c r="C60" s="28" t="inlineStr">
        <is>
          <t>Independiente Rivadavia vs Rosario Central</t>
        </is>
      </c>
      <c r="D60" s="28" t="inlineStr">
        <is>
          <t>Independiente Rivadavia</t>
        </is>
      </c>
      <c r="E60" s="28" t="inlineStr">
        <is>
          <t>Rosario Central</t>
        </is>
      </c>
      <c r="F60" s="29" t="n">
        <v>2.75</v>
      </c>
      <c r="G60" s="29" t="n">
        <v>3.1</v>
      </c>
      <c r="H60" s="29" t="n">
        <v>3.25</v>
      </c>
      <c r="I60" s="29" t="n">
        <v>2.42</v>
      </c>
      <c r="J60" s="29" t="n">
        <v>1.55</v>
      </c>
      <c r="K60" s="30" t="inlineStr">
        <is>
          <t>Argentina</t>
        </is>
      </c>
      <c r="L60" s="31" t="n">
        <v>0.3574387363194203</v>
      </c>
      <c r="M60" s="31" t="n">
        <v>0.28416828227082</v>
      </c>
      <c r="N60" s="31" t="n">
        <v>0.3583929814097598</v>
      </c>
      <c r="O60" s="31" t="n">
        <v>0.4546459849409152</v>
      </c>
      <c r="P60" s="31" t="n">
        <v>0.5453540150590849</v>
      </c>
      <c r="Q60" s="30" t="n">
        <v>2</v>
      </c>
      <c r="R60" s="30" t="n">
        <v>0</v>
      </c>
      <c r="S60" s="28" t="inlineStr">
        <is>
          <t>[PASAR] Margen Predictivo Insuficiente (&lt;5%)</t>
        </is>
      </c>
      <c r="T60" s="28" t="inlineStr">
        <is>
          <t>[PASAR] xG Margen Insuf (2.49, delta=0.01&lt;0.25)</t>
        </is>
      </c>
      <c r="U60" s="32" t="n">
        <v>0</v>
      </c>
      <c r="V60" s="32" t="n">
        <v>0</v>
      </c>
      <c r="W60" s="28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2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2">
        <f>Y59+X60</f>
        <v/>
      </c>
      <c r="Z60" s="33">
        <f>IF(OR(Q60="",R60=""),"",(L60-IF(Q60&gt;R60,1,0))^2+(M60-IF(Q60=R60,1,0))^2+(N60-IF(Q60&lt;R60,1,0))^2)</f>
        <v/>
      </c>
      <c r="AA60" s="33">
        <f>IF(OR(Q60="",R60="",F60="",F60=0,G60="",G60=0,H60="",H60=0),"",((1/F60/(1/F60+1/G60+1/H60))-IF(Q60&gt;R60,1,0))^2+((1/G60/(1/F60+1/G60+1/H60))-IF(Q60=R60,1,0))^2+((1/H60/(1/F60+1/G60+1/H60))-IF(Q60&lt;R60,1,0))^2)</f>
        <v/>
      </c>
      <c r="AB60" s="34" t="n">
        <v>0.5954</v>
      </c>
      <c r="AC60" s="30" t="inlineStr">
        <is>
          <t>NO</t>
        </is>
      </c>
    </row>
    <row r="61">
      <c r="A61" s="27" t="n">
        <v>46105</v>
      </c>
      <c r="B61" s="28" t="inlineStr">
        <is>
          <t>2026-03-24huracanbarracascentral</t>
        </is>
      </c>
      <c r="C61" s="28" t="inlineStr">
        <is>
          <t>Huracán vs Barracas Central</t>
        </is>
      </c>
      <c r="D61" s="28" t="inlineStr">
        <is>
          <t>Huracán</t>
        </is>
      </c>
      <c r="E61" s="28" t="inlineStr">
        <is>
          <t>Barracas Central</t>
        </is>
      </c>
      <c r="F61" s="29" t="n">
        <v>1.83</v>
      </c>
      <c r="G61" s="29" t="n">
        <v>3.18</v>
      </c>
      <c r="H61" s="29" t="n">
        <v>5.9</v>
      </c>
      <c r="I61" s="29" t="n">
        <v>3.05</v>
      </c>
      <c r="J61" s="29" t="n">
        <v>1.37</v>
      </c>
      <c r="K61" s="30" t="inlineStr">
        <is>
          <t>Argentina</t>
        </is>
      </c>
      <c r="L61" s="31" t="n">
        <v>0.4393351422595658</v>
      </c>
      <c r="M61" s="31" t="n">
        <v>0.2951672271610383</v>
      </c>
      <c r="N61" s="31" t="n">
        <v>0.2654976305793959</v>
      </c>
      <c r="O61" s="31" t="n">
        <v>0.3922601733778666</v>
      </c>
      <c r="P61" s="31" t="n">
        <v>0.6077398266221334</v>
      </c>
      <c r="Q61" s="30" t="n">
        <v>0</v>
      </c>
      <c r="R61" s="30" t="n">
        <v>0</v>
      </c>
      <c r="S61" s="28" t="inlineStr">
        <is>
          <t>[PASAR] Riesgo/Beneficio</t>
        </is>
      </c>
      <c r="T61" s="28" t="inlineStr">
        <is>
          <t>[PASAR] xG Margen Insuf (2.26, delta=0.24&lt;0.25)</t>
        </is>
      </c>
      <c r="U61" s="32" t="n">
        <v>0</v>
      </c>
      <c r="V61" s="32" t="n">
        <v>0</v>
      </c>
      <c r="W61" s="28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2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2">
        <f>Y60+X61</f>
        <v/>
      </c>
      <c r="Z61" s="33">
        <f>IF(OR(Q61="",R61=""),"",(L61-IF(Q61&gt;R61,1,0))^2+(M61-IF(Q61=R61,1,0))^2+(N61-IF(Q61&lt;R61,1,0))^2)</f>
        <v/>
      </c>
      <c r="AA61" s="33">
        <f>IF(OR(Q61="",R61="",F61="",F61=0,G61="",G61=0,H61="",H61=0),"",((1/F61/(1/F61+1/G61+1/H61))-IF(Q61&gt;R61,1,0))^2+((1/G61/(1/F61+1/G61+1/H61))-IF(Q61=R61,1,0))^2+((1/H61/(1/F61+1/G61+1/H61))-IF(Q61&lt;R61,1,0))^2)</f>
        <v/>
      </c>
      <c r="AB61" s="34" t="n">
        <v>0.6915</v>
      </c>
      <c r="AC61" s="30" t="inlineStr">
        <is>
          <t>NO</t>
        </is>
      </c>
    </row>
    <row r="62">
      <c r="A62" s="27" t="n">
        <v>46106</v>
      </c>
      <c r="B62" s="28" t="inlineStr">
        <is>
          <t>2026-03-25deportivoriestrasanlorenzo</t>
        </is>
      </c>
      <c r="C62" s="28" t="inlineStr">
        <is>
          <t>Deportivo Riestra vs San Lorenzo</t>
        </is>
      </c>
      <c r="D62" s="28" t="inlineStr">
        <is>
          <t>Deportivo Riestra</t>
        </is>
      </c>
      <c r="E62" s="28" t="inlineStr">
        <is>
          <t>San Lorenzo</t>
        </is>
      </c>
      <c r="F62" s="29" t="n">
        <v>2.55</v>
      </c>
      <c r="G62" s="29" t="n">
        <v>2.75</v>
      </c>
      <c r="H62" s="29" t="n">
        <v>3.66</v>
      </c>
      <c r="I62" s="29" t="n">
        <v>3.55</v>
      </c>
      <c r="J62" s="29" t="n">
        <v>1.29</v>
      </c>
      <c r="K62" s="30" t="inlineStr">
        <is>
          <t>Argentina</t>
        </is>
      </c>
      <c r="L62" s="31" t="n">
        <v>0.4023790642010883</v>
      </c>
      <c r="M62" s="31" t="n">
        <v>0.3283943712366434</v>
      </c>
      <c r="N62" s="31" t="n">
        <v>0.2692265645622682</v>
      </c>
      <c r="O62" s="31" t="n">
        <v>0.297629510143734</v>
      </c>
      <c r="P62" s="31" t="n">
        <v>0.7023704898562659</v>
      </c>
      <c r="Q62" s="30" t="n">
        <v>1</v>
      </c>
      <c r="R62" s="30" t="n">
        <v>1</v>
      </c>
      <c r="S62" s="28" t="inlineStr">
        <is>
          <t>[PASAR] Riesgo/Beneficio</t>
        </is>
      </c>
      <c r="T62" s="28" t="inlineStr">
        <is>
          <t>[PASAR] Sin Valor</t>
        </is>
      </c>
      <c r="U62" s="32" t="n">
        <v>0</v>
      </c>
      <c r="V62" s="32" t="n">
        <v>0</v>
      </c>
      <c r="W62" s="28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2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2">
        <f>Y61+X62</f>
        <v/>
      </c>
      <c r="Z62" s="33">
        <f>IF(OR(Q62="",R62=""),"",(L62-IF(Q62&gt;R62,1,0))^2+(M62-IF(Q62=R62,1,0))^2+(N62-IF(Q62&lt;R62,1,0))^2)</f>
        <v/>
      </c>
      <c r="AA62" s="33">
        <f>IF(OR(Q62="",R62="",F62="",F62=0,G62="",G62=0,H62="",H62=0),"",((1/F62/(1/F62+1/G62+1/H62))-IF(Q62&gt;R62,1,0))^2+((1/G62/(1/F62+1/G62+1/H62))-IF(Q62=R62,1,0))^2+((1/H62/(1/F62+1/G62+1/H62))-IF(Q62&lt;R62,1,0))^2)</f>
        <v/>
      </c>
      <c r="AB62" s="34" t="n">
        <v>0.4857</v>
      </c>
      <c r="AC62" s="30" t="inlineStr">
        <is>
          <t>NO</t>
        </is>
      </c>
    </row>
    <row r="63">
      <c r="A63" s="27" t="n">
        <v>46107</v>
      </c>
      <c r="B63" s="28" t="inlineStr">
        <is>
          <t>2026-03-26argentinosjuniorslanus</t>
        </is>
      </c>
      <c r="C63" s="28" t="inlineStr">
        <is>
          <t>Argentinos Juniors vs Lanus</t>
        </is>
      </c>
      <c r="D63" s="28" t="inlineStr">
        <is>
          <t>Argentinos Juniors</t>
        </is>
      </c>
      <c r="E63" s="28" t="inlineStr">
        <is>
          <t>Lanus</t>
        </is>
      </c>
      <c r="F63" s="29" t="n"/>
      <c r="G63" s="29" t="n"/>
      <c r="H63" s="29" t="n"/>
      <c r="I63" s="29" t="n"/>
      <c r="J63" s="29" t="n"/>
      <c r="K63" s="30" t="inlineStr">
        <is>
          <t>Argentina</t>
        </is>
      </c>
      <c r="L63" s="31" t="n">
        <v>0.4892737231840647</v>
      </c>
      <c r="M63" s="31" t="n">
        <v>0.2812480497670363</v>
      </c>
      <c r="N63" s="31" t="n">
        <v>0.229478227048899</v>
      </c>
      <c r="O63" s="31" t="n">
        <v>0.4153291784124106</v>
      </c>
      <c r="P63" s="31" t="n">
        <v>0.5846708215875894</v>
      </c>
      <c r="Q63" s="30" t="n">
        <v>2</v>
      </c>
      <c r="R63" s="30" t="n">
        <v>1</v>
      </c>
      <c r="S63" s="28" t="inlineStr">
        <is>
          <t>[PASAR] Sin Cuotas</t>
        </is>
      </c>
      <c r="T63" s="28" t="inlineStr">
        <is>
          <t>[PASAR] Sin Cuotas</t>
        </is>
      </c>
      <c r="U63" s="32" t="n">
        <v>0</v>
      </c>
      <c r="V63" s="32" t="n">
        <v>0</v>
      </c>
      <c r="W63" s="28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2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2">
        <f>Y62+X63</f>
        <v/>
      </c>
      <c r="Z63" s="33">
        <f>IF(OR(Q63="",R63=""),"",(L63-IF(Q63&gt;R63,1,0))^2+(M63-IF(Q63=R63,1,0))^2+(N63-IF(Q63&lt;R63,1,0))^2)</f>
        <v/>
      </c>
      <c r="AA63" s="33">
        <f>IF(OR(Q63="",R63="",F63="",F63=0,G63="",G63=0,H63="",H63=0),"",((1/F63/(1/F63+1/G63+1/H63))-IF(Q63&gt;R63,1,0))^2+((1/G63/(1/F63+1/G63+1/H63))-IF(Q63=R63,1,0))^2+((1/H63/(1/F63+1/G63+1/H63))-IF(Q63&lt;R63,1,0))^2)</f>
        <v/>
      </c>
      <c r="AB63" s="34" t="n">
        <v>0.5878</v>
      </c>
      <c r="AC63" s="30" t="inlineStr">
        <is>
          <t>NO</t>
        </is>
      </c>
    </row>
    <row r="64">
      <c r="A64" s="27" t="n">
        <v>46110</v>
      </c>
      <c r="B64" s="28" t="inlineStr">
        <is>
          <t>2026-03-29athleticoparanaensebotafogo</t>
        </is>
      </c>
      <c r="C64" s="28" t="inlineStr">
        <is>
          <t>Athletico Paranaense vs Botafogo</t>
        </is>
      </c>
      <c r="D64" s="28" t="inlineStr">
        <is>
          <t>Athletico Paranaense</t>
        </is>
      </c>
      <c r="E64" s="28" t="inlineStr">
        <is>
          <t>Botafogo</t>
        </is>
      </c>
      <c r="F64" s="29" t="n">
        <v>2</v>
      </c>
      <c r="G64" s="29" t="n">
        <v>3.38</v>
      </c>
      <c r="H64" s="29" t="n">
        <v>4.1</v>
      </c>
      <c r="I64" s="29" t="n"/>
      <c r="J64" s="29" t="n"/>
      <c r="K64" s="30" t="inlineStr">
        <is>
          <t>Brasil</t>
        </is>
      </c>
      <c r="L64" s="31" t="n">
        <v>0.4421842316329352</v>
      </c>
      <c r="M64" s="31" t="n">
        <v>0.2430641665154168</v>
      </c>
      <c r="N64" s="31" t="n">
        <v>0.3147516018516479</v>
      </c>
      <c r="O64" s="31" t="n">
        <v>0.606252855964858</v>
      </c>
      <c r="P64" s="31" t="n">
        <v>0.3937471440351421</v>
      </c>
      <c r="Q64" s="30" t="n">
        <v>4</v>
      </c>
      <c r="R64" s="30" t="n">
        <v>1</v>
      </c>
      <c r="S64" s="28" t="inlineStr">
        <is>
          <t>[PASAR] Floor Prob (31%&lt;33%)</t>
        </is>
      </c>
      <c r="T64" s="28" t="inlineStr">
        <is>
          <t>[PASAR] Sin Cuotas</t>
        </is>
      </c>
      <c r="U64" s="32" t="n">
        <v>0</v>
      </c>
      <c r="V64" s="32" t="n">
        <v>0</v>
      </c>
      <c r="W64" s="28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2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2">
        <f>Y63+X64</f>
        <v/>
      </c>
      <c r="Z64" s="33">
        <f>IF(OR(Q64="",R64=""),"",(L64-IF(Q64&gt;R64,1,0))^2+(M64-IF(Q64=R64,1,0))^2+(N64-IF(Q64&lt;R64,1,0))^2)</f>
        <v/>
      </c>
      <c r="AA64" s="33">
        <f>IF(OR(Q64="",R64="",F64="",F64=0,G64="",G64=0,H64="",H64=0),"",((1/F64/(1/F64+1/G64+1/H64))-IF(Q64&gt;R64,1,0))^2+((1/G64/(1/F64+1/G64+1/H64))-IF(Q64=R64,1,0))^2+((1/H64/(1/F64+1/G64+1/H64))-IF(Q64&lt;R64,1,0))^2)</f>
        <v/>
      </c>
      <c r="AB64" s="34" t="n">
        <v>0.7559</v>
      </c>
      <c r="AC64" s="30" t="inlineStr">
        <is>
          <t>NO</t>
        </is>
      </c>
    </row>
    <row r="65">
      <c r="A65" s="27" t="n">
        <v>46112</v>
      </c>
      <c r="B65" s="28" t="inlineStr">
        <is>
          <t>2026-03-31aldosiviargentinosjuniors</t>
        </is>
      </c>
      <c r="C65" s="28" t="inlineStr">
        <is>
          <t>Aldosivi vs Argentinos Juniors</t>
        </is>
      </c>
      <c r="D65" s="28" t="inlineStr">
        <is>
          <t>Aldosivi</t>
        </is>
      </c>
      <c r="E65" s="28" t="inlineStr">
        <is>
          <t>Argentinos Juniors</t>
        </is>
      </c>
      <c r="F65" s="29" t="n">
        <v>4.68</v>
      </c>
      <c r="G65" s="29" t="n">
        <v>3.12</v>
      </c>
      <c r="H65" s="29" t="n">
        <v>1.97</v>
      </c>
      <c r="I65" s="29" t="n">
        <v>2.38</v>
      </c>
      <c r="J65" s="29" t="n">
        <v>1.56</v>
      </c>
      <c r="K65" s="30" t="inlineStr">
        <is>
          <t>Argentina</t>
        </is>
      </c>
      <c r="L65" s="31" t="n">
        <v>0.3548897391662117</v>
      </c>
      <c r="M65" s="31" t="n">
        <v>0.2868572289386647</v>
      </c>
      <c r="N65" s="31" t="n">
        <v>0.3582530318951235</v>
      </c>
      <c r="O65" s="31" t="n">
        <v>0.4443332923376039</v>
      </c>
      <c r="P65" s="31" t="n">
        <v>0.5556667076623961</v>
      </c>
      <c r="Q65" s="30" t="n">
        <v>0</v>
      </c>
      <c r="R65" s="30" t="n">
        <v>2</v>
      </c>
      <c r="S65" s="28" t="inlineStr">
        <is>
          <t>[PASAR] Margen Predictivo Insuficiente (&lt;5%)</t>
        </is>
      </c>
      <c r="T65" s="28" t="inlineStr">
        <is>
          <t>[PASAR] xG Margen Insuf (2.45, delta=0.05&lt;0.25)</t>
        </is>
      </c>
      <c r="U65" s="32" t="n">
        <v>0</v>
      </c>
      <c r="V65" s="32" t="n">
        <v>0</v>
      </c>
      <c r="W65" s="28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2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2">
        <f>Y64+X65</f>
        <v/>
      </c>
      <c r="Z65" s="33">
        <f>IF(OR(Q65="",R65=""),"",(L65-IF(Q65&gt;R65,1,0))^2+(M65-IF(Q65=R65,1,0))^2+(N65-IF(Q65&lt;R65,1,0))^2)</f>
        <v/>
      </c>
      <c r="AA65" s="33">
        <f>IF(OR(Q65="",R65="",F65="",F65=0,G65="",G65=0,H65="",H65=0),"",((1/F65/(1/F65+1/G65+1/H65))-IF(Q65&gt;R65,1,0))^2+((1/G65/(1/F65+1/G65+1/H65))-IF(Q65=R65,1,0))^2+((1/H65/(1/F65+1/G65+1/H65))-IF(Q65&lt;R65,1,0))^2)</f>
        <v/>
      </c>
      <c r="AB65" s="34" t="n">
        <v>0.5883</v>
      </c>
      <c r="AC65" s="30" t="inlineStr">
        <is>
          <t>NO</t>
        </is>
      </c>
    </row>
    <row r="66">
      <c r="A66" s="27" t="n">
        <v>46113</v>
      </c>
      <c r="B66" s="28" t="inlineStr">
        <is>
          <t>2026-04-01bahiaathleticoparanaense</t>
        </is>
      </c>
      <c r="C66" s="28" t="inlineStr">
        <is>
          <t>Bahia vs Athletico Paranaense</t>
        </is>
      </c>
      <c r="D66" s="28" t="inlineStr">
        <is>
          <t>Bahia</t>
        </is>
      </c>
      <c r="E66" s="28" t="inlineStr">
        <is>
          <t>Athletico Paranaense</t>
        </is>
      </c>
      <c r="F66" s="29" t="n">
        <v>4.56</v>
      </c>
      <c r="G66" s="29" t="n">
        <v>3.64</v>
      </c>
      <c r="H66" s="29" t="n">
        <v>1.85</v>
      </c>
      <c r="I66" s="29" t="n">
        <v>2.01</v>
      </c>
      <c r="J66" s="29" t="n">
        <v>1.83</v>
      </c>
      <c r="K66" s="30" t="inlineStr">
        <is>
          <t>Brasil</t>
        </is>
      </c>
      <c r="L66" s="31" t="n">
        <v>0.4935688183854592</v>
      </c>
      <c r="M66" s="31" t="n">
        <v>0.2220063105095515</v>
      </c>
      <c r="N66" s="31" t="n">
        <v>0.2844248711049894</v>
      </c>
      <c r="O66" s="31" t="n">
        <v>0.6853780312818094</v>
      </c>
      <c r="P66" s="31" t="n">
        <v>0.3146219687181906</v>
      </c>
      <c r="Q66" s="30" t="n">
        <v>3</v>
      </c>
      <c r="R66" s="30" t="n">
        <v>0</v>
      </c>
      <c r="S66" s="28" t="inlineStr">
        <is>
          <t>[GANADA] LOCAL</t>
        </is>
      </c>
      <c r="T66" s="28" t="inlineStr">
        <is>
          <t>[PASAR] Sin Valor</t>
        </is>
      </c>
      <c r="U66" s="32" t="n">
        <v>1118.03</v>
      </c>
      <c r="V66" s="32" t="n">
        <v>0</v>
      </c>
      <c r="W66" s="28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2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2">
        <f>Y65+X66</f>
        <v/>
      </c>
      <c r="Z66" s="33">
        <f>IF(OR(Q66="",R66=""),"",(L66-IF(Q66&gt;R66,1,0))^2+(M66-IF(Q66=R66,1,0))^2+(N66-IF(Q66&lt;R66,1,0))^2)</f>
        <v/>
      </c>
      <c r="AA66" s="33">
        <f>IF(OR(Q66="",R66="",F66="",F66=0,G66="",G66=0,H66="",H66=0),"",((1/F66/(1/F66+1/G66+1/H66))-IF(Q66&gt;R66,1,0))^2+((1/G66/(1/F66+1/G66+1/H66))-IF(Q66=R66,1,0))^2+((1/H66/(1/F66+1/G66+1/H66))-IF(Q66&lt;R66,1,0))^2)</f>
        <v/>
      </c>
      <c r="AB66" s="34" t="n">
        <v>0.6017</v>
      </c>
      <c r="AC66" s="30" t="inlineStr">
        <is>
          <t>NO</t>
        </is>
      </c>
    </row>
    <row r="67">
      <c r="A67" s="27" t="n">
        <v>46113</v>
      </c>
      <c r="B67" s="28" t="inlineStr">
        <is>
          <t>2026-04-01botafogomirassol</t>
        </is>
      </c>
      <c r="C67" s="28" t="inlineStr">
        <is>
          <t>Botafogo vs Mirassol</t>
        </is>
      </c>
      <c r="D67" s="28" t="inlineStr">
        <is>
          <t>Botafogo</t>
        </is>
      </c>
      <c r="E67" s="28" t="inlineStr">
        <is>
          <t>Mirassol</t>
        </is>
      </c>
      <c r="F67" s="29" t="n">
        <v>2.51</v>
      </c>
      <c r="G67" s="29" t="n">
        <v>3.13</v>
      </c>
      <c r="H67" s="29" t="n">
        <v>2.95</v>
      </c>
      <c r="I67" s="29" t="n">
        <v>2.21</v>
      </c>
      <c r="J67" s="29" t="n">
        <v>1.7</v>
      </c>
      <c r="K67" s="30" t="inlineStr">
        <is>
          <t>Brasil</t>
        </is>
      </c>
      <c r="L67" s="31" t="n">
        <v>0.4608540743870485</v>
      </c>
      <c r="M67" s="31" t="n">
        <v>0.2235248432386927</v>
      </c>
      <c r="N67" s="31" t="n">
        <v>0.3156210823742588</v>
      </c>
      <c r="O67" s="31" t="n">
        <v>0.6959966261239385</v>
      </c>
      <c r="P67" s="31" t="n">
        <v>0.3040033738760615</v>
      </c>
      <c r="Q67" s="30" t="n">
        <v>3</v>
      </c>
      <c r="R67" s="30" t="n">
        <v>2</v>
      </c>
      <c r="S67" s="28" t="inlineStr">
        <is>
          <t>[GANADA] LOCAL</t>
        </is>
      </c>
      <c r="T67" s="28" t="inlineStr">
        <is>
          <t>[PASAR] Sin Valor</t>
        </is>
      </c>
      <c r="U67" s="32" t="n">
        <v>1118.03</v>
      </c>
      <c r="V67" s="32" t="n">
        <v>0</v>
      </c>
      <c r="W67" s="28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2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2">
        <f>Y66+X67</f>
        <v/>
      </c>
      <c r="Z67" s="33">
        <f>IF(OR(Q67="",R67=""),"",(L67-IF(Q67&gt;R67,1,0))^2+(M67-IF(Q67=R67,1,0))^2+(N67-IF(Q67&lt;R67,1,0))^2)</f>
        <v/>
      </c>
      <c r="AA67" s="33">
        <f>IF(OR(Q67="",R67="",F67="",F67=0,G67="",G67=0,H67="",H67=0),"",((1/F67/(1/F67+1/G67+1/H67))-IF(Q67&gt;R67,1,0))^2+((1/G67/(1/F67+1/G67+1/H67))-IF(Q67=R67,1,0))^2+((1/H67/(1/F67+1/G67+1/H67))-IF(Q67&lt;R67,1,0))^2)</f>
        <v/>
      </c>
      <c r="AB67" s="34" t="n">
        <v>0.6833</v>
      </c>
      <c r="AC67" s="30" t="inlineStr">
        <is>
          <t>NO</t>
        </is>
      </c>
    </row>
    <row r="68">
      <c r="A68" s="27" t="n">
        <v>46113</v>
      </c>
      <c r="B68" s="28" t="inlineStr">
        <is>
          <t>2026-04-01coritibavascodagama</t>
        </is>
      </c>
      <c r="C68" s="28" t="inlineStr">
        <is>
          <t>Coritiba vs Vasco da Gama</t>
        </is>
      </c>
      <c r="D68" s="28" t="inlineStr">
        <is>
          <t>Coritiba</t>
        </is>
      </c>
      <c r="E68" s="28" t="inlineStr">
        <is>
          <t>Vasco da Gama</t>
        </is>
      </c>
      <c r="F68" s="29" t="n">
        <v>2.7</v>
      </c>
      <c r="G68" s="29" t="n">
        <v>3.07</v>
      </c>
      <c r="H68" s="29" t="n">
        <v>2.95</v>
      </c>
      <c r="I68" s="29" t="n">
        <v>2.23</v>
      </c>
      <c r="J68" s="29" t="n">
        <v>1.68</v>
      </c>
      <c r="K68" s="30" t="inlineStr">
        <is>
          <t>Brasil</t>
        </is>
      </c>
      <c r="L68" s="31" t="n">
        <v>0.4333422552635994</v>
      </c>
      <c r="M68" s="31" t="n">
        <v>0.2231545889831509</v>
      </c>
      <c r="N68" s="31" t="n">
        <v>0.3435031557532497</v>
      </c>
      <c r="O68" s="31" t="n">
        <v>0.7078930653966972</v>
      </c>
      <c r="P68" s="31" t="n">
        <v>0.2921069346033028</v>
      </c>
      <c r="Q68" s="30" t="n">
        <v>1</v>
      </c>
      <c r="R68" s="30" t="n">
        <v>1</v>
      </c>
      <c r="S68" s="28" t="inlineStr">
        <is>
          <t>[PERDIDA] LOCAL</t>
        </is>
      </c>
      <c r="T68" s="28" t="inlineStr">
        <is>
          <t>[PASAR] Sin Valor</t>
        </is>
      </c>
      <c r="U68" s="32" t="n">
        <v>1118.03</v>
      </c>
      <c r="V68" s="32" t="n">
        <v>0</v>
      </c>
      <c r="W68" s="28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2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2">
        <f>Y67+X68</f>
        <v/>
      </c>
      <c r="Z68" s="33">
        <f>IF(OR(Q68="",R68=""),"",(L68-IF(Q68&gt;R68,1,0))^2+(M68-IF(Q68=R68,1,0))^2+(N68-IF(Q68&lt;R68,1,0))^2)</f>
        <v/>
      </c>
      <c r="AA68" s="33">
        <f>IF(OR(Q68="",R68="",F68="",F68=0,G68="",G68=0,H68="",H68=0),"",((1/F68/(1/F68+1/G68+1/H68))-IF(Q68&gt;R68,1,0))^2+((1/G68/(1/F68+1/G68+1/H68))-IF(Q68=R68,1,0))^2+((1/H68/(1/F68+1/G68+1/H68))-IF(Q68&lt;R68,1,0))^2)</f>
        <v/>
      </c>
      <c r="AB68" s="34" t="n">
        <v>0.8578</v>
      </c>
      <c r="AC68" s="30" t="inlineStr">
        <is>
          <t>NO</t>
        </is>
      </c>
    </row>
    <row r="69">
      <c r="A69" s="27" t="n">
        <v>46113</v>
      </c>
      <c r="B69" s="28" t="inlineStr">
        <is>
          <t>2026-04-01cruzeirovitoria</t>
        </is>
      </c>
      <c r="C69" s="28" t="inlineStr">
        <is>
          <t>Cruzeiro vs Vitória</t>
        </is>
      </c>
      <c r="D69" s="28" t="inlineStr">
        <is>
          <t>Cruzeiro</t>
        </is>
      </c>
      <c r="E69" s="28" t="inlineStr">
        <is>
          <t>Vitória</t>
        </is>
      </c>
      <c r="F69" s="29" t="n">
        <v>1.53</v>
      </c>
      <c r="G69" s="29" t="n">
        <v>4.1</v>
      </c>
      <c r="H69" s="29" t="n">
        <v>7.19</v>
      </c>
      <c r="I69" s="29" t="n">
        <v>2.04</v>
      </c>
      <c r="J69" s="29" t="n">
        <v>1.85</v>
      </c>
      <c r="K69" s="30" t="inlineStr">
        <is>
          <t>Brasil</t>
        </is>
      </c>
      <c r="L69" s="31" t="n">
        <v>0.5375070563966498</v>
      </c>
      <c r="M69" s="31" t="n">
        <v>0.2174204946633362</v>
      </c>
      <c r="N69" s="31" t="n">
        <v>0.2450724489400141</v>
      </c>
      <c r="O69" s="31" t="n">
        <v>0.673639038286969</v>
      </c>
      <c r="P69" s="31" t="n">
        <v>0.326360961713031</v>
      </c>
      <c r="Q69" s="30" t="n">
        <v>3</v>
      </c>
      <c r="R69" s="30" t="n">
        <v>0</v>
      </c>
      <c r="S69" s="28" t="inlineStr">
        <is>
          <t>[PASAR] Riesgo/Beneficio</t>
        </is>
      </c>
      <c r="T69" s="28" t="inlineStr">
        <is>
          <t>[PASAR] Sin Valor</t>
        </is>
      </c>
      <c r="U69" s="32" t="n">
        <v>0</v>
      </c>
      <c r="V69" s="32" t="n">
        <v>0</v>
      </c>
      <c r="W69" s="28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2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2">
        <f>Y68+X69</f>
        <v/>
      </c>
      <c r="Z69" s="33">
        <f>IF(OR(Q69="",R69=""),"",(L69-IF(Q69&gt;R69,1,0))^2+(M69-IF(Q69=R69,1,0))^2+(N69-IF(Q69&lt;R69,1,0))^2)</f>
        <v/>
      </c>
      <c r="AA69" s="33">
        <f>IF(OR(Q69="",R69="",F69="",F69=0,G69="",G69=0,H69="",H69=0),"",((1/F69/(1/F69+1/G69+1/H69))-IF(Q69&gt;R69,1,0))^2+((1/G69/(1/F69+1/G69+1/H69))-IF(Q69=R69,1,0))^2+((1/H69/(1/F69+1/G69+1/H69))-IF(Q69&lt;R69,1,0))^2)</f>
        <v/>
      </c>
      <c r="AB69" s="34" t="n">
        <v>0.8431999999999999</v>
      </c>
      <c r="AC69" s="30" t="inlineStr">
        <is>
          <t>NO</t>
        </is>
      </c>
    </row>
    <row r="70">
      <c r="A70" s="27" t="n">
        <v>46113</v>
      </c>
      <c r="B70" s="28" t="inlineStr">
        <is>
          <t>2026-04-01fluminensecorinthians</t>
        </is>
      </c>
      <c r="C70" s="28" t="inlineStr">
        <is>
          <t>Fluminense vs Corinthians</t>
        </is>
      </c>
      <c r="D70" s="28" t="inlineStr">
        <is>
          <t>Fluminense</t>
        </is>
      </c>
      <c r="E70" s="28" t="inlineStr">
        <is>
          <t>Corinthians</t>
        </is>
      </c>
      <c r="F70" s="29" t="n">
        <v>5.83</v>
      </c>
      <c r="G70" s="29" t="n">
        <v>3.57</v>
      </c>
      <c r="H70" s="29" t="n">
        <v>1.71</v>
      </c>
      <c r="I70" s="29" t="n">
        <v>2.33</v>
      </c>
      <c r="J70" s="29" t="n">
        <v>1.63</v>
      </c>
      <c r="K70" s="30" t="inlineStr">
        <is>
          <t>Brasil</t>
        </is>
      </c>
      <c r="L70" s="31" t="n">
        <v>0.5162318271319581</v>
      </c>
      <c r="M70" s="31" t="n">
        <v>0.2236016837629775</v>
      </c>
      <c r="N70" s="31" t="n">
        <v>0.2601664891050643</v>
      </c>
      <c r="O70" s="31" t="n">
        <v>0.6595672583678465</v>
      </c>
      <c r="P70" s="31" t="n">
        <v>0.3404327416321535</v>
      </c>
      <c r="Q70" s="30" t="n">
        <v>3</v>
      </c>
      <c r="R70" s="30" t="n">
        <v>1</v>
      </c>
      <c r="S70" s="28" t="inlineStr">
        <is>
          <t>[GANADA] LOCAL</t>
        </is>
      </c>
      <c r="T70" s="28" t="inlineStr">
        <is>
          <t>[PASAR] Sin Valor</t>
        </is>
      </c>
      <c r="U70" s="32" t="n">
        <v>1118.03</v>
      </c>
      <c r="V70" s="32" t="n">
        <v>0</v>
      </c>
      <c r="W70" s="28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2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2">
        <f>Y69+X70</f>
        <v/>
      </c>
      <c r="Z70" s="33">
        <f>IF(OR(Q70="",R70=""),"",(L70-IF(Q70&gt;R70,1,0))^2+(M70-IF(Q70=R70,1,0))^2+(N70-IF(Q70&lt;R70,1,0))^2)</f>
        <v/>
      </c>
      <c r="AA70" s="33">
        <f>IF(OR(Q70="",R70="",F70="",F70=0,G70="",G70=0,H70="",H70=0),"",((1/F70/(1/F70+1/G70+1/H70))-IF(Q70&gt;R70,1,0))^2+((1/G70/(1/F70+1/G70+1/H70))-IF(Q70=R70,1,0))^2+((1/H70/(1/F70+1/G70+1/H70))-IF(Q70&lt;R70,1,0))^2)</f>
        <v/>
      </c>
      <c r="AB70" s="34" t="n">
        <v>0.8226</v>
      </c>
      <c r="AC70" s="30" t="inlineStr">
        <is>
          <t>NO</t>
        </is>
      </c>
    </row>
    <row r="71">
      <c r="A71" s="27" t="n">
        <v>46113</v>
      </c>
      <c r="B71" s="28" t="inlineStr">
        <is>
          <t>2026-04-01internacionalsaopaulo</t>
        </is>
      </c>
      <c r="C71" s="28" t="inlineStr">
        <is>
          <t>Internacional vs São Paulo</t>
        </is>
      </c>
      <c r="D71" s="28" t="inlineStr">
        <is>
          <t>Internacional</t>
        </is>
      </c>
      <c r="E71" s="28" t="inlineStr">
        <is>
          <t>São Paulo</t>
        </is>
      </c>
      <c r="F71" s="29" t="n">
        <v>2.31</v>
      </c>
      <c r="G71" s="29" t="n">
        <v>3.01</v>
      </c>
      <c r="H71" s="29" t="n">
        <v>3.44</v>
      </c>
      <c r="I71" s="29" t="n">
        <v>2.17</v>
      </c>
      <c r="J71" s="29" t="n">
        <v>1.72</v>
      </c>
      <c r="K71" s="30" t="inlineStr">
        <is>
          <t>Brasil</t>
        </is>
      </c>
      <c r="L71" s="31" t="n">
        <v>0.4556388335045961</v>
      </c>
      <c r="M71" s="31" t="n">
        <v>0.2381884076160726</v>
      </c>
      <c r="N71" s="31" t="n">
        <v>0.3061727588793313</v>
      </c>
      <c r="O71" s="31" t="n">
        <v>0.6243503202999419</v>
      </c>
      <c r="P71" s="31" t="n">
        <v>0.3756496797000581</v>
      </c>
      <c r="Q71" s="30" t="n">
        <v>1</v>
      </c>
      <c r="R71" s="30" t="n">
        <v>1</v>
      </c>
      <c r="S71" s="28" t="inlineStr">
        <is>
          <t>[PASAR] EV Insuf (0.053&lt;0.080)</t>
        </is>
      </c>
      <c r="T71" s="28" t="inlineStr">
        <is>
          <t>[PASAR] Sin Valor</t>
        </is>
      </c>
      <c r="U71" s="32" t="n">
        <v>0</v>
      </c>
      <c r="V71" s="32" t="n">
        <v>0</v>
      </c>
      <c r="W71" s="28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2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2">
        <f>Y70+X71</f>
        <v/>
      </c>
      <c r="Z71" s="33">
        <f>IF(OR(Q71="",R71=""),"",(L71-IF(Q71&gt;R71,1,0))^2+(M71-IF(Q71=R71,1,0))^2+(N71-IF(Q71&lt;R71,1,0))^2)</f>
        <v/>
      </c>
      <c r="AA71" s="33">
        <f>IF(OR(Q71="",R71="",F71="",F71=0,G71="",G71=0,H71="",H71=0),"",((1/F71/(1/F71+1/G71+1/H71))-IF(Q71&gt;R71,1,0))^2+((1/G71/(1/F71+1/G71+1/H71))-IF(Q71=R71,1,0))^2+((1/H71/(1/F71+1/G71+1/H71))-IF(Q71&lt;R71,1,0))^2)</f>
        <v/>
      </c>
      <c r="AB71" s="34" t="n">
        <v>0.7464</v>
      </c>
      <c r="AC71" s="30" t="inlineStr">
        <is>
          <t>NO</t>
        </is>
      </c>
    </row>
    <row r="72">
      <c r="A72" s="27" t="n">
        <v>46113</v>
      </c>
      <c r="B72" s="28" t="inlineStr">
        <is>
          <t>2026-04-01lanusplatense</t>
        </is>
      </c>
      <c r="C72" s="28" t="inlineStr">
        <is>
          <t>Lanús vs Platense</t>
        </is>
      </c>
      <c r="D72" s="28" t="inlineStr">
        <is>
          <t>Lanús</t>
        </is>
      </c>
      <c r="E72" s="28" t="inlineStr">
        <is>
          <t>Platense</t>
        </is>
      </c>
      <c r="F72" s="29" t="n">
        <v>2.24</v>
      </c>
      <c r="G72" s="29" t="n">
        <v>2.94</v>
      </c>
      <c r="H72" s="29" t="n">
        <v>4.04</v>
      </c>
      <c r="I72" s="29" t="n"/>
      <c r="J72" s="29" t="n"/>
      <c r="K72" s="30" t="inlineStr">
        <is>
          <t>Argentina</t>
        </is>
      </c>
      <c r="L72" s="31" t="n">
        <v>0.4123660693354294</v>
      </c>
      <c r="M72" s="31" t="n">
        <v>0.2769268981253996</v>
      </c>
      <c r="N72" s="31" t="n">
        <v>0.310707032539171</v>
      </c>
      <c r="O72" s="31" t="n">
        <v>0.4754011830978497</v>
      </c>
      <c r="P72" s="31" t="n">
        <v>0.5245988169021503</v>
      </c>
      <c r="Q72" s="30" t="n">
        <v>0</v>
      </c>
      <c r="R72" s="30" t="n">
        <v>0</v>
      </c>
      <c r="S72" s="28" t="inlineStr">
        <is>
          <t>[PASAR] Floor Prob (31%&lt;33%)</t>
        </is>
      </c>
      <c r="T72" s="28" t="inlineStr">
        <is>
          <t>[PASAR] Sin Cuotas</t>
        </is>
      </c>
      <c r="U72" s="32" t="n">
        <v>0</v>
      </c>
      <c r="V72" s="32" t="n">
        <v>0</v>
      </c>
      <c r="W72" s="28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2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2">
        <f>Y71+X72</f>
        <v/>
      </c>
      <c r="Z72" s="33">
        <f>IF(OR(Q72="",R72=""),"",(L72-IF(Q72&gt;R72,1,0))^2+(M72-IF(Q72=R72,1,0))^2+(N72-IF(Q72&lt;R72,1,0))^2)</f>
        <v/>
      </c>
      <c r="AA72" s="33">
        <f>IF(OR(Q72="",R72="",F72="",F72=0,G72="",G72=0,H72="",H72=0),"",((1/F72/(1/F72+1/G72+1/H72))-IF(Q72&gt;R72,1,0))^2+((1/G72/(1/F72+1/G72+1/H72))-IF(Q72=R72,1,0))^2+((1/H72/(1/F72+1/G72+1/H72))-IF(Q72&lt;R72,1,0))^2)</f>
        <v/>
      </c>
      <c r="AB72" s="34" t="n">
        <v>0.7466</v>
      </c>
      <c r="AC72" s="30" t="inlineStr">
        <is>
          <t>NO</t>
        </is>
      </c>
    </row>
    <row r="73">
      <c r="A73" s="27" t="n">
        <v>46114</v>
      </c>
      <c r="B73" s="28" t="inlineStr">
        <is>
          <t>2026-04-02barracascentralsarmientojunin</t>
        </is>
      </c>
      <c r="C73" s="28" t="inlineStr">
        <is>
          <t>Barracas Central vs Sarmiento (junin)</t>
        </is>
      </c>
      <c r="D73" s="28" t="inlineStr">
        <is>
          <t>Barracas Central</t>
        </is>
      </c>
      <c r="E73" s="28" t="inlineStr">
        <is>
          <t>Sarmiento (junin)</t>
        </is>
      </c>
      <c r="F73" s="29" t="n">
        <v>2.67</v>
      </c>
      <c r="G73" s="29" t="n">
        <v>2.84</v>
      </c>
      <c r="H73" s="29" t="n">
        <v>3.27</v>
      </c>
      <c r="I73" s="29" t="n"/>
      <c r="J73" s="29" t="n"/>
      <c r="K73" s="30" t="inlineStr">
        <is>
          <t>Argentina</t>
        </is>
      </c>
      <c r="L73" s="31" t="n">
        <v>0.4180173212402959</v>
      </c>
      <c r="M73" s="31" t="n">
        <v>0.2584287935552567</v>
      </c>
      <c r="N73" s="31" t="n">
        <v>0.3235538852044472</v>
      </c>
      <c r="O73" s="31" t="n">
        <v>0.5544961797151675</v>
      </c>
      <c r="P73" s="31" t="n">
        <v>0.4455038202848325</v>
      </c>
      <c r="Q73" s="30" t="n">
        <v>1</v>
      </c>
      <c r="R73" s="30" t="n">
        <v>2</v>
      </c>
      <c r="S73" s="28" t="inlineStr">
        <is>
          <t>[PERDIDA] LOCAL</t>
        </is>
      </c>
      <c r="T73" s="28" t="inlineStr">
        <is>
          <t>[PASAR] Sin Cuotas</t>
        </is>
      </c>
      <c r="U73" s="32" t="n">
        <v>2500</v>
      </c>
      <c r="V73" s="32" t="n">
        <v>0</v>
      </c>
      <c r="W73" s="28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2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2">
        <f>Y72+X73</f>
        <v/>
      </c>
      <c r="Z73" s="33">
        <f>IF(OR(Q73="",R73=""),"",(L73-IF(Q73&gt;R73,1,0))^2+(M73-IF(Q73=R73,1,0))^2+(N73-IF(Q73&lt;R73,1,0))^2)</f>
        <v/>
      </c>
      <c r="AA73" s="33">
        <f>IF(OR(Q73="",R73="",F73="",F73=0,G73="",G73=0,H73="",H73=0),"",((1/F73/(1/F73+1/G73+1/H73))-IF(Q73&gt;R73,1,0))^2+((1/G73/(1/F73+1/G73+1/H73))-IF(Q73=R73,1,0))^2+((1/H73/(1/F73+1/G73+1/H73))-IF(Q73&lt;R73,1,0))^2)</f>
        <v/>
      </c>
      <c r="AB73" s="34" t="n">
        <v>0.6138</v>
      </c>
      <c r="AC73" s="30" t="inlineStr">
        <is>
          <t>NO</t>
        </is>
      </c>
    </row>
    <row r="74">
      <c r="A74" s="27" t="n">
        <v>46114</v>
      </c>
      <c r="B74" s="28" t="inlineStr">
        <is>
          <t>2026-04-02chapecoenseatleticomg</t>
        </is>
      </c>
      <c r="C74" s="28" t="inlineStr">
        <is>
          <t>Chapecoense vs Atlético-mg</t>
        </is>
      </c>
      <c r="D74" s="28" t="inlineStr">
        <is>
          <t>Chapecoense</t>
        </is>
      </c>
      <c r="E74" s="28" t="inlineStr">
        <is>
          <t>Atlético-mg</t>
        </is>
      </c>
      <c r="F74" s="29" t="n">
        <v>2.47</v>
      </c>
      <c r="G74" s="29" t="n">
        <v>3.4</v>
      </c>
      <c r="H74" s="29" t="n">
        <v>2.87</v>
      </c>
      <c r="I74" s="29" t="n"/>
      <c r="J74" s="29" t="n"/>
      <c r="K74" s="30" t="inlineStr">
        <is>
          <t>Brasil</t>
        </is>
      </c>
      <c r="L74" s="31" t="n">
        <v>0.3759587398249099</v>
      </c>
      <c r="M74" s="31" t="n">
        <v>0.2316108652053599</v>
      </c>
      <c r="N74" s="31" t="n">
        <v>0.3924303949697302</v>
      </c>
      <c r="O74" s="31" t="n">
        <v>0.6733716590854798</v>
      </c>
      <c r="P74" s="31" t="n">
        <v>0.3266283409145201</v>
      </c>
      <c r="Q74" s="30" t="n">
        <v>0</v>
      </c>
      <c r="R74" s="30" t="n">
        <v>4</v>
      </c>
      <c r="S74" s="28" t="inlineStr">
        <is>
          <t>[PASAR] Margen Predictivo Insuficiente (&lt;5%)</t>
        </is>
      </c>
      <c r="T74" s="28" t="inlineStr">
        <is>
          <t>[PASAR] Sin Cuotas</t>
        </is>
      </c>
      <c r="U74" s="32" t="n">
        <v>0</v>
      </c>
      <c r="V74" s="32" t="n">
        <v>0</v>
      </c>
      <c r="W74" s="28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2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2">
        <f>Y73+X74</f>
        <v/>
      </c>
      <c r="Z74" s="33">
        <f>IF(OR(Q74="",R74=""),"",(L74-IF(Q74&gt;R74,1,0))^2+(M74-IF(Q74=R74,1,0))^2+(N74-IF(Q74&lt;R74,1,0))^2)</f>
        <v/>
      </c>
      <c r="AA74" s="33">
        <f>IF(OR(Q74="",R74="",F74="",F74=0,G74="",G74=0,H74="",H74=0),"",((1/F74/(1/F74+1/G74+1/H74))-IF(Q74&gt;R74,1,0))^2+((1/G74/(1/F74+1/G74+1/H74))-IF(Q74=R74,1,0))^2+((1/H74/(1/F74+1/G74+1/H74))-IF(Q74&lt;R74,1,0))^2)</f>
        <v/>
      </c>
      <c r="AB74" s="34" t="n">
        <v>0.9306</v>
      </c>
      <c r="AC74" s="30" t="inlineStr">
        <is>
          <t>NO</t>
        </is>
      </c>
    </row>
    <row r="75">
      <c r="A75" s="30" t="inlineStr">
        <is>
          <t>01/04/2026 21:30</t>
        </is>
      </c>
      <c r="B75" s="28" t="inlineStr">
        <is>
          <t>2026-04-02fluminensecorinthians</t>
        </is>
      </c>
      <c r="C75" s="28" t="inlineStr">
        <is>
          <t>Fluminense vs Corinthians</t>
        </is>
      </c>
      <c r="D75" s="28" t="inlineStr">
        <is>
          <t>Fluminense</t>
        </is>
      </c>
      <c r="E75" s="28" t="inlineStr">
        <is>
          <t>Corinthians</t>
        </is>
      </c>
      <c r="F75" s="29" t="n">
        <v>5.83</v>
      </c>
      <c r="G75" s="29" t="n">
        <v>3.57</v>
      </c>
      <c r="H75" s="29" t="n">
        <v>1.71</v>
      </c>
      <c r="I75" s="29" t="n"/>
      <c r="J75" s="29" t="n"/>
      <c r="K75" s="30" t="inlineStr">
        <is>
          <t>Brasil</t>
        </is>
      </c>
      <c r="L75" s="31" t="n">
        <v>0.5162318271319581</v>
      </c>
      <c r="M75" s="31" t="n">
        <v>0.2236016837629775</v>
      </c>
      <c r="N75" s="31" t="n">
        <v>0.2601664891050643</v>
      </c>
      <c r="O75" s="31" t="n">
        <v>0.6595672583678465</v>
      </c>
      <c r="P75" s="31" t="n">
        <v>0.3404327416321535</v>
      </c>
      <c r="Q75" s="30" t="n">
        <v>3</v>
      </c>
      <c r="R75" s="30" t="n">
        <v>1</v>
      </c>
      <c r="S75" s="28">
        <f>IF(OR(Q75="",R75=""),"[APOSTAR] LOCAL",IF(Q75&gt;R75,"[GANADA] LOCAL","[PERDIDA] LOCAL"))</f>
        <v/>
      </c>
      <c r="T75" s="28" t="inlineStr">
        <is>
          <t>[PASAR] Sin Cuotas</t>
        </is>
      </c>
      <c r="U75" s="32" t="n">
        <v>1118.03</v>
      </c>
      <c r="V75" s="32" t="n">
        <v>0</v>
      </c>
      <c r="W75" s="28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2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2">
        <f>Y74+X75</f>
        <v/>
      </c>
      <c r="Z75" s="33">
        <f>IF(OR(Q75="",R75=""),"",(L75-IF(Q75&gt;R75,1,0))^2+(M75-IF(Q75=R75,1,0))^2+(N75-IF(Q75&lt;R75,1,0))^2)</f>
        <v/>
      </c>
      <c r="AA75" s="33">
        <f>IF(OR(Q75="",R75="",F75="",F75=0,G75="",G75=0,H75="",H75=0),"",((1/F75/(1/F75+1/G75+1/H75))-IF(Q75&gt;R75,1,0))^2+((1/G75/(1/F75+1/G75+1/H75))-IF(Q75=R75,1,0))^2+((1/H75/(1/F75+1/G75+1/H75))-IF(Q75&lt;R75,1,0))^2)</f>
        <v/>
      </c>
      <c r="AB75" s="34" t="n">
        <v>0.8226</v>
      </c>
      <c r="AC75" s="30" t="inlineStr">
        <is>
          <t>NO</t>
        </is>
      </c>
    </row>
    <row r="76">
      <c r="A76" s="27" t="n">
        <v>46114</v>
      </c>
      <c r="B76" s="28" t="inlineStr">
        <is>
          <t>2026-04-02palmeirasgremio</t>
        </is>
      </c>
      <c r="C76" s="28" t="inlineStr">
        <is>
          <t>Palmeiras vs Grêmio</t>
        </is>
      </c>
      <c r="D76" s="28" t="inlineStr">
        <is>
          <t>Palmeiras</t>
        </is>
      </c>
      <c r="E76" s="28" t="inlineStr">
        <is>
          <t>Grêmio</t>
        </is>
      </c>
      <c r="F76" s="29" t="n">
        <v>6.03</v>
      </c>
      <c r="G76" s="29" t="n">
        <v>4.24</v>
      </c>
      <c r="H76" s="29" t="n">
        <v>1.54</v>
      </c>
      <c r="I76" s="29" t="n">
        <v>1.86</v>
      </c>
      <c r="J76" s="29" t="n">
        <v>2</v>
      </c>
      <c r="K76" s="30" t="inlineStr">
        <is>
          <t>Brasil</t>
        </is>
      </c>
      <c r="L76" s="31" t="n">
        <v>0.4980211699682912</v>
      </c>
      <c r="M76" s="31" t="n">
        <v>0.2204435404032659</v>
      </c>
      <c r="N76" s="31" t="n">
        <v>0.2815352896284428</v>
      </c>
      <c r="O76" s="31" t="n">
        <v>0.690539118596024</v>
      </c>
      <c r="P76" s="31" t="n">
        <v>0.3094608814039759</v>
      </c>
      <c r="Q76" s="30" t="n">
        <v>2</v>
      </c>
      <c r="R76" s="30" t="n">
        <v>1</v>
      </c>
      <c r="S76" s="28" t="inlineStr">
        <is>
          <t>[GANADA] LOCAL</t>
        </is>
      </c>
      <c r="T76" s="28" t="inlineStr">
        <is>
          <t>[PASAR] Sin Valor</t>
        </is>
      </c>
      <c r="U76" s="32" t="n">
        <v>1250</v>
      </c>
      <c r="V76" s="32" t="n">
        <v>0</v>
      </c>
      <c r="W76" s="28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2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2">
        <f>Y75+X76</f>
        <v/>
      </c>
      <c r="Z76" s="33">
        <f>IF(OR(Q76="",R76=""),"",(L76-IF(Q76&gt;R76,1,0))^2+(M76-IF(Q76=R76,1,0))^2+(N76-IF(Q76&lt;R76,1,0))^2)</f>
        <v/>
      </c>
      <c r="AA76" s="33">
        <f>IF(OR(Q76="",R76="",F76="",F76=0,G76="",G76=0,H76="",H76=0),"",((1/F76/(1/F76+1/G76+1/H76))-IF(Q76&gt;R76,1,0))^2+((1/G76/(1/F76+1/G76+1/H76))-IF(Q76=R76,1,0))^2+((1/H76/(1/F76+1/G76+1/H76))-IF(Q76&lt;R76,1,0))^2)</f>
        <v/>
      </c>
      <c r="AB76" s="34" t="n">
        <v>0.8442</v>
      </c>
      <c r="AC76" s="30" t="inlineStr">
        <is>
          <t>NO</t>
        </is>
      </c>
    </row>
    <row r="77">
      <c r="A77" s="27" t="n">
        <v>46114</v>
      </c>
      <c r="B77" s="28" t="inlineStr">
        <is>
          <t>2026-04-02redbullbragantinoflamengo</t>
        </is>
      </c>
      <c r="C77" s="28" t="inlineStr">
        <is>
          <t>Red Bull Bragantino vs Flamengo</t>
        </is>
      </c>
      <c r="D77" s="28" t="inlineStr">
        <is>
          <t>Red Bull Bragantino</t>
        </is>
      </c>
      <c r="E77" s="28" t="inlineStr">
        <is>
          <t>Flamengo</t>
        </is>
      </c>
      <c r="F77" s="29" t="n">
        <v>4.42</v>
      </c>
      <c r="G77" s="29" t="n">
        <v>3.41</v>
      </c>
      <c r="H77" s="29" t="n">
        <v>1.88</v>
      </c>
      <c r="I77" s="29" t="n"/>
      <c r="J77" s="29" t="n"/>
      <c r="K77" s="30" t="inlineStr">
        <is>
          <t>Brasil</t>
        </is>
      </c>
      <c r="L77" s="31" t="n">
        <v>0.4193227560980125</v>
      </c>
      <c r="M77" s="31" t="n">
        <v>0.2344342015090037</v>
      </c>
      <c r="N77" s="31" t="n">
        <v>0.3462430423929839</v>
      </c>
      <c r="O77" s="31" t="n">
        <v>0.6558913692263365</v>
      </c>
      <c r="P77" s="31" t="n">
        <v>0.3441086307736635</v>
      </c>
      <c r="Q77" s="30" t="n">
        <v>3</v>
      </c>
      <c r="R77" s="30" t="n">
        <v>0</v>
      </c>
      <c r="S77" s="28" t="inlineStr">
        <is>
          <t>[GANADA] LOCAL</t>
        </is>
      </c>
      <c r="T77" s="28" t="inlineStr">
        <is>
          <t>[PASAR] Sin Cuotas</t>
        </is>
      </c>
      <c r="U77" s="32" t="n">
        <v>1250</v>
      </c>
      <c r="V77" s="32" t="n">
        <v>0</v>
      </c>
      <c r="W77" s="28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2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2">
        <f>Y76+X77</f>
        <v/>
      </c>
      <c r="Z77" s="33">
        <f>IF(OR(Q77="",R77=""),"",(L77-IF(Q77&gt;R77,1,0))^2+(M77-IF(Q77=R77,1,0))^2+(N77-IF(Q77&lt;R77,1,0))^2)</f>
        <v/>
      </c>
      <c r="AA77" s="33">
        <f>IF(OR(Q77="",R77="",F77="",F77=0,G77="",G77=0,H77="",H77=0),"",((1/F77/(1/F77+1/G77+1/H77))-IF(Q77&gt;R77,1,0))^2+((1/G77/(1/F77+1/G77+1/H77))-IF(Q77=R77,1,0))^2+((1/H77/(1/F77+1/G77+1/H77))-IF(Q77&lt;R77,1,0))^2)</f>
        <v/>
      </c>
      <c r="AB77" s="34" t="n">
        <v>0.849</v>
      </c>
      <c r="AC77" s="30" t="inlineStr">
        <is>
          <t>NO</t>
        </is>
      </c>
    </row>
    <row r="78">
      <c r="A78" s="27" t="n">
        <v>46114</v>
      </c>
      <c r="B78" s="28" t="inlineStr">
        <is>
          <t>2026-04-02santosremo</t>
        </is>
      </c>
      <c r="C78" s="28" t="inlineStr">
        <is>
          <t>Santos vs Remo</t>
        </is>
      </c>
      <c r="D78" s="28" t="inlineStr">
        <is>
          <t>Santos</t>
        </is>
      </c>
      <c r="E78" s="28" t="inlineStr">
        <is>
          <t>Remo</t>
        </is>
      </c>
      <c r="F78" s="29" t="n">
        <v>6.05</v>
      </c>
      <c r="G78" s="29" t="n">
        <v>3.87</v>
      </c>
      <c r="H78" s="29" t="n">
        <v>1.63</v>
      </c>
      <c r="I78" s="29" t="n">
        <v>1.98</v>
      </c>
      <c r="J78" s="29" t="n">
        <v>1.9</v>
      </c>
      <c r="K78" s="30" t="inlineStr">
        <is>
          <t>Brasil</t>
        </is>
      </c>
      <c r="L78" s="31" t="n">
        <v>0.436572765969433</v>
      </c>
      <c r="M78" s="31" t="n">
        <v>0.2358819845004429</v>
      </c>
      <c r="N78" s="31" t="n">
        <v>0.3275452495301243</v>
      </c>
      <c r="O78" s="31" t="n">
        <v>0.6437684226844578</v>
      </c>
      <c r="P78" s="31" t="n">
        <v>0.3562315773155422</v>
      </c>
      <c r="Q78" s="30" t="n">
        <v>2</v>
      </c>
      <c r="R78" s="30" t="n">
        <v>0</v>
      </c>
      <c r="S78" s="28" t="inlineStr">
        <is>
          <t>[GANADA] LOCAL</t>
        </is>
      </c>
      <c r="T78" s="28" t="inlineStr">
        <is>
          <t>[PASAR] Sin Valor</t>
        </is>
      </c>
      <c r="U78" s="32" t="n">
        <v>1250</v>
      </c>
      <c r="V78" s="32" t="n">
        <v>0</v>
      </c>
      <c r="W78" s="28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2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2">
        <f>Y77+X78</f>
        <v/>
      </c>
      <c r="Z78" s="33">
        <f>IF(OR(Q78="",R78=""),"",(L78-IF(Q78&gt;R78,1,0))^2+(M78-IF(Q78=R78,1,0))^2+(N78-IF(Q78&lt;R78,1,0))^2)</f>
        <v/>
      </c>
      <c r="AA78" s="33">
        <f>IF(OR(Q78="",R78="",F78="",F78=0,G78="",G78=0,H78="",H78=0),"",((1/F78/(1/F78+1/G78+1/H78))-IF(Q78&gt;R78,1,0))^2+((1/G78/(1/F78+1/G78+1/H78))-IF(Q78=R78,1,0))^2+((1/H78/(1/F78+1/G78+1/H78))-IF(Q78&lt;R78,1,0))^2)</f>
        <v/>
      </c>
      <c r="AB78" s="34" t="n">
        <v>0.6263</v>
      </c>
      <c r="AC78" s="30" t="inlineStr">
        <is>
          <t>NO</t>
        </is>
      </c>
    </row>
    <row r="79">
      <c r="A79" s="27" t="n">
        <v>46114</v>
      </c>
      <c r="B79" s="28" t="inlineStr">
        <is>
          <t>2026-04-02tallerescordobabocajuniors</t>
        </is>
      </c>
      <c r="C79" s="28" t="inlineStr">
        <is>
          <t>Talleres (córdoba) vs Boca Juniors</t>
        </is>
      </c>
      <c r="D79" s="28" t="inlineStr">
        <is>
          <t>Talleres (córdoba)</t>
        </is>
      </c>
      <c r="E79" s="28" t="inlineStr">
        <is>
          <t>Boca Juniors</t>
        </is>
      </c>
      <c r="F79" s="29" t="n"/>
      <c r="G79" s="29" t="n"/>
      <c r="H79" s="29" t="n"/>
      <c r="I79" s="29" t="n"/>
      <c r="J79" s="29" t="n"/>
      <c r="K79" s="30" t="inlineStr">
        <is>
          <t>Argentina</t>
        </is>
      </c>
      <c r="L79" s="31" t="n">
        <v>0.3664922331532478</v>
      </c>
      <c r="M79" s="31" t="n">
        <v>0.2674715221985613</v>
      </c>
      <c r="N79" s="31" t="n">
        <v>0.3660362446481908</v>
      </c>
      <c r="O79" s="31" t="n">
        <v>0.5224005312757404</v>
      </c>
      <c r="P79" s="31" t="n">
        <v>0.4775994687242597</v>
      </c>
      <c r="Q79" s="30" t="n">
        <v>0</v>
      </c>
      <c r="R79" s="30" t="n">
        <v>1</v>
      </c>
      <c r="S79" s="28" t="inlineStr">
        <is>
          <t>[PASAR] Sin Cuotas</t>
        </is>
      </c>
      <c r="T79" s="28" t="inlineStr">
        <is>
          <t>[PASAR] Sin Cuotas</t>
        </is>
      </c>
      <c r="U79" s="32" t="n">
        <v>0</v>
      </c>
      <c r="V79" s="32" t="n">
        <v>0</v>
      </c>
      <c r="W79" s="28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2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2">
        <f>Y78+X79</f>
        <v/>
      </c>
      <c r="Z79" s="33">
        <f>IF(OR(Q79="",R79=""),"",(L79-IF(Q79&gt;R79,1,0))^2+(M79-IF(Q79=R79,1,0))^2+(N79-IF(Q79&lt;R79,1,0))^2)</f>
        <v/>
      </c>
      <c r="AA79" s="33">
        <f>IF(OR(Q79="",R79="",F79="",F79=0,G79="",G79=0,H79="",H79=0),"",((1/F79/(1/F79+1/G79+1/H79))-IF(Q79&gt;R79,1,0))^2+((1/G79/(1/F79+1/G79+1/H79))-IF(Q79=R79,1,0))^2+((1/H79/(1/F79+1/G79+1/H79))-IF(Q79&lt;R79,1,0))^2)</f>
        <v/>
      </c>
      <c r="AB79" s="34" t="n">
        <v>0.5788</v>
      </c>
      <c r="AC79" s="30" t="inlineStr">
        <is>
          <t>NO</t>
        </is>
      </c>
    </row>
    <row r="80">
      <c r="A80" s="27" t="n">
        <v>46114</v>
      </c>
      <c r="B80" s="28" t="inlineStr">
        <is>
          <t>2026-04-02tigreindependienterivadavia</t>
        </is>
      </c>
      <c r="C80" s="28" t="inlineStr">
        <is>
          <t>Tigre vs Independiente Rivadavia</t>
        </is>
      </c>
      <c r="D80" s="28" t="inlineStr">
        <is>
          <t>Tigre</t>
        </is>
      </c>
      <c r="E80" s="28" t="inlineStr">
        <is>
          <t>Independiente Rivadavia</t>
        </is>
      </c>
      <c r="F80" s="29" t="n">
        <v>2.25</v>
      </c>
      <c r="G80" s="29" t="n">
        <v>3.07</v>
      </c>
      <c r="H80" s="29" t="n">
        <v>3.8</v>
      </c>
      <c r="I80" s="29" t="n"/>
      <c r="J80" s="29" t="n"/>
      <c r="K80" s="30" t="inlineStr">
        <is>
          <t>Argentina</t>
        </is>
      </c>
      <c r="L80" s="31" t="n">
        <v>0.3822885660488354</v>
      </c>
      <c r="M80" s="31" t="n">
        <v>0.2638650255530964</v>
      </c>
      <c r="N80" s="31" t="n">
        <v>0.3538464083980681</v>
      </c>
      <c r="O80" s="31" t="n">
        <v>0.537191674357519</v>
      </c>
      <c r="P80" s="31" t="n">
        <v>0.4628083256424809</v>
      </c>
      <c r="Q80" s="30" t="n">
        <v>0</v>
      </c>
      <c r="R80" s="30" t="n">
        <v>2</v>
      </c>
      <c r="S80" s="28" t="inlineStr">
        <is>
          <t>[PASAR] Margen Predictivo Insuficiente (&lt;5%)</t>
        </is>
      </c>
      <c r="T80" s="28" t="inlineStr">
        <is>
          <t>[PASAR] Sin Cuotas</t>
        </is>
      </c>
      <c r="U80" s="32" t="n">
        <v>0</v>
      </c>
      <c r="V80" s="32" t="n">
        <v>0</v>
      </c>
      <c r="W80" s="28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2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2">
        <f>Y79+X80</f>
        <v/>
      </c>
      <c r="Z80" s="33">
        <f>IF(OR(Q80="",R80=""),"",(L80-IF(Q80&gt;R80,1,0))^2+(M80-IF(Q80=R80,1,0))^2+(N80-IF(Q80&lt;R80,1,0))^2)</f>
        <v/>
      </c>
      <c r="AA80" s="33">
        <f>IF(OR(Q80="",R80="",F80="",F80=0,G80="",G80=0,H80="",H80=0),"",((1/F80/(1/F80+1/G80+1/H80))-IF(Q80&gt;R80,1,0))^2+((1/G80/(1/F80+1/G80+1/H80))-IF(Q80=R80,1,0))^2+((1/H80/(1/F80+1/G80+1/H80))-IF(Q80&lt;R80,1,0))^2)</f>
        <v/>
      </c>
      <c r="AB80" s="34" t="n">
        <v>0.5338000000000001</v>
      </c>
      <c r="AC80" s="30" t="inlineStr">
        <is>
          <t>NO</t>
        </is>
      </c>
    </row>
    <row r="81">
      <c r="A81" s="27" t="n">
        <v>46115</v>
      </c>
      <c r="B81" s="28" t="inlineStr">
        <is>
          <t>2026-04-03gimnasiamendozavelezsarsfield</t>
        </is>
      </c>
      <c r="C81" s="28" t="inlineStr">
        <is>
          <t>Gimnasia Mendoza vs Velez Sarsfield</t>
        </is>
      </c>
      <c r="D81" s="28" t="inlineStr">
        <is>
          <t>Gimnasia Mendoza</t>
        </is>
      </c>
      <c r="E81" s="28" t="inlineStr">
        <is>
          <t>Velez Sarsfield</t>
        </is>
      </c>
      <c r="F81" s="29" t="n">
        <v>4.1</v>
      </c>
      <c r="G81" s="29" t="n">
        <v>2.91</v>
      </c>
      <c r="H81" s="29" t="n">
        <v>2.24</v>
      </c>
      <c r="I81" s="29" t="n"/>
      <c r="J81" s="29" t="n"/>
      <c r="K81" s="30" t="inlineStr">
        <is>
          <t>Argentina</t>
        </is>
      </c>
      <c r="L81" s="31" t="n">
        <v>0.4072242049310042</v>
      </c>
      <c r="M81" s="31" t="n">
        <v>0.2521504069838092</v>
      </c>
      <c r="N81" s="31" t="n">
        <v>0.3406253880851866</v>
      </c>
      <c r="O81" s="31" t="n">
        <v>0.5860389248216261</v>
      </c>
      <c r="P81" s="31" t="n">
        <v>0.4139610751783738</v>
      </c>
      <c r="Q81" s="30" t="n">
        <v>3</v>
      </c>
      <c r="R81" s="30" t="n">
        <v>2</v>
      </c>
      <c r="S81" s="28" t="inlineStr">
        <is>
          <t>[GANADA] LOCAL</t>
        </is>
      </c>
      <c r="T81" s="28" t="inlineStr">
        <is>
          <t>[PASAR] Sin Cuotas</t>
        </is>
      </c>
      <c r="U81" s="32" t="n">
        <v>2500</v>
      </c>
      <c r="V81" s="32" t="n">
        <v>0</v>
      </c>
      <c r="W81" s="28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2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2">
        <f>Y80+X81</f>
        <v/>
      </c>
      <c r="Z81" s="33">
        <f>IF(OR(Q81="",R81=""),"",(L81-IF(Q81&gt;R81,1,0))^2+(M81-IF(Q81=R81,1,0))^2+(N81-IF(Q81&lt;R81,1,0))^2)</f>
        <v/>
      </c>
      <c r="AA81" s="33">
        <f>IF(OR(Q81="",R81="",F81="",F81=0,G81="",G81=0,H81="",H81=0),"",((1/F81/(1/F81+1/G81+1/H81))-IF(Q81&gt;R81,1,0))^2+((1/G81/(1/F81+1/G81+1/H81))-IF(Q81=R81,1,0))^2+((1/H81/(1/F81+1/G81+1/H81))-IF(Q81&lt;R81,1,0))^2)</f>
        <v/>
      </c>
      <c r="AB81" s="34" t="n">
        <v>0.6916</v>
      </c>
      <c r="AC81" s="30" t="inlineStr">
        <is>
          <t>NO</t>
        </is>
      </c>
    </row>
    <row r="82">
      <c r="A82" s="27" t="n">
        <v>46114</v>
      </c>
      <c r="B82" s="28" t="inlineStr">
        <is>
          <t>2026-04-03palmeirasgremio</t>
        </is>
      </c>
      <c r="C82" s="28" t="inlineStr">
        <is>
          <t>Palmeiras vs Gremio</t>
        </is>
      </c>
      <c r="D82" s="28" t="inlineStr">
        <is>
          <t>Palmeiras</t>
        </is>
      </c>
      <c r="E82" s="28" t="inlineStr">
        <is>
          <t>Gremio</t>
        </is>
      </c>
      <c r="F82" s="29" t="n">
        <v>6.52</v>
      </c>
      <c r="G82" s="29" t="n">
        <v>4.53</v>
      </c>
      <c r="H82" s="29" t="n">
        <v>1.51</v>
      </c>
      <c r="I82" s="29" t="n">
        <v>1.86</v>
      </c>
      <c r="J82" s="29" t="n">
        <v>2</v>
      </c>
      <c r="K82" s="30" t="inlineStr">
        <is>
          <t>Brasil</t>
        </is>
      </c>
      <c r="L82" s="31" t="n">
        <v>0.4980211699682912</v>
      </c>
      <c r="M82" s="31" t="n">
        <v>0.2204435404032659</v>
      </c>
      <c r="N82" s="31" t="n">
        <v>0.2815352896284428</v>
      </c>
      <c r="O82" s="31" t="n">
        <v>0.690539118596024</v>
      </c>
      <c r="P82" s="31" t="n">
        <v>0.3094608814039759</v>
      </c>
      <c r="Q82" s="30" t="n">
        <v>2</v>
      </c>
      <c r="R82" s="30" t="n">
        <v>1</v>
      </c>
      <c r="S82" s="28">
        <f>IF(OR(Q82="",R82=""),"[APOSTAR] LOCAL",IF(Q82&gt;R82,"[GANADA] LOCAL","[PERDIDA] LOCAL"))</f>
        <v/>
      </c>
      <c r="T82" s="28" t="inlineStr">
        <is>
          <t>[PASAR] Sin Valor</t>
        </is>
      </c>
      <c r="U82" s="32" t="n">
        <v>1250</v>
      </c>
      <c r="V82" s="32" t="n">
        <v>0</v>
      </c>
      <c r="W82" s="28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2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2">
        <f>Y81+X82</f>
        <v/>
      </c>
      <c r="Z82" s="33">
        <f>IF(OR(Q82="",R82=""),"",(L82-IF(Q82&gt;R82,1,0))^2+(M82-IF(Q82=R82,1,0))^2+(N82-IF(Q82&lt;R82,1,0))^2)</f>
        <v/>
      </c>
      <c r="AA82" s="33">
        <f>IF(OR(Q82="",R82="",F82="",F82=0,G82="",G82=0,H82="",H82=0),"",((1/F82/(1/F82+1/G82+1/H82))-IF(Q82&gt;R82,1,0))^2+((1/G82/(1/F82+1/G82+1/H82))-IF(Q82=R82,1,0))^2+((1/H82/(1/F82+1/G82+1/H82))-IF(Q82&lt;R82,1,0))^2)</f>
        <v/>
      </c>
      <c r="AB82" s="34" t="n">
        <v>0.8442</v>
      </c>
      <c r="AC82" s="30" t="inlineStr">
        <is>
          <t>NO</t>
        </is>
      </c>
    </row>
    <row r="83">
      <c r="A83" s="30" t="inlineStr">
        <is>
          <t>02/04/2026 21:30</t>
        </is>
      </c>
      <c r="B83" s="28" t="inlineStr">
        <is>
          <t>2026-04-03redbullbragantinoflamengo</t>
        </is>
      </c>
      <c r="C83" s="28" t="inlineStr">
        <is>
          <t>Red Bull Bragantino vs Flamengo</t>
        </is>
      </c>
      <c r="D83" s="28" t="inlineStr">
        <is>
          <t>Red Bull Bragantino</t>
        </is>
      </c>
      <c r="E83" s="28" t="inlineStr">
        <is>
          <t>Flamengo</t>
        </is>
      </c>
      <c r="F83" s="29" t="n"/>
      <c r="G83" s="29" t="n"/>
      <c r="H83" s="29" t="n"/>
      <c r="I83" s="29" t="n"/>
      <c r="J83" s="29" t="n"/>
      <c r="K83" s="30" t="inlineStr">
        <is>
          <t>Brasil</t>
        </is>
      </c>
      <c r="L83" s="31" t="n">
        <v>0.4193227560980125</v>
      </c>
      <c r="M83" s="31" t="n">
        <v>0.2344342015090037</v>
      </c>
      <c r="N83" s="31" t="n">
        <v>0.3462430423929839</v>
      </c>
      <c r="O83" s="31" t="n">
        <v>0.6558913692263365</v>
      </c>
      <c r="P83" s="31" t="n">
        <v>0.3441086307736635</v>
      </c>
      <c r="Q83" s="30" t="n">
        <v>3</v>
      </c>
      <c r="R83" s="30" t="n">
        <v>0</v>
      </c>
      <c r="S83" s="28" t="inlineStr">
        <is>
          <t>[PASAR] Sin Cuotas</t>
        </is>
      </c>
      <c r="T83" s="28" t="inlineStr">
        <is>
          <t>[PASAR] Sin Cuotas</t>
        </is>
      </c>
      <c r="U83" s="32" t="n">
        <v>0</v>
      </c>
      <c r="V83" s="32" t="n">
        <v>0</v>
      </c>
      <c r="W83" s="28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2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2">
        <f>Y82+X83</f>
        <v/>
      </c>
      <c r="Z83" s="33">
        <f>IF(OR(Q83="",R83=""),"",(L83-IF(Q83&gt;R83,1,0))^2+(M83-IF(Q83=R83,1,0))^2+(N83-IF(Q83&lt;R83,1,0))^2)</f>
        <v/>
      </c>
      <c r="AA83" s="33">
        <f>IF(OR(Q83="",R83="",F83="",F83=0,G83="",G83=0,H83="",H83=0),"",((1/F83/(1/F83+1/G83+1/H83))-IF(Q83&gt;R83,1,0))^2+((1/G83/(1/F83+1/G83+1/H83))-IF(Q83=R83,1,0))^2+((1/H83/(1/F83+1/G83+1/H83))-IF(Q83&lt;R83,1,0))^2)</f>
        <v/>
      </c>
      <c r="AB83" s="34" t="n">
        <v>0.849</v>
      </c>
      <c r="AC83" s="30" t="inlineStr">
        <is>
          <t>NO</t>
        </is>
      </c>
    </row>
    <row r="84">
      <c r="A84" s="27" t="n">
        <v>46115</v>
      </c>
      <c r="B84" s="28" t="inlineStr">
        <is>
          <t>2026-04-03sanlorenzoestudiantesdelaplata</t>
        </is>
      </c>
      <c r="C84" s="28" t="inlineStr">
        <is>
          <t>San Lorenzo vs Estudiantes de la Plata</t>
        </is>
      </c>
      <c r="D84" s="28" t="inlineStr">
        <is>
          <t>San Lorenzo</t>
        </is>
      </c>
      <c r="E84" s="28" t="inlineStr">
        <is>
          <t>Estudiantes de la Plata</t>
        </is>
      </c>
      <c r="F84" s="29" t="n">
        <v>3.49</v>
      </c>
      <c r="G84" s="29" t="n">
        <v>2.89</v>
      </c>
      <c r="H84" s="29" t="n">
        <v>2.5</v>
      </c>
      <c r="I84" s="29" t="n"/>
      <c r="J84" s="29" t="n"/>
      <c r="K84" s="30" t="inlineStr">
        <is>
          <t>Argentina</t>
        </is>
      </c>
      <c r="L84" s="31" t="n">
        <v>0.3666619926508228</v>
      </c>
      <c r="M84" s="31" t="n">
        <v>0.267131566738302</v>
      </c>
      <c r="N84" s="31" t="n">
        <v>0.3662064406108753</v>
      </c>
      <c r="O84" s="31" t="n">
        <v>0.5238432985648792</v>
      </c>
      <c r="P84" s="31" t="n">
        <v>0.4761567014351207</v>
      </c>
      <c r="Q84" s="30" t="n">
        <v>1</v>
      </c>
      <c r="R84" s="30" t="n">
        <v>0</v>
      </c>
      <c r="S84" s="28" t="inlineStr">
        <is>
          <t>[PASAR] Margen Predictivo Insuficiente (&lt;5%)</t>
        </is>
      </c>
      <c r="T84" s="28" t="inlineStr">
        <is>
          <t>[PASAR] Sin Cuotas</t>
        </is>
      </c>
      <c r="U84" s="32" t="n">
        <v>0</v>
      </c>
      <c r="V84" s="32" t="n">
        <v>0</v>
      </c>
      <c r="W84" s="28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2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2">
        <f>Y83+X84</f>
        <v/>
      </c>
      <c r="Z84" s="33">
        <f>IF(OR(Q84="",R84=""),"",(L84-IF(Q84&gt;R84,1,0))^2+(M84-IF(Q84=R84,1,0))^2+(N84-IF(Q84&lt;R84,1,0))^2)</f>
        <v/>
      </c>
      <c r="AA84" s="33">
        <f>IF(OR(Q84="",R84="",F84="",F84=0,G84="",G84=0,H84="",H84=0),"",((1/F84/(1/F84+1/G84+1/H84))-IF(Q84&gt;R84,1,0))^2+((1/G84/(1/F84+1/G84+1/H84))-IF(Q84=R84,1,0))^2+((1/H84/(1/F84+1/G84+1/H84))-IF(Q84&lt;R84,1,0))^2)</f>
        <v/>
      </c>
      <c r="AB84" s="34" t="n">
        <v>0.64</v>
      </c>
      <c r="AC84" s="30" t="inlineStr">
        <is>
          <t>NO</t>
        </is>
      </c>
    </row>
    <row r="85">
      <c r="A85" s="27" t="n">
        <v>46115</v>
      </c>
      <c r="B85" s="28" t="inlineStr">
        <is>
          <t>2026-04-03unionsantafedeportivoriestra</t>
        </is>
      </c>
      <c r="C85" s="28" t="inlineStr">
        <is>
          <t>Union (santa Fe) vs Deportivo Riestra</t>
        </is>
      </c>
      <c r="D85" s="28" t="inlineStr">
        <is>
          <t>Union (santa Fe)</t>
        </is>
      </c>
      <c r="E85" s="28" t="inlineStr">
        <is>
          <t>Deportivo Riestra</t>
        </is>
      </c>
      <c r="F85" s="29" t="n">
        <v>1.93</v>
      </c>
      <c r="G85" s="29" t="n">
        <v>3.11</v>
      </c>
      <c r="H85" s="29" t="n">
        <v>5.15</v>
      </c>
      <c r="I85" s="29" t="n"/>
      <c r="J85" s="29" t="n"/>
      <c r="K85" s="30" t="inlineStr">
        <is>
          <t>Argentina</t>
        </is>
      </c>
      <c r="L85" s="31" t="n">
        <v>0.4733274581233547</v>
      </c>
      <c r="M85" s="31" t="n">
        <v>0.2527772286815116</v>
      </c>
      <c r="N85" s="31" t="n">
        <v>0.2738953131951335</v>
      </c>
      <c r="O85" s="31" t="n">
        <v>0.554841106162472</v>
      </c>
      <c r="P85" s="31" t="n">
        <v>0.4451588938375281</v>
      </c>
      <c r="Q85" s="30" t="n">
        <v>2</v>
      </c>
      <c r="R85" s="30" t="n">
        <v>0</v>
      </c>
      <c r="S85" s="28" t="inlineStr">
        <is>
          <t>[PASAR] Riesgo/Beneficio</t>
        </is>
      </c>
      <c r="T85" s="28" t="inlineStr">
        <is>
          <t>[PASAR] Sin Cuotas</t>
        </is>
      </c>
      <c r="U85" s="32" t="n">
        <v>0</v>
      </c>
      <c r="V85" s="32" t="n">
        <v>0</v>
      </c>
      <c r="W85" s="28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2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2">
        <f>Y84+X85</f>
        <v/>
      </c>
      <c r="Z85" s="33">
        <f>IF(OR(Q85="",R85=""),"",(L85-IF(Q85&gt;R85,1,0))^2+(M85-IF(Q85=R85,1,0))^2+(N85-IF(Q85&lt;R85,1,0))^2)</f>
        <v/>
      </c>
      <c r="AA85" s="33">
        <f>IF(OR(Q85="",R85="",F85="",F85=0,G85="",G85=0,H85="",H85=0),"",((1/F85/(1/F85+1/G85+1/H85))-IF(Q85&gt;R85,1,0))^2+((1/G85/(1/F85+1/G85+1/H85))-IF(Q85=R85,1,0))^2+((1/H85/(1/F85+1/G85+1/H85))-IF(Q85&lt;R85,1,0))^2)</f>
        <v/>
      </c>
      <c r="AB85" s="34" t="n">
        <v>0.6399</v>
      </c>
      <c r="AC85" s="30" t="inlineStr">
        <is>
          <t>NO</t>
        </is>
      </c>
    </row>
    <row r="86">
      <c r="A86" s="30" t="inlineStr">
        <is>
          <t>04/04/2026 13:30</t>
        </is>
      </c>
      <c r="B86" s="28" t="inlineStr">
        <is>
          <t>2026-04-04aldosiviestudiantesderiocuarto</t>
        </is>
      </c>
      <c r="C86" s="28" t="inlineStr">
        <is>
          <t>Aldosivi vs Estudiantes de Rio Cuarto</t>
        </is>
      </c>
      <c r="D86" s="28" t="inlineStr">
        <is>
          <t>Aldosivi</t>
        </is>
      </c>
      <c r="E86" s="28" t="inlineStr">
        <is>
          <t>Estudiantes de Rio Cuarto</t>
        </is>
      </c>
      <c r="F86" s="29" t="n">
        <v>2.16</v>
      </c>
      <c r="G86" s="29" t="n">
        <v>2.99</v>
      </c>
      <c r="H86" s="29" t="n">
        <v>4.12</v>
      </c>
      <c r="I86" s="29" t="n"/>
      <c r="J86" s="29" t="n"/>
      <c r="K86" s="30" t="inlineStr">
        <is>
          <t>Argentina</t>
        </is>
      </c>
      <c r="L86" s="31" t="n">
        <v>0.4181272829293341</v>
      </c>
      <c r="M86" s="31" t="n">
        <v>0.2683251740723935</v>
      </c>
      <c r="N86" s="31" t="n">
        <v>0.3135475429982724</v>
      </c>
      <c r="O86" s="31" t="n">
        <v>0.5102846778231006</v>
      </c>
      <c r="P86" s="31" t="n">
        <v>0.4897153221768994</v>
      </c>
      <c r="Q86" s="30" t="n">
        <v>0</v>
      </c>
      <c r="R86" s="30" t="n">
        <v>0</v>
      </c>
      <c r="S86" s="28" t="inlineStr">
        <is>
          <t>[PASAR] Floor Prob (31%&lt;33%)</t>
        </is>
      </c>
      <c r="T86" s="28" t="inlineStr">
        <is>
          <t>[PASAR] Sin Cuotas</t>
        </is>
      </c>
      <c r="U86" s="32" t="n">
        <v>0</v>
      </c>
      <c r="V86" s="32" t="n">
        <v>0</v>
      </c>
      <c r="W86" s="28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2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2">
        <f>Y85+X86</f>
        <v/>
      </c>
      <c r="Z86" s="33">
        <f>IF(OR(Q86="",R86=""),"",(L86-IF(Q86&gt;R86,1,0))^2+(M86-IF(Q86=R86,1,0))^2+(N86-IF(Q86&lt;R86,1,0))^2)</f>
        <v/>
      </c>
      <c r="AA86" s="33">
        <f>IF(OR(Q86="",R86="",F86="",F86=0,G86="",G86=0,H86="",H86=0),"",((1/F86/(1/F86+1/G86+1/H86))-IF(Q86&gt;R86,1,0))^2+((1/G86/(1/F86+1/G86+1/H86))-IF(Q86=R86,1,0))^2+((1/H86/(1/F86+1/G86+1/H86))-IF(Q86&lt;R86,1,0))^2)</f>
        <v/>
      </c>
      <c r="AB86" s="34" t="n">
        <v>0.6549</v>
      </c>
      <c r="AC86" s="30" t="inlineStr">
        <is>
          <t>NO</t>
        </is>
      </c>
    </row>
    <row r="87">
      <c r="A87" s="30" t="inlineStr">
        <is>
          <t>04/04/2026 20:30</t>
        </is>
      </c>
      <c r="B87" s="28" t="inlineStr">
        <is>
          <t>2026-04-04coritibafluminense</t>
        </is>
      </c>
      <c r="C87" s="28" t="inlineStr">
        <is>
          <t>Coritiba vs Fluminense</t>
        </is>
      </c>
      <c r="D87" s="28" t="inlineStr">
        <is>
          <t>Coritiba</t>
        </is>
      </c>
      <c r="E87" s="28" t="inlineStr">
        <is>
          <t>Fluminense</t>
        </is>
      </c>
      <c r="F87" s="29" t="n">
        <v>3.3</v>
      </c>
      <c r="G87" s="29" t="n">
        <v>3.02</v>
      </c>
      <c r="H87" s="29" t="n">
        <v>2.51</v>
      </c>
      <c r="I87" s="29" t="n"/>
      <c r="J87" s="29" t="n"/>
      <c r="K87" s="30" t="inlineStr">
        <is>
          <t>Brasil</t>
        </is>
      </c>
      <c r="L87" s="31" t="n">
        <v>0.3958686053381169</v>
      </c>
      <c r="M87" s="31" t="n">
        <v>0.2275557042245653</v>
      </c>
      <c r="N87" s="31" t="n">
        <v>0.3765756904373178</v>
      </c>
      <c r="O87" s="31" t="n">
        <v>0.692701292413594</v>
      </c>
      <c r="P87" s="31" t="n">
        <v>0.3072987075864059</v>
      </c>
      <c r="Q87" s="30" t="n">
        <v>1</v>
      </c>
      <c r="R87" s="30" t="n">
        <v>1</v>
      </c>
      <c r="S87" s="28" t="inlineStr">
        <is>
          <t>[PASAR] Margen Predictivo Insuficiente (&lt;5%)</t>
        </is>
      </c>
      <c r="T87" s="28" t="inlineStr">
        <is>
          <t>[PASAR] Sin Cuotas</t>
        </is>
      </c>
      <c r="U87" s="32" t="n">
        <v>0</v>
      </c>
      <c r="V87" s="32" t="n">
        <v>0</v>
      </c>
      <c r="W87" s="28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2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2">
        <f>Y86+X87</f>
        <v/>
      </c>
      <c r="Z87" s="33">
        <f>IF(OR(Q87="",R87=""),"",(L87-IF(Q87&gt;R87,1,0))^2+(M87-IF(Q87=R87,1,0))^2+(N87-IF(Q87&lt;R87,1,0))^2)</f>
        <v/>
      </c>
      <c r="AA87" s="33">
        <f>IF(OR(Q87="",R87="",F87="",F87=0,G87="",G87=0,H87="",H87=0),"",((1/F87/(1/F87+1/G87+1/H87))-IF(Q87&gt;R87,1,0))^2+((1/G87/(1/F87+1/G87+1/H87))-IF(Q87=R87,1,0))^2+((1/H87/(1/F87+1/G87+1/H87))-IF(Q87&lt;R87,1,0))^2)</f>
        <v/>
      </c>
      <c r="AB87" s="34" t="n">
        <v>0.5702</v>
      </c>
      <c r="AC87" s="30" t="inlineStr">
        <is>
          <t>NO</t>
        </is>
      </c>
    </row>
    <row r="88">
      <c r="A88" s="30" t="inlineStr">
        <is>
          <t>04/04/2026 11:00</t>
        </is>
      </c>
      <c r="B88" s="28" t="inlineStr">
        <is>
          <t>2026-04-04gaziantepfkalanyaspor</t>
        </is>
      </c>
      <c r="C88" s="28" t="inlineStr">
        <is>
          <t>Gaziantep FK vs Alanyaspor</t>
        </is>
      </c>
      <c r="D88" s="28" t="inlineStr">
        <is>
          <t>Gaziantep FK</t>
        </is>
      </c>
      <c r="E88" s="28" t="inlineStr">
        <is>
          <t>Alanyaspor</t>
        </is>
      </c>
      <c r="F88" s="29" t="n"/>
      <c r="G88" s="29" t="n"/>
      <c r="H88" s="29" t="n"/>
      <c r="I88" s="29" t="n"/>
      <c r="J88" s="29" t="n"/>
      <c r="K88" s="30" t="inlineStr">
        <is>
          <t>Turquia</t>
        </is>
      </c>
      <c r="L88" s="31" t="n">
        <v>0.4048025257187246</v>
      </c>
      <c r="M88" s="31" t="n">
        <v>0.2290886482142422</v>
      </c>
      <c r="N88" s="31" t="n">
        <v>0.3661088260670332</v>
      </c>
      <c r="O88" s="31" t="n">
        <v>0.6884717147660365</v>
      </c>
      <c r="P88" s="31" t="n">
        <v>0.3115282852339635</v>
      </c>
      <c r="Q88" s="30" t="n">
        <v>1</v>
      </c>
      <c r="R88" s="30" t="n">
        <v>1</v>
      </c>
      <c r="S88" s="28" t="inlineStr">
        <is>
          <t>[PASAR] Sin Cuotas</t>
        </is>
      </c>
      <c r="T88" s="28" t="inlineStr">
        <is>
          <t>[PASAR] Sin Cuotas</t>
        </is>
      </c>
      <c r="U88" s="32" t="n">
        <v>0</v>
      </c>
      <c r="V88" s="32" t="n">
        <v>0</v>
      </c>
      <c r="W88" s="28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2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2">
        <f>Y87+X88</f>
        <v/>
      </c>
      <c r="Z88" s="33">
        <f>IF(OR(Q88="",R88=""),"",(L88-IF(Q88&gt;R88,1,0))^2+(M88-IF(Q88=R88,1,0))^2+(N88-IF(Q88&lt;R88,1,0))^2)</f>
        <v/>
      </c>
      <c r="AA88" s="33">
        <f>IF(OR(Q88="",R88="",F88="",F88=0,G88="",G88=0,H88="",H88=0),"",((1/F88/(1/F88+1/G88+1/H88))-IF(Q88&gt;R88,1,0))^2+((1/G88/(1/F88+1/G88+1/H88))-IF(Q88=R88,1,0))^2+((1/H88/(1/F88+1/G88+1/H88))-IF(Q88&lt;R88,1,0))^2)</f>
        <v/>
      </c>
      <c r="AB88" s="34" t="n">
        <v>0.61</v>
      </c>
      <c r="AC88" s="30" t="inlineStr">
        <is>
          <t>NO</t>
        </is>
      </c>
    </row>
    <row r="89">
      <c r="A89" s="30" t="inlineStr">
        <is>
          <t>04/04/2026 08:30</t>
        </is>
      </c>
      <c r="B89" s="28" t="inlineStr">
        <is>
          <t>2026-04-04genclerbirligigoztepe</t>
        </is>
      </c>
      <c r="C89" s="28" t="inlineStr">
        <is>
          <t>Genclerbirligi vs Goztepe</t>
        </is>
      </c>
      <c r="D89" s="28" t="inlineStr">
        <is>
          <t>Genclerbirligi</t>
        </is>
      </c>
      <c r="E89" s="28" t="inlineStr">
        <is>
          <t>Goztepe</t>
        </is>
      </c>
      <c r="F89" s="29" t="n">
        <v>3.51</v>
      </c>
      <c r="G89" s="29" t="n">
        <v>3.09</v>
      </c>
      <c r="H89" s="29" t="n">
        <v>2.32</v>
      </c>
      <c r="I89" s="29" t="n"/>
      <c r="J89" s="29" t="n"/>
      <c r="K89" s="30" t="inlineStr">
        <is>
          <t>Turquia</t>
        </is>
      </c>
      <c r="L89" s="31" t="n">
        <v>0.3646150875007567</v>
      </c>
      <c r="M89" s="31" t="n">
        <v>0.2342990114032013</v>
      </c>
      <c r="N89" s="31" t="n">
        <v>0.4010859010960421</v>
      </c>
      <c r="O89" s="31" t="n">
        <v>0.6639022170684276</v>
      </c>
      <c r="P89" s="31" t="n">
        <v>0.3360977829315725</v>
      </c>
      <c r="Q89" s="30" t="n">
        <v>0</v>
      </c>
      <c r="R89" s="30" t="n">
        <v>2</v>
      </c>
      <c r="S89" s="28" t="inlineStr">
        <is>
          <t>[PERDIDA] LOCAL</t>
        </is>
      </c>
      <c r="T89" s="28" t="inlineStr">
        <is>
          <t>[PASAR] Sin Cuotas</t>
        </is>
      </c>
      <c r="U89" s="32" t="n">
        <v>1767.77</v>
      </c>
      <c r="V89" s="32" t="n">
        <v>0</v>
      </c>
      <c r="W89" s="28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2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2">
        <f>Y88+X89</f>
        <v/>
      </c>
      <c r="Z89" s="33">
        <f>IF(OR(Q89="",R89=""),"",(L89-IF(Q89&gt;R89,1,0))^2+(M89-IF(Q89=R89,1,0))^2+(N89-IF(Q89&lt;R89,1,0))^2)</f>
        <v/>
      </c>
      <c r="AA89" s="33">
        <f>IF(OR(Q89="",R89="",F89="",F89=0,G89="",G89=0,H89="",H89=0),"",((1/F89/(1/F89+1/G89+1/H89))-IF(Q89&gt;R89,1,0))^2+((1/G89/(1/F89+1/G89+1/H89))-IF(Q89=R89,1,0))^2+((1/H89/(1/F89+1/G89+1/H89))-IF(Q89&lt;R89,1,0))^2)</f>
        <v/>
      </c>
      <c r="AB89" s="34" t="n">
        <v>0.8338</v>
      </c>
      <c r="AC89" s="30" t="inlineStr">
        <is>
          <t>NO</t>
        </is>
      </c>
    </row>
    <row r="90">
      <c r="A90" s="30" t="inlineStr">
        <is>
          <t>04/04/2026 17:30</t>
        </is>
      </c>
      <c r="B90" s="28" t="inlineStr">
        <is>
          <t>2026-04-04independienteracingclub</t>
        </is>
      </c>
      <c r="C90" s="28" t="inlineStr">
        <is>
          <t>Independiente vs Racing Club</t>
        </is>
      </c>
      <c r="D90" s="28" t="inlineStr">
        <is>
          <t>Independiente</t>
        </is>
      </c>
      <c r="E90" s="28" t="inlineStr">
        <is>
          <t>Racing Club</t>
        </is>
      </c>
      <c r="F90" s="29" t="n">
        <v>5.63</v>
      </c>
      <c r="G90" s="29" t="n">
        <v>1.36</v>
      </c>
      <c r="H90" s="29" t="n">
        <v>6.78</v>
      </c>
      <c r="I90" s="29" t="n"/>
      <c r="J90" s="29" t="n"/>
      <c r="K90" s="30" t="inlineStr">
        <is>
          <t>Argentina</t>
        </is>
      </c>
      <c r="L90" s="31" t="n">
        <v>0.3996490176352145</v>
      </c>
      <c r="M90" s="31" t="n">
        <v>0.2667843924687136</v>
      </c>
      <c r="N90" s="31" t="n">
        <v>0.3335665898960719</v>
      </c>
      <c r="O90" s="31" t="n">
        <v>0.5219188975037713</v>
      </c>
      <c r="P90" s="31" t="n">
        <v>0.4780811024962288</v>
      </c>
      <c r="Q90" s="30" t="n">
        <v>1</v>
      </c>
      <c r="R90" s="30" t="n">
        <v>0</v>
      </c>
      <c r="S90" s="28" t="inlineStr">
        <is>
          <t>[GANADA] LOCAL</t>
        </is>
      </c>
      <c r="T90" s="28" t="inlineStr">
        <is>
          <t>[PASAR] Sin Cuotas</t>
        </is>
      </c>
      <c r="U90" s="32" t="n">
        <v>2500</v>
      </c>
      <c r="V90" s="32" t="n">
        <v>0</v>
      </c>
      <c r="W90" s="28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2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2">
        <f>Y89+X90</f>
        <v/>
      </c>
      <c r="Z90" s="33">
        <f>IF(OR(Q90="",R90=""),"",(L90-IF(Q90&gt;R90,1,0))^2+(M90-IF(Q90=R90,1,0))^2+(N90-IF(Q90&lt;R90,1,0))^2)</f>
        <v/>
      </c>
      <c r="AA90" s="33">
        <f>IF(OR(Q90="",R90="",F90="",F90=0,G90="",G90=0,H90="",H90=0),"",((1/F90/(1/F90+1/G90+1/H90))-IF(Q90&gt;R90,1,0))^2+((1/G90/(1/F90+1/G90+1/H90))-IF(Q90=R90,1,0))^2+((1/H90/(1/F90+1/G90+1/H90))-IF(Q90&lt;R90,1,0))^2)</f>
        <v/>
      </c>
      <c r="AB90" s="34" t="n">
        <v>0.7081</v>
      </c>
      <c r="AC90" s="30" t="inlineStr">
        <is>
          <t>NO</t>
        </is>
      </c>
    </row>
    <row r="91">
      <c r="A91" s="30" t="inlineStr">
        <is>
          <t>04/04/2026 08:30</t>
        </is>
      </c>
      <c r="B91" s="28" t="inlineStr">
        <is>
          <t>2026-04-04kasimpasakayserispor</t>
        </is>
      </c>
      <c r="C91" s="28" t="inlineStr">
        <is>
          <t>Kasimpasa vs Kayserispor</t>
        </is>
      </c>
      <c r="D91" s="28" t="inlineStr">
        <is>
          <t>Kasimpasa</t>
        </is>
      </c>
      <c r="E91" s="28" t="inlineStr">
        <is>
          <t>Kayserispor</t>
        </is>
      </c>
      <c r="F91" s="29" t="n">
        <v>2.26</v>
      </c>
      <c r="G91" s="29" t="n">
        <v>3.37</v>
      </c>
      <c r="H91" s="29" t="n">
        <v>3.33</v>
      </c>
      <c r="I91" s="29" t="n">
        <v>1.93</v>
      </c>
      <c r="J91" s="29" t="n">
        <v>1.94</v>
      </c>
      <c r="K91" s="30" t="inlineStr">
        <is>
          <t>Turquia</t>
        </is>
      </c>
      <c r="L91" s="31" t="n">
        <v>0.4444668243826172</v>
      </c>
      <c r="M91" s="31" t="n">
        <v>0.2364852258529828</v>
      </c>
      <c r="N91" s="31" t="n">
        <v>0.3190479497644</v>
      </c>
      <c r="O91" s="31" t="n">
        <v>0.642169075997571</v>
      </c>
      <c r="P91" s="31" t="n">
        <v>0.357830924002429</v>
      </c>
      <c r="Q91" s="30" t="n">
        <v>2</v>
      </c>
      <c r="R91" s="30" t="n">
        <v>0</v>
      </c>
      <c r="S91" s="28" t="inlineStr">
        <is>
          <t>[PASAR] Floor Prob (32%&lt;33%)</t>
        </is>
      </c>
      <c r="T91" s="28" t="inlineStr">
        <is>
          <t>[PASAR] Sin Valor</t>
        </is>
      </c>
      <c r="U91" s="32" t="n">
        <v>0</v>
      </c>
      <c r="V91" s="32" t="n">
        <v>0</v>
      </c>
      <c r="W91" s="28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2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2">
        <f>Y90+X91</f>
        <v/>
      </c>
      <c r="Z91" s="33">
        <f>IF(OR(Q91="",R91=""),"",(L91-IF(Q91&gt;R91,1,0))^2+(M91-IF(Q91=R91,1,0))^2+(N91-IF(Q91&lt;R91,1,0))^2)</f>
        <v/>
      </c>
      <c r="AA91" s="33">
        <f>IF(OR(Q91="",R91="",F91="",F91=0,G91="",G91=0,H91="",H91=0),"",((1/F91/(1/F91+1/G91+1/H91))-IF(Q91&gt;R91,1,0))^2+((1/G91/(1/F91+1/G91+1/H91))-IF(Q91=R91,1,0))^2+((1/H91/(1/F91+1/G91+1/H91))-IF(Q91&lt;R91,1,0))^2)</f>
        <v/>
      </c>
      <c r="AB91" s="34" t="n">
        <v>0.7872</v>
      </c>
      <c r="AC91" s="30" t="inlineStr">
        <is>
          <t>NO</t>
        </is>
      </c>
    </row>
    <row r="92">
      <c r="A92" s="30" t="inlineStr">
        <is>
          <t>04/04/2026 18:30</t>
        </is>
      </c>
      <c r="B92" s="28" t="inlineStr">
        <is>
          <t>2026-04-04saopaulocruzeiro</t>
        </is>
      </c>
      <c r="C92" s="28" t="inlineStr">
        <is>
          <t>Sao Paulo vs Cruzeiro</t>
        </is>
      </c>
      <c r="D92" s="28" t="inlineStr">
        <is>
          <t>Sao Paulo</t>
        </is>
      </c>
      <c r="E92" s="28" t="inlineStr">
        <is>
          <t>Cruzeiro</t>
        </is>
      </c>
      <c r="F92" s="29" t="n">
        <v>1.12</v>
      </c>
      <c r="G92" s="29" t="n">
        <v>8.81</v>
      </c>
      <c r="H92" s="29" t="n">
        <v>28.34</v>
      </c>
      <c r="I92" s="29" t="n"/>
      <c r="J92" s="29" t="n"/>
      <c r="K92" s="30" t="inlineStr">
        <is>
          <t>Brasil</t>
        </is>
      </c>
      <c r="L92" s="31" t="n">
        <v>0.4663822486345678</v>
      </c>
      <c r="M92" s="31" t="n">
        <v>0.2268392065648523</v>
      </c>
      <c r="N92" s="31" t="n">
        <v>0.3067785448005799</v>
      </c>
      <c r="O92" s="31" t="n">
        <v>0.6764492201281175</v>
      </c>
      <c r="P92" s="31" t="n">
        <v>0.3235507798718825</v>
      </c>
      <c r="Q92" s="30" t="n">
        <v>4</v>
      </c>
      <c r="R92" s="30" t="n">
        <v>1</v>
      </c>
      <c r="S92" s="28" t="inlineStr">
        <is>
          <t>[PASAR] Riesgo/Beneficio</t>
        </is>
      </c>
      <c r="T92" s="28" t="inlineStr">
        <is>
          <t>[PASAR] Sin Cuotas</t>
        </is>
      </c>
      <c r="U92" s="32" t="n">
        <v>0</v>
      </c>
      <c r="V92" s="32" t="n">
        <v>0</v>
      </c>
      <c r="W92" s="28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2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2">
        <f>Y91+X92</f>
        <v/>
      </c>
      <c r="Z92" s="33">
        <f>IF(OR(Q92="",R92=""),"",(L92-IF(Q92&gt;R92,1,0))^2+(M92-IF(Q92=R92,1,0))^2+(N92-IF(Q92&lt;R92,1,0))^2)</f>
        <v/>
      </c>
      <c r="AA92" s="33">
        <f>IF(OR(Q92="",R92="",F92="",F92=0,G92="",G92=0,H92="",H92=0),"",((1/F92/(1/F92+1/G92+1/H92))-IF(Q92&gt;R92,1,0))^2+((1/G92/(1/F92+1/G92+1/H92))-IF(Q92=R92,1,0))^2+((1/H92/(1/F92+1/G92+1/H92))-IF(Q92&lt;R92,1,0))^2)</f>
        <v/>
      </c>
      <c r="AB92" s="34" t="n">
        <v>0.7399</v>
      </c>
      <c r="AC92" s="30" t="inlineStr">
        <is>
          <t>NO</t>
        </is>
      </c>
    </row>
    <row r="93">
      <c r="A93" s="30" t="inlineStr">
        <is>
          <t>04/04/2026 14:00</t>
        </is>
      </c>
      <c r="B93" s="28" t="inlineStr">
        <is>
          <t>2026-04-04trabzonsporgalatasaray</t>
        </is>
      </c>
      <c r="C93" s="28" t="inlineStr">
        <is>
          <t>Trabzonspor vs Galatasaray</t>
        </is>
      </c>
      <c r="D93" s="28" t="inlineStr">
        <is>
          <t>Trabzonspor</t>
        </is>
      </c>
      <c r="E93" s="28" t="inlineStr">
        <is>
          <t>Galatasaray</t>
        </is>
      </c>
      <c r="F93" s="29" t="n">
        <v>3.42</v>
      </c>
      <c r="G93" s="29" t="n">
        <v>3.52</v>
      </c>
      <c r="H93" s="29" t="n">
        <v>2.16</v>
      </c>
      <c r="I93" s="29" t="n"/>
      <c r="J93" s="29" t="n"/>
      <c r="K93" s="30" t="inlineStr">
        <is>
          <t>Turquia</t>
        </is>
      </c>
      <c r="L93" s="31" t="n">
        <v>0.4059410718076608</v>
      </c>
      <c r="M93" s="31" t="n">
        <v>0.229285594582527</v>
      </c>
      <c r="N93" s="31" t="n">
        <v>0.3647733336098123</v>
      </c>
      <c r="O93" s="31" t="n">
        <v>0.6873848456576175</v>
      </c>
      <c r="P93" s="31" t="n">
        <v>0.3126151543423826</v>
      </c>
      <c r="Q93" s="30" t="n">
        <v>2</v>
      </c>
      <c r="R93" s="30" t="n">
        <v>1</v>
      </c>
      <c r="S93" s="28" t="inlineStr">
        <is>
          <t>[GANADA] LOCAL</t>
        </is>
      </c>
      <c r="T93" s="28" t="inlineStr">
        <is>
          <t>[PASAR] Sin Cuotas</t>
        </is>
      </c>
      <c r="U93" s="32" t="n">
        <v>1767.77</v>
      </c>
      <c r="V93" s="32" t="n">
        <v>0</v>
      </c>
      <c r="W93" s="28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2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2">
        <f>Y92+X93</f>
        <v/>
      </c>
      <c r="Z93" s="33">
        <f>IF(OR(Q93="",R93=""),"",(L93-IF(Q93&gt;R93,1,0))^2+(M93-IF(Q93=R93,1,0))^2+(N93-IF(Q93&lt;R93,1,0))^2)</f>
        <v/>
      </c>
      <c r="AA93" s="33">
        <f>IF(OR(Q93="",R93="",F93="",F93=0,G93="",G93=0,H93="",H93=0),"",((1/F93/(1/F93+1/G93+1/H93))-IF(Q93&gt;R93,1,0))^2+((1/G93/(1/F93+1/G93+1/H93))-IF(Q93=R93,1,0))^2+((1/H93/(1/F93+1/G93+1/H93))-IF(Q93&lt;R93,1,0))^2)</f>
        <v/>
      </c>
      <c r="AB93" s="34" t="n">
        <v>0.7115</v>
      </c>
      <c r="AC93" s="30" t="inlineStr">
        <is>
          <t>NO</t>
        </is>
      </c>
    </row>
    <row r="94">
      <c r="A94" s="30" t="inlineStr">
        <is>
          <t>05/04/2026 11:00</t>
        </is>
      </c>
      <c r="B94" s="28" t="inlineStr">
        <is>
          <t>2026-04-05antalyasporeyupspor</t>
        </is>
      </c>
      <c r="C94" s="28" t="inlineStr">
        <is>
          <t>Antalyaspor vs Eyupspor</t>
        </is>
      </c>
      <c r="D94" s="28" t="inlineStr">
        <is>
          <t>Antalyaspor</t>
        </is>
      </c>
      <c r="E94" s="28" t="inlineStr">
        <is>
          <t>Eyupspor</t>
        </is>
      </c>
      <c r="F94" s="29" t="n">
        <v>2.21</v>
      </c>
      <c r="G94" s="29" t="n">
        <v>2.73</v>
      </c>
      <c r="H94" s="29" t="n">
        <v>4.17</v>
      </c>
      <c r="I94" s="29" t="n"/>
      <c r="J94" s="29" t="n"/>
      <c r="K94" s="30" t="inlineStr">
        <is>
          <t>Turquia</t>
        </is>
      </c>
      <c r="L94" s="31" t="n">
        <v>0.4656785869538326</v>
      </c>
      <c r="M94" s="31" t="n">
        <v>0.236059455651217</v>
      </c>
      <c r="N94" s="31" t="n">
        <v>0.2982619573949504</v>
      </c>
      <c r="O94" s="31" t="n">
        <v>0.634300558214799</v>
      </c>
      <c r="P94" s="31" t="n">
        <v>0.365699441785201</v>
      </c>
      <c r="Q94" s="30" t="n">
        <v>3</v>
      </c>
      <c r="R94" s="30" t="n">
        <v>0</v>
      </c>
      <c r="S94" s="28" t="inlineStr">
        <is>
          <t>[PASAR] Floor Prob (30%&lt;33%)</t>
        </is>
      </c>
      <c r="T94" s="28" t="inlineStr">
        <is>
          <t>[PASAR] Sin Cuotas</t>
        </is>
      </c>
      <c r="U94" s="32" t="n">
        <v>0</v>
      </c>
      <c r="V94" s="32" t="n">
        <v>0</v>
      </c>
      <c r="W94" s="28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2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2">
        <f>Y93+X94</f>
        <v/>
      </c>
      <c r="Z94" s="33">
        <f>IF(OR(Q94="",R94=""),"",(L94-IF(Q94&gt;R94,1,0))^2+(M94-IF(Q94=R94,1,0))^2+(N94-IF(Q94&lt;R94,1,0))^2)</f>
        <v/>
      </c>
      <c r="AA94" s="33">
        <f>IF(OR(Q94="",R94="",F94="",F94=0,G94="",G94=0,H94="",H94=0),"",((1/F94/(1/F94+1/G94+1/H94))-IF(Q94&gt;R94,1,0))^2+((1/G94/(1/F94+1/G94+1/H94))-IF(Q94=R94,1,0))^2+((1/H94/(1/F94+1/G94+1/H94))-IF(Q94&lt;R94,1,0))^2)</f>
        <v/>
      </c>
      <c r="AB94" s="34" t="n">
        <v>0.9048</v>
      </c>
      <c r="AC94" s="30" t="inlineStr">
        <is>
          <t>NO</t>
        </is>
      </c>
    </row>
    <row r="95">
      <c r="A95" s="30" t="inlineStr">
        <is>
          <t>05/04/2026 17:30</t>
        </is>
      </c>
      <c r="B95" s="28" t="inlineStr">
        <is>
          <t>2026-04-05atleticomgathleticoparanaense</t>
        </is>
      </c>
      <c r="C95" s="28" t="inlineStr">
        <is>
          <t>Atlético-mg vs Athletico Paranaense</t>
        </is>
      </c>
      <c r="D95" s="28" t="inlineStr">
        <is>
          <t>Atlético-mg</t>
        </is>
      </c>
      <c r="E95" s="28" t="inlineStr">
        <is>
          <t>Athletico Paranaense</t>
        </is>
      </c>
      <c r="F95" s="29" t="n">
        <v>1.88</v>
      </c>
      <c r="G95" s="29" t="n">
        <v>3.45</v>
      </c>
      <c r="H95" s="29" t="n">
        <v>4.66</v>
      </c>
      <c r="I95" s="29" t="n"/>
      <c r="J95" s="29" t="n"/>
      <c r="K95" s="30" t="inlineStr">
        <is>
          <t>Brasil</t>
        </is>
      </c>
      <c r="L95" s="31" t="n">
        <v>0.4615532498272125</v>
      </c>
      <c r="M95" s="31" t="n">
        <v>0.2364280155192461</v>
      </c>
      <c r="N95" s="31" t="n">
        <v>0.3020187346535414</v>
      </c>
      <c r="O95" s="31" t="n">
        <v>0.6302198486764455</v>
      </c>
      <c r="P95" s="31" t="n">
        <v>0.3697801513235545</v>
      </c>
      <c r="Q95" s="35" t="n"/>
      <c r="R95" s="35" t="n"/>
      <c r="S95" s="28" t="inlineStr">
        <is>
          <t>[PASAR] Floor Prob (30%&lt;33%)</t>
        </is>
      </c>
      <c r="T95" s="28" t="inlineStr">
        <is>
          <t>[PASAR] Sin Cuotas</t>
        </is>
      </c>
      <c r="U95" s="32" t="n">
        <v>0</v>
      </c>
      <c r="V95" s="32" t="n">
        <v>0</v>
      </c>
      <c r="W95" s="28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2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2">
        <f>Y94+X95</f>
        <v/>
      </c>
      <c r="Z95" s="33">
        <f>IF(OR(Q95="",R95=""),"",(L95-IF(Q95&gt;R95,1,0))^2+(M95-IF(Q95=R95,1,0))^2+(N95-IF(Q95&lt;R95,1,0))^2)</f>
        <v/>
      </c>
      <c r="AA95" s="33">
        <f>IF(OR(Q95="",R95="",F95="",F95=0,G95="",G95=0,H95="",H95=0),"",((1/F95/(1/F95+1/G95+1/H95))-IF(Q95&gt;R95,1,0))^2+((1/G95/(1/F95+1/G95+1/H95))-IF(Q95=R95,1,0))^2+((1/H95/(1/F95+1/G95+1/H95))-IF(Q95&lt;R95,1,0))^2)</f>
        <v/>
      </c>
      <c r="AB95" s="34" t="n">
        <v>0.9826</v>
      </c>
      <c r="AC95" s="30" t="inlineStr">
        <is>
          <t>NO</t>
        </is>
      </c>
    </row>
    <row r="96">
      <c r="A96" s="30" t="inlineStr">
        <is>
          <t>05/04/2026 19:30</t>
        </is>
      </c>
      <c r="B96" s="28" t="inlineStr">
        <is>
          <t>2026-04-05bahiapalmeiras</t>
        </is>
      </c>
      <c r="C96" s="28" t="inlineStr">
        <is>
          <t>Bahia vs Palmeiras</t>
        </is>
      </c>
      <c r="D96" s="28" t="inlineStr">
        <is>
          <t>Bahia</t>
        </is>
      </c>
      <c r="E96" s="28" t="inlineStr">
        <is>
          <t>Palmeiras</t>
        </is>
      </c>
      <c r="F96" s="29" t="n">
        <v>2.65</v>
      </c>
      <c r="G96" s="29" t="n">
        <v>3.16</v>
      </c>
      <c r="H96" s="29" t="n">
        <v>2.94</v>
      </c>
      <c r="I96" s="29" t="n">
        <v>2.07</v>
      </c>
      <c r="J96" s="29" t="n">
        <v>1.83</v>
      </c>
      <c r="K96" s="30" t="inlineStr">
        <is>
          <t>Brasil</t>
        </is>
      </c>
      <c r="L96" s="31" t="n">
        <v>0.4215709574982022</v>
      </c>
      <c r="M96" s="31" t="n">
        <v>0.2397291007375396</v>
      </c>
      <c r="N96" s="31" t="n">
        <v>0.3386999417642583</v>
      </c>
      <c r="O96" s="31" t="n">
        <v>0.6295043800536333</v>
      </c>
      <c r="P96" s="31" t="n">
        <v>0.3704956199463667</v>
      </c>
      <c r="Q96" s="35" t="n"/>
      <c r="R96" s="35" t="n"/>
      <c r="S96" s="28">
        <f>IF(OR(Q96="",R96=""),"[APOSTAR] LOCAL",IF(Q96&gt;R96,"[GANADA] LOCAL","[PERDIDA] LOCAL"))</f>
        <v/>
      </c>
      <c r="T96" s="28" t="inlineStr">
        <is>
          <t>[PASAR] Sin Valor</t>
        </is>
      </c>
      <c r="U96" s="32" t="n">
        <v>1443.38</v>
      </c>
      <c r="V96" s="32" t="n">
        <v>0</v>
      </c>
      <c r="W96" s="28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2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2">
        <f>Y95+X96</f>
        <v/>
      </c>
      <c r="Z96" s="33">
        <f>IF(OR(Q96="",R96=""),"",(L96-IF(Q96&gt;R96,1,0))^2+(M96-IF(Q96=R96,1,0))^2+(N96-IF(Q96&lt;R96,1,0))^2)</f>
        <v/>
      </c>
      <c r="AA96" s="33">
        <f>IF(OR(Q96="",R96="",F96="",F96=0,G96="",G96=0,H96="",H96=0),"",((1/F96/(1/F96+1/G96+1/H96))-IF(Q96&gt;R96,1,0))^2+((1/G96/(1/F96+1/G96+1/H96))-IF(Q96=R96,1,0))^2+((1/H96/(1/F96+1/G96+1/H96))-IF(Q96&lt;R96,1,0))^2)</f>
        <v/>
      </c>
      <c r="AB96" s="34" t="n">
        <v>0.7536</v>
      </c>
      <c r="AC96" s="30" t="inlineStr">
        <is>
          <t>NO</t>
        </is>
      </c>
    </row>
    <row r="97">
      <c r="A97" s="30" t="inlineStr">
        <is>
          <t>05/04/2026 20:30</t>
        </is>
      </c>
      <c r="B97" s="28" t="inlineStr">
        <is>
          <t>2026-04-05centralcordobasantiagodelesteronewellsoldboys</t>
        </is>
      </c>
      <c r="C97" s="28" t="inlineStr">
        <is>
          <t>Central Córdoba (santiago del Estero) vs Newell's Old Boys</t>
        </is>
      </c>
      <c r="D97" s="28" t="inlineStr">
        <is>
          <t>Central Córdoba (santiago del Estero)</t>
        </is>
      </c>
      <c r="E97" s="28" t="inlineStr">
        <is>
          <t>Newell's Old Boys</t>
        </is>
      </c>
      <c r="F97" s="29" t="n">
        <v>2.49</v>
      </c>
      <c r="G97" s="29" t="n">
        <v>2.9</v>
      </c>
      <c r="H97" s="29" t="n">
        <v>3.49</v>
      </c>
      <c r="I97" s="29" t="n"/>
      <c r="J97" s="29" t="n"/>
      <c r="K97" s="30" t="inlineStr">
        <is>
          <t>Argentina</t>
        </is>
      </c>
      <c r="L97" s="31" t="n">
        <v>0.5154086240810365</v>
      </c>
      <c r="M97" s="31" t="n">
        <v>0.2687683529110076</v>
      </c>
      <c r="N97" s="31" t="n">
        <v>0.215823023007956</v>
      </c>
      <c r="O97" s="31" t="n">
        <v>0.4462706911952379</v>
      </c>
      <c r="P97" s="31" t="n">
        <v>0.553729308804762</v>
      </c>
      <c r="Q97" s="35" t="n"/>
      <c r="R97" s="35" t="n"/>
      <c r="S97" s="28">
        <f>IF(OR(Q97="",R97=""),"[APOSTAR] LOCAL",IF(Q97&gt;R97,"[GANADA] LOCAL","[PERDIDA] LOCAL"))</f>
        <v/>
      </c>
      <c r="T97" s="28" t="inlineStr">
        <is>
          <t>[PASAR] Sin Cuotas</t>
        </is>
      </c>
      <c r="U97" s="32" t="n">
        <v>2500</v>
      </c>
      <c r="V97" s="32" t="n">
        <v>0</v>
      </c>
      <c r="W97" s="28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2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2">
        <f>Y96+X97</f>
        <v/>
      </c>
      <c r="Z97" s="33">
        <f>IF(OR(Q97="",R97=""),"",(L97-IF(Q97&gt;R97,1,0))^2+(M97-IF(Q97=R97,1,0))^2+(N97-IF(Q97&lt;R97,1,0))^2)</f>
        <v/>
      </c>
      <c r="AA97" s="33">
        <f>IF(OR(Q97="",R97="",F97="",F97=0,G97="",G97=0,H97="",H97=0),"",((1/F97/(1/F97+1/G97+1/H97))-IF(Q97&gt;R97,1,0))^2+((1/G97/(1/F97+1/G97+1/H97))-IF(Q97=R97,1,0))^2+((1/H97/(1/F97+1/G97+1/H97))-IF(Q97&lt;R97,1,0))^2)</f>
        <v/>
      </c>
      <c r="AB97" s="34" t="n">
        <v>0.7146</v>
      </c>
      <c r="AC97" s="30" t="inlineStr">
        <is>
          <t>NO</t>
        </is>
      </c>
    </row>
    <row r="98">
      <c r="A98" s="30" t="inlineStr">
        <is>
          <t>05/04/2026 16:00</t>
        </is>
      </c>
      <c r="B98" s="28" t="inlineStr">
        <is>
          <t>2026-04-05chapecoensevitoria</t>
        </is>
      </c>
      <c r="C98" s="28" t="inlineStr">
        <is>
          <t>Chapecoense vs Vitoria</t>
        </is>
      </c>
      <c r="D98" s="28" t="inlineStr">
        <is>
          <t>Chapecoense</t>
        </is>
      </c>
      <c r="E98" s="28" t="inlineStr">
        <is>
          <t>Vitoria</t>
        </is>
      </c>
      <c r="F98" s="29" t="n">
        <v>2.57</v>
      </c>
      <c r="G98" s="29" t="n">
        <v>3.23</v>
      </c>
      <c r="H98" s="29" t="n">
        <v>2.99</v>
      </c>
      <c r="I98" s="29" t="n"/>
      <c r="J98" s="29" t="n"/>
      <c r="K98" s="30" t="inlineStr">
        <is>
          <t>Brasil</t>
        </is>
      </c>
      <c r="L98" s="31" t="n">
        <v>0.4560615788606749</v>
      </c>
      <c r="M98" s="31" t="n">
        <v>0.2238717736037344</v>
      </c>
      <c r="N98" s="31" t="n">
        <v>0.3200666475355907</v>
      </c>
      <c r="O98" s="31" t="n">
        <v>0.6963520928617232</v>
      </c>
      <c r="P98" s="31" t="n">
        <v>0.3036479071382768</v>
      </c>
      <c r="Q98" s="35" t="n"/>
      <c r="R98" s="35" t="n"/>
      <c r="S98" s="28">
        <f>IF(OR(Q98="",R98=""),"[APOSTAR] LOCAL",IF(Q98&gt;R98,"[GANADA] LOCAL","[PERDIDA] LOCAL"))</f>
        <v/>
      </c>
      <c r="T98" s="28" t="inlineStr">
        <is>
          <t>[PASAR] Sin Cuotas</t>
        </is>
      </c>
      <c r="U98" s="32" t="n">
        <v>1443.38</v>
      </c>
      <c r="V98" s="32" t="n">
        <v>0</v>
      </c>
      <c r="W98" s="28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2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2">
        <f>Y97+X98</f>
        <v/>
      </c>
      <c r="Z98" s="33">
        <f>IF(OR(Q98="",R98=""),"",(L98-IF(Q98&gt;R98,1,0))^2+(M98-IF(Q98=R98,1,0))^2+(N98-IF(Q98&lt;R98,1,0))^2)</f>
        <v/>
      </c>
      <c r="AA98" s="33">
        <f>IF(OR(Q98="",R98="",F98="",F98=0,G98="",G98=0,H98="",H98=0),"",((1/F98/(1/F98+1/G98+1/H98))-IF(Q98&gt;R98,1,0))^2+((1/G98/(1/F98+1/G98+1/H98))-IF(Q98=R98,1,0))^2+((1/H98/(1/F98+1/G98+1/H98))-IF(Q98&lt;R98,1,0))^2)</f>
        <v/>
      </c>
      <c r="AB98" s="34" t="n">
        <v>0.8167</v>
      </c>
      <c r="AC98" s="30" t="inlineStr">
        <is>
          <t>NO</t>
        </is>
      </c>
    </row>
    <row r="99">
      <c r="A99" s="30" t="inlineStr">
        <is>
          <t>05/04/2026 19:30</t>
        </is>
      </c>
      <c r="B99" s="28" t="inlineStr">
        <is>
          <t>2026-04-05corinthiansinternacional</t>
        </is>
      </c>
      <c r="C99" s="28" t="inlineStr">
        <is>
          <t>Corinthians vs Internacional</t>
        </is>
      </c>
      <c r="D99" s="28" t="inlineStr">
        <is>
          <t>Corinthians</t>
        </is>
      </c>
      <c r="E99" s="28" t="inlineStr">
        <is>
          <t>Internacional</t>
        </is>
      </c>
      <c r="F99" s="29" t="n">
        <v>2.19</v>
      </c>
      <c r="G99" s="29" t="n">
        <v>3.18</v>
      </c>
      <c r="H99" s="29" t="n">
        <v>3.81</v>
      </c>
      <c r="I99" s="29" t="n"/>
      <c r="J99" s="29" t="n"/>
      <c r="K99" s="30" t="inlineStr">
        <is>
          <t>Brasil</t>
        </is>
      </c>
      <c r="L99" s="31" t="n">
        <v>0.4519225289005756</v>
      </c>
      <c r="M99" s="31" t="n">
        <v>0.2697127200793154</v>
      </c>
      <c r="N99" s="31" t="n">
        <v>0.2783647510201091</v>
      </c>
      <c r="O99" s="31" t="n">
        <v>0.4771663073686631</v>
      </c>
      <c r="P99" s="31" t="n">
        <v>0.5228336926313369</v>
      </c>
      <c r="Q99" s="35" t="n"/>
      <c r="R99" s="35" t="n"/>
      <c r="S99" s="28" t="inlineStr">
        <is>
          <t>[PASAR] Floor Prob (28%&lt;33%)</t>
        </is>
      </c>
      <c r="T99" s="28" t="inlineStr">
        <is>
          <t>[PASAR] Sin Cuotas</t>
        </is>
      </c>
      <c r="U99" s="32" t="n">
        <v>0</v>
      </c>
      <c r="V99" s="32" t="n">
        <v>0</v>
      </c>
      <c r="W99" s="28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2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2">
        <f>Y98+X99</f>
        <v/>
      </c>
      <c r="Z99" s="33">
        <f>IF(OR(Q99="",R99=""),"",(L99-IF(Q99&gt;R99,1,0))^2+(M99-IF(Q99=R99,1,0))^2+(N99-IF(Q99&lt;R99,1,0))^2)</f>
        <v/>
      </c>
      <c r="AA99" s="33">
        <f>IF(OR(Q99="",R99="",F99="",F99=0,G99="",G99=0,H99="",H99=0),"",((1/F99/(1/F99+1/G99+1/H99))-IF(Q99&gt;R99,1,0))^2+((1/G99/(1/F99+1/G99+1/H99))-IF(Q99=R99,1,0))^2+((1/H99/(1/F99+1/G99+1/H99))-IF(Q99&lt;R99,1,0))^2)</f>
        <v/>
      </c>
      <c r="AB99" s="34" t="n">
        <v>0.6796</v>
      </c>
      <c r="AC99" s="30" t="inlineStr">
        <is>
          <t>NO</t>
        </is>
      </c>
    </row>
    <row r="100">
      <c r="A100" s="30" t="inlineStr">
        <is>
          <t>05/04/2026 08:30</t>
        </is>
      </c>
      <c r="B100" s="28" t="inlineStr">
        <is>
          <t>2026-04-05fatihkaragumrukcaykurrizespor</t>
        </is>
      </c>
      <c r="C100" s="28" t="inlineStr">
        <is>
          <t>Fatih Karagümrük vs Caykur Rizespor</t>
        </is>
      </c>
      <c r="D100" s="28" t="inlineStr">
        <is>
          <t>Fatih Karagümrük</t>
        </is>
      </c>
      <c r="E100" s="28" t="inlineStr">
        <is>
          <t>Caykur Rizespor</t>
        </is>
      </c>
      <c r="F100" s="29" t="n">
        <v>3.27</v>
      </c>
      <c r="G100" s="29" t="n">
        <v>3.53</v>
      </c>
      <c r="H100" s="29" t="n">
        <v>2.25</v>
      </c>
      <c r="I100" s="29" t="n">
        <v>1.85</v>
      </c>
      <c r="J100" s="29" t="n">
        <v>2.04</v>
      </c>
      <c r="K100" s="30" t="inlineStr">
        <is>
          <t>Turquia</t>
        </is>
      </c>
      <c r="L100" s="31" t="n">
        <v>0.3993915632237725</v>
      </c>
      <c r="M100" s="31" t="n">
        <v>0.232987014908538</v>
      </c>
      <c r="N100" s="31" t="n">
        <v>0.3676214218676895</v>
      </c>
      <c r="O100" s="31" t="n">
        <v>0.6703629857151495</v>
      </c>
      <c r="P100" s="31" t="n">
        <v>0.3296370142848505</v>
      </c>
      <c r="Q100" s="30" t="n">
        <v>2</v>
      </c>
      <c r="R100" s="30" t="n">
        <v>1</v>
      </c>
      <c r="S100" s="28" t="inlineStr">
        <is>
          <t>[GANADA] LOCAL</t>
        </is>
      </c>
      <c r="T100" s="28" t="inlineStr">
        <is>
          <t>[PASAR] Sin Valor</t>
        </is>
      </c>
      <c r="U100" s="32" t="n">
        <v>2500</v>
      </c>
      <c r="V100" s="32" t="n">
        <v>0</v>
      </c>
      <c r="W100" s="28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2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2">
        <f>Y99+X100</f>
        <v/>
      </c>
      <c r="Z100" s="33">
        <f>IF(OR(Q100="",R100=""),"",(L100-IF(Q100&gt;R100,1,0))^2+(M100-IF(Q100=R100,1,0))^2+(N100-IF(Q100&lt;R100,1,0))^2)</f>
        <v/>
      </c>
      <c r="AA100" s="33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4" t="n">
        <v>0.7445000000000001</v>
      </c>
      <c r="AC100" s="30" t="inlineStr">
        <is>
          <t>NO</t>
        </is>
      </c>
    </row>
    <row r="101">
      <c r="A101" s="30" t="inlineStr">
        <is>
          <t>05/04/2026 14:00</t>
        </is>
      </c>
      <c r="B101" s="28" t="inlineStr">
        <is>
          <t>2026-04-05fenerbahcebesiktas</t>
        </is>
      </c>
      <c r="C101" s="28" t="inlineStr">
        <is>
          <t>Fenerbahce vs Besiktas</t>
        </is>
      </c>
      <c r="D101" s="28" t="inlineStr">
        <is>
          <t>Fenerbahce</t>
        </is>
      </c>
      <c r="E101" s="28" t="inlineStr">
        <is>
          <t>Besiktas</t>
        </is>
      </c>
      <c r="F101" s="29" t="n">
        <v>1.99</v>
      </c>
      <c r="G101" s="29" t="n">
        <v>3.51</v>
      </c>
      <c r="H101" s="29" t="n">
        <v>4.03</v>
      </c>
      <c r="I101" s="29" t="n"/>
      <c r="J101" s="29" t="n"/>
      <c r="K101" s="30" t="inlineStr">
        <is>
          <t>Turquia</t>
        </is>
      </c>
      <c r="L101" s="31" t="n">
        <v>0.4306682642088859</v>
      </c>
      <c r="M101" s="31" t="n">
        <v>0.2475750063177246</v>
      </c>
      <c r="N101" s="31" t="n">
        <v>0.3217567294733895</v>
      </c>
      <c r="O101" s="31" t="n">
        <v>0.5933963385823751</v>
      </c>
      <c r="P101" s="31" t="n">
        <v>0.4066036614176248</v>
      </c>
      <c r="Q101" s="35" t="n"/>
      <c r="R101" s="35" t="n"/>
      <c r="S101" s="28" t="inlineStr">
        <is>
          <t>[PASAR] Floor Prob (32%&lt;33%)</t>
        </is>
      </c>
      <c r="T101" s="28" t="inlineStr">
        <is>
          <t>[PASAR] Sin Cuotas</t>
        </is>
      </c>
      <c r="U101" s="32" t="n">
        <v>0</v>
      </c>
      <c r="V101" s="32" t="n">
        <v>0</v>
      </c>
      <c r="W101" s="28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2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2">
        <f>Y100+X101</f>
        <v/>
      </c>
      <c r="Z101" s="33">
        <f>IF(OR(Q101="",R101=""),"",(L101-IF(Q101&gt;R101,1,0))^2+(M101-IF(Q101=R101,1,0))^2+(N101-IF(Q101&lt;R101,1,0))^2)</f>
        <v/>
      </c>
      <c r="AA101" s="33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4" t="n">
        <v>0.7782</v>
      </c>
      <c r="AC101" s="30" t="inlineStr">
        <is>
          <t>NO</t>
        </is>
      </c>
    </row>
    <row r="102">
      <c r="A102" s="30" t="inlineStr">
        <is>
          <t>05/04/2026 17:30</t>
        </is>
      </c>
      <c r="B102" s="28" t="inlineStr">
        <is>
          <t>2026-04-05flamengosantos</t>
        </is>
      </c>
      <c r="C102" s="28" t="inlineStr">
        <is>
          <t>Flamengo vs Santos</t>
        </is>
      </c>
      <c r="D102" s="28" t="inlineStr">
        <is>
          <t>Flamengo</t>
        </is>
      </c>
      <c r="E102" s="28" t="inlineStr">
        <is>
          <t>Santos</t>
        </is>
      </c>
      <c r="F102" s="29" t="n">
        <v>1.38</v>
      </c>
      <c r="G102" s="29" t="n">
        <v>4.77</v>
      </c>
      <c r="H102" s="29" t="n">
        <v>9.81</v>
      </c>
      <c r="I102" s="29" t="n">
        <v>1.93</v>
      </c>
      <c r="J102" s="29" t="n">
        <v>1.96</v>
      </c>
      <c r="K102" s="30" t="inlineStr">
        <is>
          <t>Brasil</t>
        </is>
      </c>
      <c r="L102" s="31" t="n">
        <v>0.5663147973463485</v>
      </c>
      <c r="M102" s="31" t="n">
        <v>0.2380797601822919</v>
      </c>
      <c r="N102" s="31" t="n">
        <v>0.1956054424713596</v>
      </c>
      <c r="O102" s="31" t="n">
        <v>0.5267138998639872</v>
      </c>
      <c r="P102" s="31" t="n">
        <v>0.4732861001360128</v>
      </c>
      <c r="Q102" s="35" t="n"/>
      <c r="R102" s="35" t="n"/>
      <c r="S102" s="28" t="inlineStr">
        <is>
          <t>[PASAR] Riesgo/Beneficio</t>
        </is>
      </c>
      <c r="T102" s="28" t="inlineStr">
        <is>
          <t>[PASAR] Sin Valor</t>
        </is>
      </c>
      <c r="U102" s="32" t="n">
        <v>0</v>
      </c>
      <c r="V102" s="32" t="n">
        <v>0</v>
      </c>
      <c r="W102" s="28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2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2">
        <f>Y101+X102</f>
        <v/>
      </c>
      <c r="Z102" s="33">
        <f>IF(OR(Q102="",R102=""),"",(L102-IF(Q102&gt;R102,1,0))^2+(M102-IF(Q102=R102,1,0))^2+(N102-IF(Q102&lt;R102,1,0))^2)</f>
        <v/>
      </c>
      <c r="AA102" s="33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4" t="n">
        <v>0.8604000000000001</v>
      </c>
      <c r="AC102" s="30" t="inlineStr">
        <is>
          <t>NO</t>
        </is>
      </c>
    </row>
    <row r="103">
      <c r="A103" s="30" t="inlineStr">
        <is>
          <t>05/04/2026 15:30</t>
        </is>
      </c>
      <c r="B103" s="28" t="inlineStr">
        <is>
          <t>2026-04-05gimnasialaplatahuracan</t>
        </is>
      </c>
      <c r="C103" s="28" t="inlineStr">
        <is>
          <t>Gimnasia la Plata vs Huracan</t>
        </is>
      </c>
      <c r="D103" s="28" t="inlineStr">
        <is>
          <t>Gimnasia la Plata</t>
        </is>
      </c>
      <c r="E103" s="28" t="inlineStr">
        <is>
          <t>Huracan</t>
        </is>
      </c>
      <c r="F103" s="29" t="n"/>
      <c r="G103" s="29" t="n"/>
      <c r="H103" s="29" t="n"/>
      <c r="I103" s="29" t="n"/>
      <c r="J103" s="29" t="n"/>
      <c r="K103" s="30" t="inlineStr">
        <is>
          <t>Argentina</t>
        </is>
      </c>
      <c r="L103" s="31" t="n">
        <v>0.3689656880715366</v>
      </c>
      <c r="M103" s="31" t="n">
        <v>0.2960101675412269</v>
      </c>
      <c r="N103" s="31" t="n">
        <v>0.3350241443872364</v>
      </c>
      <c r="O103" s="31" t="n">
        <v>0.4097861749290452</v>
      </c>
      <c r="P103" s="31" t="n">
        <v>0.5902138250709547</v>
      </c>
      <c r="Q103" s="35" t="n"/>
      <c r="R103" s="35" t="n"/>
      <c r="S103" s="28" t="inlineStr">
        <is>
          <t>[PASAR] Sin Cuotas</t>
        </is>
      </c>
      <c r="T103" s="28" t="inlineStr">
        <is>
          <t>[PASAR] Sin Cuotas</t>
        </is>
      </c>
      <c r="U103" s="32" t="n">
        <v>0</v>
      </c>
      <c r="V103" s="32" t="n">
        <v>0</v>
      </c>
      <c r="W103" s="28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2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2">
        <f>Y102+X103</f>
        <v/>
      </c>
      <c r="Z103" s="33">
        <f>IF(OR(Q103="",R103=""),"",(L103-IF(Q103&gt;R103,1,0))^2+(M103-IF(Q103=R103,1,0))^2+(N103-IF(Q103&lt;R103,1,0))^2)</f>
        <v/>
      </c>
      <c r="AA103" s="33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4" t="n">
        <v>0.6372</v>
      </c>
      <c r="AC103" s="30" t="inlineStr">
        <is>
          <t>NO</t>
        </is>
      </c>
    </row>
    <row r="104">
      <c r="A104" s="30" t="inlineStr">
        <is>
          <t>05/04/2026 20:30</t>
        </is>
      </c>
      <c r="B104" s="28" t="inlineStr">
        <is>
          <t>2026-04-05gremioremo</t>
        </is>
      </c>
      <c r="C104" s="28" t="inlineStr">
        <is>
          <t>Gremio vs Remo</t>
        </is>
      </c>
      <c r="D104" s="28" t="inlineStr">
        <is>
          <t>Gremio</t>
        </is>
      </c>
      <c r="E104" s="28" t="inlineStr">
        <is>
          <t>Remo</t>
        </is>
      </c>
      <c r="F104" s="29" t="n">
        <v>1.62</v>
      </c>
      <c r="G104" s="29" t="n">
        <v>4.01</v>
      </c>
      <c r="H104" s="29" t="n">
        <v>5.93</v>
      </c>
      <c r="I104" s="29" t="n">
        <v>1.83</v>
      </c>
      <c r="J104" s="29" t="n">
        <v>2.06</v>
      </c>
      <c r="K104" s="30" t="inlineStr">
        <is>
          <t>Brasil</t>
        </is>
      </c>
      <c r="L104" s="31" t="n">
        <v>0.4977670434040495</v>
      </c>
      <c r="M104" s="31" t="n">
        <v>0.2350263346206427</v>
      </c>
      <c r="N104" s="31" t="n">
        <v>0.2672066219753078</v>
      </c>
      <c r="O104" s="31" t="n">
        <v>0.6141062694228666</v>
      </c>
      <c r="P104" s="31" t="n">
        <v>0.3858937305771334</v>
      </c>
      <c r="Q104" s="35" t="n"/>
      <c r="R104" s="35" t="n"/>
      <c r="S104" s="28" t="inlineStr">
        <is>
          <t>[PASAR] Riesgo/Beneficio</t>
        </is>
      </c>
      <c r="T104" s="28" t="inlineStr">
        <is>
          <t>[PASAR] Sin Valor</t>
        </is>
      </c>
      <c r="U104" s="32" t="n">
        <v>0</v>
      </c>
      <c r="V104" s="32" t="n">
        <v>0</v>
      </c>
      <c r="W104" s="28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2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2">
        <f>Y103+X104</f>
        <v/>
      </c>
      <c r="Z104" s="33">
        <f>IF(OR(Q104="",R104=""),"",(L104-IF(Q104&gt;R104,1,0))^2+(M104-IF(Q104=R104,1,0))^2+(N104-IF(Q104&lt;R104,1,0))^2)</f>
        <v/>
      </c>
      <c r="AA104" s="33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4" t="n">
        <v>0.6516</v>
      </c>
      <c r="AC104" s="30" t="inlineStr">
        <is>
          <t>NO</t>
        </is>
      </c>
    </row>
    <row r="105">
      <c r="A105" s="30" t="inlineStr">
        <is>
          <t>05/04/2026 20:00</t>
        </is>
      </c>
      <c r="B105" s="28" t="inlineStr">
        <is>
          <t>2026-04-05mirassolredbullbragantino</t>
        </is>
      </c>
      <c r="C105" s="28" t="inlineStr">
        <is>
          <t>Mirassol vs Red Bull Bragantino</t>
        </is>
      </c>
      <c r="D105" s="28" t="inlineStr">
        <is>
          <t>Mirassol</t>
        </is>
      </c>
      <c r="E105" s="28" t="inlineStr">
        <is>
          <t>Red Bull Bragantino</t>
        </is>
      </c>
      <c r="F105" s="29" t="n">
        <v>2.12</v>
      </c>
      <c r="G105" s="29" t="n">
        <v>3.39</v>
      </c>
      <c r="H105" s="29" t="n">
        <v>3.75</v>
      </c>
      <c r="I105" s="29" t="n">
        <v>2.01</v>
      </c>
      <c r="J105" s="29" t="n">
        <v>1.88</v>
      </c>
      <c r="K105" s="30" t="inlineStr">
        <is>
          <t>Brasil</t>
        </is>
      </c>
      <c r="L105" s="31" t="n">
        <v>0.5492606578971941</v>
      </c>
      <c r="M105" s="31" t="n">
        <v>0.2319231664305118</v>
      </c>
      <c r="N105" s="31" t="n">
        <v>0.2188161756722942</v>
      </c>
      <c r="O105" s="31" t="n">
        <v>0.5810405925258193</v>
      </c>
      <c r="P105" s="31" t="n">
        <v>0.4189594074741808</v>
      </c>
      <c r="Q105" s="35" t="n"/>
      <c r="R105" s="35" t="n"/>
      <c r="S105" s="28">
        <f>IF(OR(Q105="",R105=""),"[APOSTAR] LOCAL",IF(Q105&gt;R105,"[GANADA] LOCAL","[PERDIDA] LOCAL"))</f>
        <v/>
      </c>
      <c r="T105" s="28" t="inlineStr">
        <is>
          <t>[PASAR] Sin Valor</t>
        </is>
      </c>
      <c r="U105" s="32" t="n">
        <v>1443.38</v>
      </c>
      <c r="V105" s="32" t="n">
        <v>0</v>
      </c>
      <c r="W105" s="28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2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2">
        <f>Y104+X105</f>
        <v/>
      </c>
      <c r="Z105" s="33">
        <f>IF(OR(Q105="",R105=""),"",(L105-IF(Q105&gt;R105,1,0))^2+(M105-IF(Q105=R105,1,0))^2+(N105-IF(Q105&lt;R105,1,0))^2)</f>
        <v/>
      </c>
      <c r="AA105" s="33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4" t="n">
        <v>0.7882</v>
      </c>
      <c r="AC105" s="30" t="inlineStr">
        <is>
          <t>NO</t>
        </is>
      </c>
    </row>
    <row r="106">
      <c r="A106" s="30" t="inlineStr">
        <is>
          <t>05/04/2026 18:00</t>
        </is>
      </c>
      <c r="B106" s="28" t="inlineStr">
        <is>
          <t>2026-04-05riverplatebelgranocordoba</t>
        </is>
      </c>
      <c r="C106" s="28" t="inlineStr">
        <is>
          <t>River Plate vs Belgrano (cordoba)</t>
        </is>
      </c>
      <c r="D106" s="28" t="inlineStr">
        <is>
          <t>River Plate</t>
        </is>
      </c>
      <c r="E106" s="28" t="inlineStr">
        <is>
          <t>Belgrano (cordoba)</t>
        </is>
      </c>
      <c r="F106" s="29" t="n">
        <v>1.65</v>
      </c>
      <c r="G106" s="29" t="n">
        <v>3.76</v>
      </c>
      <c r="H106" s="29" t="n">
        <v>6.13</v>
      </c>
      <c r="I106" s="29" t="n"/>
      <c r="J106" s="29" t="n"/>
      <c r="K106" s="30" t="inlineStr">
        <is>
          <t>Argentina</t>
        </is>
      </c>
      <c r="L106" s="31" t="n">
        <v>0.5183748905984021</v>
      </c>
      <c r="M106" s="31" t="n">
        <v>0.259841450751463</v>
      </c>
      <c r="N106" s="31" t="n">
        <v>0.2217836586501349</v>
      </c>
      <c r="O106" s="31" t="n">
        <v>0.4844492602992937</v>
      </c>
      <c r="P106" s="31" t="n">
        <v>0.5155507397007064</v>
      </c>
      <c r="Q106" s="35" t="n"/>
      <c r="R106" s="35" t="n"/>
      <c r="S106" s="28" t="inlineStr">
        <is>
          <t>[PASAR] Riesgo/Beneficio</t>
        </is>
      </c>
      <c r="T106" s="28" t="inlineStr">
        <is>
          <t>[PASAR] Sin Cuotas</t>
        </is>
      </c>
      <c r="U106" s="32" t="n">
        <v>0</v>
      </c>
      <c r="V106" s="32" t="n">
        <v>0</v>
      </c>
      <c r="W106" s="28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2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2">
        <f>Y105+X106</f>
        <v/>
      </c>
      <c r="Z106" s="33">
        <f>IF(OR(Q106="",R106=""),"",(L106-IF(Q106&gt;R106,1,0))^2+(M106-IF(Q106=R106,1,0))^2+(N106-IF(Q106&lt;R106,1,0))^2)</f>
        <v/>
      </c>
      <c r="AA106" s="33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4" t="n">
        <v>0.7229</v>
      </c>
      <c r="AC106" s="30" t="inlineStr">
        <is>
          <t>NO</t>
        </is>
      </c>
    </row>
    <row r="107">
      <c r="A107" s="30" t="inlineStr">
        <is>
          <t>04/04/2026 21:00</t>
        </is>
      </c>
      <c r="B107" s="28" t="inlineStr">
        <is>
          <t>2026-04-05rosariocentralatleticotucuman</t>
        </is>
      </c>
      <c r="C107" s="28" t="inlineStr">
        <is>
          <t>Rosario Central vs Atletico Tucuman</t>
        </is>
      </c>
      <c r="D107" s="28" t="inlineStr">
        <is>
          <t>Rosario Central</t>
        </is>
      </c>
      <c r="E107" s="28" t="inlineStr">
        <is>
          <t>Atletico Tucuman</t>
        </is>
      </c>
      <c r="F107" s="29" t="n">
        <v>1.64</v>
      </c>
      <c r="G107" s="29" t="n">
        <v>3.71</v>
      </c>
      <c r="H107" s="29" t="n">
        <v>6.29</v>
      </c>
      <c r="I107" s="29" t="n"/>
      <c r="J107" s="29" t="n"/>
      <c r="K107" s="30" t="inlineStr">
        <is>
          <t>Argentina</t>
        </is>
      </c>
      <c r="L107" s="31" t="n">
        <v>0.4883799249630442</v>
      </c>
      <c r="M107" s="31" t="n">
        <v>0.246101930558475</v>
      </c>
      <c r="N107" s="31" t="n">
        <v>0.2655181444784808</v>
      </c>
      <c r="O107" s="31" t="n">
        <v>0.5770269103124676</v>
      </c>
      <c r="P107" s="31" t="n">
        <v>0.4229730896875324</v>
      </c>
      <c r="Q107" s="30" t="n">
        <v>2</v>
      </c>
      <c r="R107" s="30" t="n">
        <v>1</v>
      </c>
      <c r="S107" s="28" t="inlineStr">
        <is>
          <t>[PASAR] Riesgo/Beneficio</t>
        </is>
      </c>
      <c r="T107" s="28" t="inlineStr">
        <is>
          <t>[PASAR] Sin Cuotas</t>
        </is>
      </c>
      <c r="U107" s="32" t="n">
        <v>0</v>
      </c>
      <c r="V107" s="32" t="n">
        <v>0</v>
      </c>
      <c r="W107" s="28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2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2">
        <f>Y106+X107</f>
        <v/>
      </c>
      <c r="Z107" s="33">
        <f>IF(OR(Q107="",R107=""),"",(L107-IF(Q107&gt;R107,1,0))^2+(M107-IF(Q107=R107,1,0))^2+(N107-IF(Q107&lt;R107,1,0))^2)</f>
        <v/>
      </c>
      <c r="AA107" s="33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4" t="n">
        <v>0.5888</v>
      </c>
      <c r="AC107" s="30" t="inlineStr">
        <is>
          <t>NO</t>
        </is>
      </c>
    </row>
    <row r="108">
      <c r="A108" s="30" t="inlineStr">
        <is>
          <t>05/04/2026 08:30</t>
        </is>
      </c>
      <c r="B108" s="28" t="inlineStr">
        <is>
          <t>2026-04-05samsunsporkonyaspor</t>
        </is>
      </c>
      <c r="C108" s="28" t="inlineStr">
        <is>
          <t>Samsunspor vs Konyaspor</t>
        </is>
      </c>
      <c r="D108" s="28" t="inlineStr">
        <is>
          <t>Samsunspor</t>
        </is>
      </c>
      <c r="E108" s="28" t="inlineStr">
        <is>
          <t>Konyaspor</t>
        </is>
      </c>
      <c r="F108" s="29" t="n">
        <v>2.39</v>
      </c>
      <c r="G108" s="29" t="n">
        <v>3.14</v>
      </c>
      <c r="H108" s="29" t="n">
        <v>3.38</v>
      </c>
      <c r="I108" s="29" t="n"/>
      <c r="J108" s="29" t="n"/>
      <c r="K108" s="30" t="inlineStr">
        <is>
          <t>Turquia</t>
        </is>
      </c>
      <c r="L108" s="31" t="n">
        <v>0.4438473121786483</v>
      </c>
      <c r="M108" s="31" t="n">
        <v>0.2304413243321968</v>
      </c>
      <c r="N108" s="31" t="n">
        <v>0.325711363489155</v>
      </c>
      <c r="O108" s="31" t="n">
        <v>0.6723378196207546</v>
      </c>
      <c r="P108" s="31" t="n">
        <v>0.3276621803792455</v>
      </c>
      <c r="Q108" s="30" t="n">
        <v>2</v>
      </c>
      <c r="R108" s="30" t="n">
        <v>2</v>
      </c>
      <c r="S108" s="28" t="inlineStr">
        <is>
          <t>[PASAR] EV Insuf (0.061&lt;0.080)</t>
        </is>
      </c>
      <c r="T108" s="28" t="inlineStr">
        <is>
          <t>[PASAR] Sin Cuotas</t>
        </is>
      </c>
      <c r="U108" s="32" t="n">
        <v>0</v>
      </c>
      <c r="V108" s="32" t="n">
        <v>0</v>
      </c>
      <c r="W108" s="28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2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2">
        <f>Y107+X108</f>
        <v/>
      </c>
      <c r="Z108" s="33">
        <f>IF(OR(Q108="",R108=""),"",(L108-IF(Q108&gt;R108,1,0))^2+(M108-IF(Q108=R108,1,0))^2+(N108-IF(Q108&lt;R108,1,0))^2)</f>
        <v/>
      </c>
      <c r="AA108" s="33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4" t="n">
        <v>0.7822</v>
      </c>
      <c r="AC108" s="30" t="inlineStr">
        <is>
          <t>NO</t>
        </is>
      </c>
    </row>
    <row r="109">
      <c r="A109" s="30" t="inlineStr">
        <is>
          <t>04/04/2026 21:00</t>
        </is>
      </c>
      <c r="B109" s="28" t="inlineStr">
        <is>
          <t>2026-04-05vascodagamabotafogo</t>
        </is>
      </c>
      <c r="C109" s="28" t="inlineStr">
        <is>
          <t>Vasco da Gama vs Botafogo</t>
        </is>
      </c>
      <c r="D109" s="28" t="inlineStr">
        <is>
          <t>Vasco da Gama</t>
        </is>
      </c>
      <c r="E109" s="28" t="inlineStr">
        <is>
          <t>Botafogo</t>
        </is>
      </c>
      <c r="F109" s="29" t="n">
        <v>2.06</v>
      </c>
      <c r="G109" s="29" t="n">
        <v>3.44</v>
      </c>
      <c r="H109" s="29" t="n">
        <v>3.88</v>
      </c>
      <c r="I109" s="29" t="n">
        <v>2</v>
      </c>
      <c r="J109" s="29" t="n">
        <v>1.84</v>
      </c>
      <c r="K109" s="30" t="inlineStr">
        <is>
          <t>Brasil</t>
        </is>
      </c>
      <c r="L109" s="31" t="n">
        <v>0.4191168527431521</v>
      </c>
      <c r="M109" s="31" t="n">
        <v>0.2237751767220289</v>
      </c>
      <c r="N109" s="31" t="n">
        <v>0.3571079705348189</v>
      </c>
      <c r="O109" s="31" t="n">
        <v>0.7081521294456694</v>
      </c>
      <c r="P109" s="31" t="n">
        <v>0.2918478705543307</v>
      </c>
      <c r="Q109" s="30" t="n">
        <v>1</v>
      </c>
      <c r="R109" s="30" t="n">
        <v>2</v>
      </c>
      <c r="S109" s="28" t="inlineStr">
        <is>
          <t>[GANADA] VISITA</t>
        </is>
      </c>
      <c r="T109" s="28" t="inlineStr">
        <is>
          <t>[PASAR] Sin Valor</t>
        </is>
      </c>
      <c r="U109" s="32" t="n">
        <v>2500</v>
      </c>
      <c r="V109" s="32" t="n">
        <v>0</v>
      </c>
      <c r="W109" s="28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2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2">
        <f>Y108+X109</f>
        <v/>
      </c>
      <c r="Z109" s="33">
        <f>IF(OR(Q109="",R109=""),"",(L109-IF(Q109&gt;R109,1,0))^2+(M109-IF(Q109=R109,1,0))^2+(N109-IF(Q109&lt;R109,1,0))^2)</f>
        <v/>
      </c>
      <c r="AA109" s="33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4" t="n">
        <v>0.8322000000000001</v>
      </c>
      <c r="AC109" s="30" t="inlineStr">
        <is>
          <t>NO</t>
        </is>
      </c>
    </row>
    <row r="110">
      <c r="A110" s="30" t="inlineStr">
        <is>
          <t>06/04/2026 19:00</t>
        </is>
      </c>
      <c r="B110" s="28" t="inlineStr">
        <is>
          <t>2026-04-06argentinosjuniorsbanfield</t>
        </is>
      </c>
      <c r="C110" s="28" t="inlineStr">
        <is>
          <t>Argentinos Juniors vs Banfield</t>
        </is>
      </c>
      <c r="D110" s="28" t="inlineStr">
        <is>
          <t>Argentinos Juniors</t>
        </is>
      </c>
      <c r="E110" s="28" t="inlineStr">
        <is>
          <t>Banfield</t>
        </is>
      </c>
      <c r="F110" s="29" t="n">
        <v>1.48</v>
      </c>
      <c r="G110" s="29" t="n">
        <v>4.02</v>
      </c>
      <c r="H110" s="29" t="n">
        <v>7.53</v>
      </c>
      <c r="I110" s="29" t="n"/>
      <c r="J110" s="29" t="n"/>
      <c r="K110" s="30" t="inlineStr">
        <is>
          <t>Argentina</t>
        </is>
      </c>
      <c r="L110" s="31" t="n">
        <v>0.5564058544729272</v>
      </c>
      <c r="M110" s="31" t="n">
        <v>0.2582842926994595</v>
      </c>
      <c r="N110" s="31" t="n">
        <v>0.1853098528276132</v>
      </c>
      <c r="O110" s="31" t="n">
        <v>0.4497533845612681</v>
      </c>
      <c r="P110" s="31" t="n">
        <v>0.5502466154387319</v>
      </c>
      <c r="Q110" s="35" t="n"/>
      <c r="R110" s="35" t="n"/>
      <c r="S110" s="28" t="inlineStr">
        <is>
          <t>[PASAR] Riesgo/Beneficio</t>
        </is>
      </c>
      <c r="T110" s="28" t="inlineStr">
        <is>
          <t>[PASAR] Sin Cuotas</t>
        </is>
      </c>
      <c r="U110" s="32" t="n">
        <v>0</v>
      </c>
      <c r="V110" s="32" t="n">
        <v>0</v>
      </c>
      <c r="W110" s="28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2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2">
        <f>Y109+X110</f>
        <v/>
      </c>
      <c r="Z110" s="33">
        <f>IF(OR(Q110="",R110=""),"",(L110-IF(Q110&gt;R110,1,0))^2+(M110-IF(Q110=R110,1,0))^2+(N110-IF(Q110&lt;R110,1,0))^2)</f>
        <v/>
      </c>
      <c r="AA110" s="33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4" t="n">
        <v>0.6284</v>
      </c>
      <c r="AC110" s="30" t="inlineStr">
        <is>
          <t>NO</t>
        </is>
      </c>
    </row>
    <row r="111">
      <c r="A111" s="30" t="inlineStr">
        <is>
          <t>06/04/2026 12:00</t>
        </is>
      </c>
      <c r="B111" s="28" t="inlineStr">
        <is>
          <t>2026-04-06hamkamskbrann</t>
        </is>
      </c>
      <c r="C111" s="28" t="inlineStr">
        <is>
          <t>Hamkam vs Sk Brann</t>
        </is>
      </c>
      <c r="D111" s="28" t="inlineStr">
        <is>
          <t>Hamkam</t>
        </is>
      </c>
      <c r="E111" s="28" t="inlineStr">
        <is>
          <t>Sk Brann</t>
        </is>
      </c>
      <c r="F111" s="29" t="n">
        <v>3.49</v>
      </c>
      <c r="G111" s="29" t="n">
        <v>3.71</v>
      </c>
      <c r="H111" s="29" t="n">
        <v>2.07</v>
      </c>
      <c r="I111" s="29" t="n"/>
      <c r="J111" s="29" t="n"/>
      <c r="K111" s="30" t="inlineStr">
        <is>
          <t>Noruega</t>
        </is>
      </c>
      <c r="L111" s="31" t="n">
        <v>0.4486757801788941</v>
      </c>
      <c r="M111" s="31" t="n">
        <v>0.2371454964032732</v>
      </c>
      <c r="N111" s="31" t="n">
        <v>0.3141787234178327</v>
      </c>
      <c r="O111" s="31" t="n">
        <v>0.6200891137750755</v>
      </c>
      <c r="P111" s="31" t="n">
        <v>0.3799108862249245</v>
      </c>
      <c r="Q111" s="35" t="n"/>
      <c r="R111" s="35" t="n"/>
      <c r="S111" s="28">
        <f>IF(OR(Q111="",R111=""),"[APOSTAR] LOCAL",IF(Q111&gt;R111,"[GANADA] LOCAL","[PERDIDA] LOCAL"))</f>
        <v/>
      </c>
      <c r="T111" s="28" t="inlineStr">
        <is>
          <t>[PASAR] Sin Cuotas</t>
        </is>
      </c>
      <c r="U111" s="32" t="n">
        <v>1767.77</v>
      </c>
      <c r="V111" s="32" t="n">
        <v>0</v>
      </c>
      <c r="W111" s="28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2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2">
        <f>Y110+X111</f>
        <v/>
      </c>
      <c r="Z111" s="33">
        <f>IF(OR(Q111="",R111=""),"",(L111-IF(Q111&gt;R111,1,0))^2+(M111-IF(Q111=R111,1,0))^2+(N111-IF(Q111&lt;R111,1,0))^2)</f>
        <v/>
      </c>
      <c r="AA111" s="33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4" t="n">
        <v>0.9265</v>
      </c>
      <c r="AC111" s="30" t="inlineStr">
        <is>
          <t>NO</t>
        </is>
      </c>
    </row>
    <row r="112">
      <c r="A112" s="30" t="inlineStr">
        <is>
          <t>06/04/2026 14:00</t>
        </is>
      </c>
      <c r="B112" s="28" t="inlineStr">
        <is>
          <t>2026-04-06kocaelisporistanbulbasaksehir</t>
        </is>
      </c>
      <c r="C112" s="28" t="inlineStr">
        <is>
          <t>Kocaelispor vs Istanbul Basaksehir</t>
        </is>
      </c>
      <c r="D112" s="28" t="inlineStr">
        <is>
          <t>Kocaelispor</t>
        </is>
      </c>
      <c r="E112" s="28" t="inlineStr">
        <is>
          <t>Istanbul Basaksehir</t>
        </is>
      </c>
      <c r="F112" s="29" t="n">
        <v>3.13</v>
      </c>
      <c r="G112" s="29" t="n">
        <v>3.03</v>
      </c>
      <c r="H112" s="29" t="n">
        <v>2.5</v>
      </c>
      <c r="I112" s="29" t="n"/>
      <c r="J112" s="29" t="n"/>
      <c r="K112" s="30" t="inlineStr">
        <is>
          <t>Turquia</t>
        </is>
      </c>
      <c r="L112" s="31" t="n">
        <v>0.3333326837740704</v>
      </c>
      <c r="M112" s="31" t="n">
        <v>0.2768377365086844</v>
      </c>
      <c r="N112" s="31" t="n">
        <v>0.3898295797172452</v>
      </c>
      <c r="O112" s="31" t="n">
        <v>0.4735064796585714</v>
      </c>
      <c r="P112" s="31" t="n">
        <v>0.5264935203414286</v>
      </c>
      <c r="Q112" s="35" t="n"/>
      <c r="R112" s="35" t="n"/>
      <c r="S112" s="28" t="inlineStr">
        <is>
          <t>[PASAR] Riesgo/Beneficio</t>
        </is>
      </c>
      <c r="T112" s="28" t="inlineStr">
        <is>
          <t>[PASAR] Sin Cuotas</t>
        </is>
      </c>
      <c r="U112" s="32" t="n">
        <v>0</v>
      </c>
      <c r="V112" s="32" t="n">
        <v>0</v>
      </c>
      <c r="W112" s="28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2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2">
        <f>Y111+X112</f>
        <v/>
      </c>
      <c r="Z112" s="33">
        <f>IF(OR(Q112="",R112=""),"",(L112-IF(Q112&gt;R112,1,0))^2+(M112-IF(Q112=R112,1,0))^2+(N112-IF(Q112&lt;R112,1,0))^2)</f>
        <v/>
      </c>
      <c r="AA112" s="33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4" t="n">
        <v>0.781</v>
      </c>
      <c r="AC112" s="30" t="inlineStr">
        <is>
          <t>NO</t>
        </is>
      </c>
    </row>
    <row r="113">
      <c r="A113" s="30" t="inlineStr">
        <is>
          <t>06/04/2026 12:00</t>
        </is>
      </c>
      <c r="B113" s="28" t="inlineStr">
        <is>
          <t>2026-04-06kristiansundbkbodoglimt</t>
        </is>
      </c>
      <c r="C113" s="28" t="inlineStr">
        <is>
          <t>Kristiansund bk vs Bodo/glimt</t>
        </is>
      </c>
      <c r="D113" s="28" t="inlineStr">
        <is>
          <t>Kristiansund bk</t>
        </is>
      </c>
      <c r="E113" s="28" t="inlineStr">
        <is>
          <t>Bodo/glimt</t>
        </is>
      </c>
      <c r="F113" s="29" t="n">
        <v>8.050000000000001</v>
      </c>
      <c r="G113" s="29" t="n">
        <v>6.57</v>
      </c>
      <c r="H113" s="29" t="n">
        <v>1.3</v>
      </c>
      <c r="I113" s="29" t="n"/>
      <c r="J113" s="29" t="n"/>
      <c r="K113" s="30" t="inlineStr">
        <is>
          <t>Noruega</t>
        </is>
      </c>
      <c r="L113" s="31" t="n">
        <v>0.2685554359060944</v>
      </c>
      <c r="M113" s="31" t="n">
        <v>0.2382308588689295</v>
      </c>
      <c r="N113" s="31" t="n">
        <v>0.4932137052249761</v>
      </c>
      <c r="O113" s="31" t="n">
        <v>0.5879103320327207</v>
      </c>
      <c r="P113" s="31" t="n">
        <v>0.4120896679672794</v>
      </c>
      <c r="Q113" s="35" t="n"/>
      <c r="R113" s="35" t="n"/>
      <c r="S113" s="28" t="inlineStr">
        <is>
          <t>[PASAR] Riesgo/Beneficio</t>
        </is>
      </c>
      <c r="T113" s="28" t="inlineStr">
        <is>
          <t>[PASAR] Sin Cuotas</t>
        </is>
      </c>
      <c r="U113" s="32" t="n">
        <v>0</v>
      </c>
      <c r="V113" s="32" t="n">
        <v>0</v>
      </c>
      <c r="W113" s="28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2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2">
        <f>Y112+X113</f>
        <v/>
      </c>
      <c r="Z113" s="33">
        <f>IF(OR(Q113="",R113=""),"",(L113-IF(Q113&gt;R113,1,0))^2+(M113-IF(Q113=R113,1,0))^2+(N113-IF(Q113&lt;R113,1,0))^2)</f>
        <v/>
      </c>
      <c r="AA113" s="33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4" t="n">
        <v>0.7848000000000001</v>
      </c>
      <c r="AC113" s="30" t="inlineStr">
        <is>
          <t>NO</t>
        </is>
      </c>
    </row>
    <row r="114">
      <c r="A114" s="30" t="inlineStr">
        <is>
          <t>06/04/2026 12:00</t>
        </is>
      </c>
      <c r="B114" s="28" t="inlineStr">
        <is>
          <t>2026-04-06moldelillestrom</t>
        </is>
      </c>
      <c r="C114" s="28" t="inlineStr">
        <is>
          <t>Molde vs Lillestrom</t>
        </is>
      </c>
      <c r="D114" s="28" t="inlineStr">
        <is>
          <t>Molde</t>
        </is>
      </c>
      <c r="E114" s="28" t="inlineStr">
        <is>
          <t>Lillestrom</t>
        </is>
      </c>
      <c r="F114" s="29" t="n">
        <v>2.17</v>
      </c>
      <c r="G114" s="29" t="n">
        <v>3.85</v>
      </c>
      <c r="H114" s="29" t="n">
        <v>3.15</v>
      </c>
      <c r="I114" s="29" t="n"/>
      <c r="J114" s="29" t="n"/>
      <c r="K114" s="30" t="inlineStr">
        <is>
          <t>Noruega</t>
        </is>
      </c>
      <c r="L114" s="31" t="n">
        <v>0.4566563276940353</v>
      </c>
      <c r="M114" s="31" t="n">
        <v>0.2465314821330628</v>
      </c>
      <c r="N114" s="31" t="n">
        <v>0.2968121901729019</v>
      </c>
      <c r="O114" s="31" t="n">
        <v>0.5692579408856451</v>
      </c>
      <c r="P114" s="31" t="n">
        <v>0.4307420591143548</v>
      </c>
      <c r="Q114" s="35" t="n"/>
      <c r="R114" s="35" t="n"/>
      <c r="S114" s="28" t="inlineStr">
        <is>
          <t>[PASAR] Riesgo/Beneficio</t>
        </is>
      </c>
      <c r="T114" s="28" t="inlineStr">
        <is>
          <t>[PASAR] Sin Cuotas</t>
        </is>
      </c>
      <c r="U114" s="32" t="n">
        <v>0</v>
      </c>
      <c r="V114" s="32" t="n">
        <v>0</v>
      </c>
      <c r="W114" s="28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2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2">
        <f>Y113+X114</f>
        <v/>
      </c>
      <c r="Z114" s="33">
        <f>IF(OR(Q114="",R114=""),"",(L114-IF(Q114&gt;R114,1,0))^2+(M114-IF(Q114=R114,1,0))^2+(N114-IF(Q114&lt;R114,1,0))^2)</f>
        <v/>
      </c>
      <c r="AA114" s="33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4" t="n">
        <v>0.6857</v>
      </c>
      <c r="AC114" s="30" t="inlineStr">
        <is>
          <t>NO</t>
        </is>
      </c>
    </row>
    <row r="115">
      <c r="A115" s="30" t="inlineStr">
        <is>
          <t>06/04/2026 12:00</t>
        </is>
      </c>
      <c r="B115" s="28" t="inlineStr">
        <is>
          <t>2026-04-06sarpsborgfkikstart</t>
        </is>
      </c>
      <c r="C115" s="28" t="inlineStr">
        <is>
          <t>Sarpsborg fk vs Ik Start</t>
        </is>
      </c>
      <c r="D115" s="28" t="inlineStr">
        <is>
          <t>Sarpsborg fk</t>
        </is>
      </c>
      <c r="E115" s="28" t="inlineStr">
        <is>
          <t>Ik Start</t>
        </is>
      </c>
      <c r="F115" s="29" t="n">
        <v>1.7</v>
      </c>
      <c r="G115" s="29" t="n">
        <v>4.2</v>
      </c>
      <c r="H115" s="29" t="n">
        <v>4.68</v>
      </c>
      <c r="I115" s="29" t="n"/>
      <c r="J115" s="29" t="n"/>
      <c r="K115" s="30" t="inlineStr">
        <is>
          <t>Noruega</t>
        </is>
      </c>
      <c r="L115" s="31" t="n">
        <v>0.3429638610175831</v>
      </c>
      <c r="M115" s="31" t="n">
        <v>0.2489684277026439</v>
      </c>
      <c r="N115" s="31" t="n">
        <v>0.408067711279773</v>
      </c>
      <c r="O115" s="31" t="n">
        <v>0.5752361140664245</v>
      </c>
      <c r="P115" s="31" t="n">
        <v>0.4247638859335756</v>
      </c>
      <c r="Q115" s="35" t="n"/>
      <c r="R115" s="35" t="n"/>
      <c r="S115" s="28">
        <f>IF(OR(Q115="",R115=""),"[APOSTAR] VISITA",IF(Q115&lt;R115,"[GANADA] VISITA","[PERDIDA] VISITA"))</f>
        <v/>
      </c>
      <c r="T115" s="28" t="inlineStr">
        <is>
          <t>[PASAR] Sin Cuotas</t>
        </is>
      </c>
      <c r="U115" s="32" t="n">
        <v>1767.77</v>
      </c>
      <c r="V115" s="32" t="n">
        <v>0</v>
      </c>
      <c r="W115" s="28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2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2">
        <f>Y114+X115</f>
        <v/>
      </c>
      <c r="Z115" s="33">
        <f>IF(OR(Q115="",R115=""),"",(L115-IF(Q115&gt;R115,1,0))^2+(M115-IF(Q115=R115,1,0))^2+(N115-IF(Q115&lt;R115,1,0))^2)</f>
        <v/>
      </c>
      <c r="AA115" s="33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4" t="n">
        <v>0.6021</v>
      </c>
      <c r="AC115" s="30" t="inlineStr">
        <is>
          <t>NO</t>
        </is>
      </c>
    </row>
    <row r="116">
      <c r="A116" s="30" t="inlineStr">
        <is>
          <t>06/04/2026 14:15</t>
        </is>
      </c>
      <c r="B116" s="28" t="inlineStr">
        <is>
          <t>2026-04-06tromsorosenborg</t>
        </is>
      </c>
      <c r="C116" s="28" t="inlineStr">
        <is>
          <t>Tromso vs Rosenborg</t>
        </is>
      </c>
      <c r="D116" s="28" t="inlineStr">
        <is>
          <t>Tromso</t>
        </is>
      </c>
      <c r="E116" s="28" t="inlineStr">
        <is>
          <t>Rosenborg</t>
        </is>
      </c>
      <c r="F116" s="29" t="n">
        <v>1.52</v>
      </c>
      <c r="G116" s="29" t="n">
        <v>4.31</v>
      </c>
      <c r="H116" s="29" t="n">
        <v>6.25</v>
      </c>
      <c r="I116" s="29" t="n"/>
      <c r="J116" s="29" t="n"/>
      <c r="K116" s="30" t="inlineStr">
        <is>
          <t>Noruega</t>
        </is>
      </c>
      <c r="L116" s="31" t="n">
        <v>0.5867408979515054</v>
      </c>
      <c r="M116" s="31" t="n">
        <v>0.2264337983858185</v>
      </c>
      <c r="N116" s="31" t="n">
        <v>0.186825303662676</v>
      </c>
      <c r="O116" s="31" t="n">
        <v>0.5490319188063115</v>
      </c>
      <c r="P116" s="31" t="n">
        <v>0.4509680811936885</v>
      </c>
      <c r="Q116" s="35" t="n"/>
      <c r="R116" s="35" t="n"/>
      <c r="S116" s="28" t="inlineStr">
        <is>
          <t>[PASAR] Riesgo/Beneficio</t>
        </is>
      </c>
      <c r="T116" s="28" t="inlineStr">
        <is>
          <t>[PASAR] Sin Cuotas</t>
        </is>
      </c>
      <c r="U116" s="32" t="n">
        <v>0</v>
      </c>
      <c r="V116" s="32" t="n">
        <v>0</v>
      </c>
      <c r="W116" s="28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2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2">
        <f>Y115+X116</f>
        <v/>
      </c>
      <c r="Z116" s="33">
        <f>IF(OR(Q116="",R116=""),"",(L116-IF(Q116&gt;R116,1,0))^2+(M116-IF(Q116=R116,1,0))^2+(N116-IF(Q116&lt;R116,1,0))^2)</f>
        <v/>
      </c>
      <c r="AA116" s="33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4" t="n">
        <v>0.9676</v>
      </c>
      <c r="AC116" s="30" t="inlineStr">
        <is>
          <t>NO</t>
        </is>
      </c>
    </row>
    <row r="117">
      <c r="A117" s="30" t="inlineStr">
        <is>
          <t>06/04/2026 09:30</t>
        </is>
      </c>
      <c r="B117" s="28" t="inlineStr">
        <is>
          <t>2026-04-06valerengavikingfk</t>
        </is>
      </c>
      <c r="C117" s="28" t="inlineStr">
        <is>
          <t>Valerenga vs Viking fk</t>
        </is>
      </c>
      <c r="D117" s="28" t="inlineStr">
        <is>
          <t>Valerenga</t>
        </is>
      </c>
      <c r="E117" s="28" t="inlineStr">
        <is>
          <t>Viking fk</t>
        </is>
      </c>
      <c r="F117" s="29" t="n">
        <v>3.06</v>
      </c>
      <c r="G117" s="29" t="n">
        <v>3.91</v>
      </c>
      <c r="H117" s="29" t="n">
        <v>2.19</v>
      </c>
      <c r="I117" s="29" t="n"/>
      <c r="J117" s="29" t="n"/>
      <c r="K117" s="30" t="inlineStr">
        <is>
          <t>Noruega</t>
        </is>
      </c>
      <c r="L117" s="31" t="n">
        <v>0.3658204311866388</v>
      </c>
      <c r="M117" s="31" t="n">
        <v>0.2461491157187746</v>
      </c>
      <c r="N117" s="31" t="n">
        <v>0.3880304530945866</v>
      </c>
      <c r="O117" s="31" t="n">
        <v>0.5914288125286316</v>
      </c>
      <c r="P117" s="31" t="n">
        <v>0.4085711874713684</v>
      </c>
      <c r="Q117" s="35" t="n"/>
      <c r="R117" s="35" t="n"/>
      <c r="S117" s="28" t="inlineStr">
        <is>
          <t>[PASAR] Margen Predictivo Insuficiente (&lt;5%)</t>
        </is>
      </c>
      <c r="T117" s="28" t="inlineStr">
        <is>
          <t>[PASAR] Sin Cuotas</t>
        </is>
      </c>
      <c r="U117" s="32" t="n">
        <v>0</v>
      </c>
      <c r="V117" s="32" t="n">
        <v>0</v>
      </c>
      <c r="W117" s="28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2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2">
        <f>Y116+X117</f>
        <v/>
      </c>
      <c r="Z117" s="33">
        <f>IF(OR(Q117="",R117=""),"",(L117-IF(Q117&gt;R117,1,0))^2+(M117-IF(Q117=R117,1,0))^2+(N117-IF(Q117&lt;R117,1,0))^2)</f>
        <v/>
      </c>
      <c r="AA117" s="33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4" t="n">
        <v>0.6494</v>
      </c>
      <c r="AC117" s="30" t="inlineStr">
        <is>
          <t>NO</t>
        </is>
      </c>
    </row>
    <row r="118">
      <c r="A118" s="30" t="inlineStr">
        <is>
          <t>07/04/2026 14:00</t>
        </is>
      </c>
      <c r="B118" s="28" t="inlineStr">
        <is>
          <t>2026-04-07aalesundfredrikstad</t>
        </is>
      </c>
      <c r="C118" s="28" t="inlineStr">
        <is>
          <t>Aalesund vs Fredrikstad</t>
        </is>
      </c>
      <c r="D118" s="28" t="inlineStr">
        <is>
          <t>Aalesund</t>
        </is>
      </c>
      <c r="E118" s="28" t="inlineStr">
        <is>
          <t>Fredrikstad</t>
        </is>
      </c>
      <c r="F118" s="29" t="n">
        <v>2.86</v>
      </c>
      <c r="G118" s="29" t="n">
        <v>3.74</v>
      </c>
      <c r="H118" s="29" t="n">
        <v>2.32</v>
      </c>
      <c r="I118" s="29" t="n">
        <v>1.82</v>
      </c>
      <c r="J118" s="29" t="n">
        <v>2.03</v>
      </c>
      <c r="K118" s="30" t="inlineStr">
        <is>
          <t>Noruega</t>
        </is>
      </c>
      <c r="L118" s="31" t="n">
        <v>0.4192423319145392</v>
      </c>
      <c r="M118" s="31" t="n">
        <v>0.2544728671319984</v>
      </c>
      <c r="N118" s="31" t="n">
        <v>0.3262848009534624</v>
      </c>
      <c r="O118" s="31" t="n">
        <v>0.5464765093450419</v>
      </c>
      <c r="P118" s="31" t="n">
        <v>0.4535234906549582</v>
      </c>
      <c r="Q118" s="35" t="n"/>
      <c r="R118" s="35" t="n"/>
      <c r="S118" s="28">
        <f>IF(OR(Q118="",R118=""),"[APOSTAR] LOCAL",IF(Q118&gt;R118,"[GANADA] LOCAL","[PERDIDA] LOCAL"))</f>
        <v/>
      </c>
      <c r="T118" s="28" t="inlineStr">
        <is>
          <t>[PASAR] Sin Valor</t>
        </is>
      </c>
      <c r="U118" s="32" t="n">
        <v>1767.77</v>
      </c>
      <c r="V118" s="32" t="n">
        <v>0</v>
      </c>
      <c r="W118" s="28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2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2">
        <f>Y117+X118</f>
        <v/>
      </c>
      <c r="Z118" s="33">
        <f>IF(OR(Q118="",R118=""),"",(L118-IF(Q118&gt;R118,1,0))^2+(M118-IF(Q118=R118,1,0))^2+(N118-IF(Q118&lt;R118,1,0))^2)</f>
        <v/>
      </c>
      <c r="AA118" s="33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4" t="n">
        <v>0.7564</v>
      </c>
      <c r="AC118" s="30" t="inlineStr">
        <is>
          <t>NO</t>
        </is>
      </c>
    </row>
    <row r="119">
      <c r="A119" s="30" t="inlineStr">
        <is>
          <t>06/04/2026 21:15</t>
        </is>
      </c>
      <c r="B119" s="28" t="inlineStr">
        <is>
          <t>2026-04-07institutocordobadefensayjusticia</t>
        </is>
      </c>
      <c r="C119" s="28" t="inlineStr">
        <is>
          <t>Instituto (córdoba) vs Defensa y Justicia</t>
        </is>
      </c>
      <c r="D119" s="28" t="inlineStr">
        <is>
          <t>Instituto (córdoba)</t>
        </is>
      </c>
      <c r="E119" s="28" t="inlineStr">
        <is>
          <t>Defensa y Justicia</t>
        </is>
      </c>
      <c r="F119" s="29" t="n">
        <v>2</v>
      </c>
      <c r="G119" s="29" t="n">
        <v>3.23</v>
      </c>
      <c r="H119" s="29" t="n">
        <v>4.15</v>
      </c>
      <c r="I119" s="29" t="n"/>
      <c r="J119" s="29" t="n"/>
      <c r="K119" s="30" t="inlineStr">
        <is>
          <t>Argentina</t>
        </is>
      </c>
      <c r="L119" s="31" t="n">
        <v>0.3888341022581325</v>
      </c>
      <c r="M119" s="31" t="n">
        <v>0.2862072184034586</v>
      </c>
      <c r="N119" s="31" t="n">
        <v>0.3249586793384088</v>
      </c>
      <c r="O119" s="31" t="n">
        <v>0.4438155267438119</v>
      </c>
      <c r="P119" s="31" t="n">
        <v>0.5561844732561881</v>
      </c>
      <c r="Q119" s="35" t="n"/>
      <c r="R119" s="35" t="n"/>
      <c r="S119" s="28" t="inlineStr">
        <is>
          <t>[PASAR] Floor Prob (32%&lt;33%)</t>
        </is>
      </c>
      <c r="T119" s="28" t="inlineStr">
        <is>
          <t>[PASAR] Sin Cuotas</t>
        </is>
      </c>
      <c r="U119" s="32" t="n">
        <v>0</v>
      </c>
      <c r="V119" s="32" t="n">
        <v>0</v>
      </c>
      <c r="W119" s="28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2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2">
        <f>Y118+X119</f>
        <v/>
      </c>
      <c r="Z119" s="33">
        <f>IF(OR(Q119="",R119=""),"",(L119-IF(Q119&gt;R119,1,0))^2+(M119-IF(Q119=R119,1,0))^2+(N119-IF(Q119&lt;R119,1,0))^2)</f>
        <v/>
      </c>
      <c r="AA119" s="33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4" t="n">
        <v>0.6891</v>
      </c>
      <c r="AC119" s="30" t="inlineStr">
        <is>
          <t>NO</t>
        </is>
      </c>
    </row>
    <row r="120">
      <c r="A120" s="30" t="inlineStr">
        <is>
          <t>07/04/2026 14:00</t>
        </is>
      </c>
      <c r="B120" s="28" t="inlineStr">
        <is>
          <t>2026-04-07kfumoslosandefjord</t>
        </is>
      </c>
      <c r="C120" s="28" t="inlineStr">
        <is>
          <t>Kfum Oslo vs Sandefjord</t>
        </is>
      </c>
      <c r="D120" s="28" t="inlineStr">
        <is>
          <t>Kfum Oslo</t>
        </is>
      </c>
      <c r="E120" s="28" t="inlineStr">
        <is>
          <t>Sandefjord</t>
        </is>
      </c>
      <c r="F120" s="29" t="n">
        <v>2.1</v>
      </c>
      <c r="G120" s="29" t="n">
        <v>3.61</v>
      </c>
      <c r="H120" s="29" t="n">
        <v>3.39</v>
      </c>
      <c r="I120" s="29" t="n">
        <v>1.84</v>
      </c>
      <c r="J120" s="29" t="n">
        <v>2</v>
      </c>
      <c r="K120" s="30" t="inlineStr">
        <is>
          <t>Noruega</t>
        </is>
      </c>
      <c r="L120" s="31" t="n">
        <v>0.374715855945916</v>
      </c>
      <c r="M120" s="31" t="n">
        <v>0.247074795734283</v>
      </c>
      <c r="N120" s="31" t="n">
        <v>0.378209348319801</v>
      </c>
      <c r="O120" s="31" t="n">
        <v>0.5874735724854936</v>
      </c>
      <c r="P120" s="31" t="n">
        <v>0.4125264275145064</v>
      </c>
      <c r="Q120" s="35" t="n"/>
      <c r="R120" s="35" t="n"/>
      <c r="S120" s="28" t="inlineStr">
        <is>
          <t>[PASAR] Margen Predictivo Insuficiente (&lt;5%)</t>
        </is>
      </c>
      <c r="T120" s="28">
        <f>IF(OR(Q120="",R120=""),"[APOSTAR] OVER 2.5",IF((Q120+R120)&gt;2.5,"[GANADA] OVER 2.5","[PERDIDA] OVER 2.5"))</f>
        <v/>
      </c>
      <c r="U120" s="32" t="n">
        <v>0</v>
      </c>
      <c r="V120" s="32" t="n">
        <v>1767.77</v>
      </c>
      <c r="W120" s="28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2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2">
        <f>Y119+X120</f>
        <v/>
      </c>
      <c r="Z120" s="33">
        <f>IF(OR(Q120="",R120=""),"",(L120-IF(Q120&gt;R120,1,0))^2+(M120-IF(Q120=R120,1,0))^2+(N120-IF(Q120&lt;R120,1,0))^2)</f>
        <v/>
      </c>
      <c r="AA120" s="33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4" t="n">
        <v>0.9097</v>
      </c>
      <c r="AC120" s="30" t="inlineStr">
        <is>
          <t>NO</t>
        </is>
      </c>
    </row>
    <row r="121">
      <c r="A121" s="30" t="inlineStr">
        <is>
          <t>08/04/2026 14:00</t>
        </is>
      </c>
      <c r="B121" s="28" t="inlineStr">
        <is>
          <t>2026-04-08goztepegalatasaray</t>
        </is>
      </c>
      <c r="C121" s="28" t="inlineStr">
        <is>
          <t>Goztepe vs Galatasaray</t>
        </is>
      </c>
      <c r="D121" s="28" t="inlineStr">
        <is>
          <t>Goztepe</t>
        </is>
      </c>
      <c r="E121" s="28" t="inlineStr">
        <is>
          <t>Galatasaray</t>
        </is>
      </c>
      <c r="F121" s="29" t="n">
        <v>5.09</v>
      </c>
      <c r="G121" s="29" t="n">
        <v>4.04</v>
      </c>
      <c r="H121" s="29" t="n">
        <v>1.64</v>
      </c>
      <c r="I121" s="29" t="n"/>
      <c r="J121" s="29" t="n"/>
      <c r="K121" s="30" t="inlineStr">
        <is>
          <t>Turquia</t>
        </is>
      </c>
      <c r="L121" s="31" t="n">
        <v>0.3980929690869996</v>
      </c>
      <c r="M121" s="31" t="n">
        <v>0.2586017920120435</v>
      </c>
      <c r="N121" s="31" t="n">
        <v>0.3433052389009569</v>
      </c>
      <c r="O121" s="31" t="n">
        <v>0.5506715830807075</v>
      </c>
      <c r="P121" s="31" t="n">
        <v>0.4493284169192925</v>
      </c>
      <c r="Q121" s="35" t="n"/>
      <c r="R121" s="35" t="n"/>
      <c r="S121" s="28">
        <f>IF(OR(Q121="",R121=""),"[APOSTAR] LOCAL",IF(Q121&gt;R121,"[GANADA] LOCAL","[PERDIDA] LOCAL"))</f>
        <v/>
      </c>
      <c r="T121" s="28" t="inlineStr">
        <is>
          <t>[PASAR] Sin Cuotas</t>
        </is>
      </c>
      <c r="U121" s="32" t="n">
        <v>2500</v>
      </c>
      <c r="V121" s="32" t="n">
        <v>0</v>
      </c>
      <c r="W121" s="28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2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2">
        <f>Y120+X121</f>
        <v/>
      </c>
      <c r="Z121" s="33">
        <f>IF(OR(Q121="",R121=""),"",(L121-IF(Q121&gt;R121,1,0))^2+(M121-IF(Q121=R121,1,0))^2+(N121-IF(Q121&lt;R121,1,0))^2)</f>
        <v/>
      </c>
      <c r="AA121" s="33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4" t="n">
        <v>0.694</v>
      </c>
      <c r="AC121" s="30" t="inlineStr">
        <is>
          <t>NO</t>
        </is>
      </c>
    </row>
    <row r="122">
      <c r="A122" s="30" t="inlineStr">
        <is>
          <t>09/04/2026 14:00</t>
        </is>
      </c>
      <c r="B122" s="28" t="inlineStr">
        <is>
          <t>2026-04-09caykurrizesporsamsunspor</t>
        </is>
      </c>
      <c r="C122" s="28" t="inlineStr">
        <is>
          <t>Caykur Rizespor vs Samsunspor</t>
        </is>
      </c>
      <c r="D122" s="28" t="inlineStr">
        <is>
          <t>Caykur Rizespor</t>
        </is>
      </c>
      <c r="E122" s="28" t="inlineStr">
        <is>
          <t>Samsunspor</t>
        </is>
      </c>
      <c r="F122" s="29" t="n">
        <v>2.34</v>
      </c>
      <c r="G122" s="29" t="n">
        <v>3.53</v>
      </c>
      <c r="H122" s="29" t="n">
        <v>2.94</v>
      </c>
      <c r="I122" s="29" t="n">
        <v>1.93</v>
      </c>
      <c r="J122" s="29" t="n">
        <v>1.91</v>
      </c>
      <c r="K122" s="30" t="inlineStr">
        <is>
          <t>Turquia</t>
        </is>
      </c>
      <c r="L122" s="31" t="n">
        <v>0.4143338364837813</v>
      </c>
      <c r="M122" s="31" t="n">
        <v>0.2731865517515846</v>
      </c>
      <c r="N122" s="31" t="n">
        <v>0.3124796117646341</v>
      </c>
      <c r="O122" s="31" t="n">
        <v>0.4828233891977304</v>
      </c>
      <c r="P122" s="31" t="n">
        <v>0.5171766108022696</v>
      </c>
      <c r="Q122" s="35" t="n"/>
      <c r="R122" s="35" t="n"/>
      <c r="S122" s="28" t="inlineStr">
        <is>
          <t>[PASAR] Riesgo/Beneficio</t>
        </is>
      </c>
      <c r="T122" s="28" t="inlineStr">
        <is>
          <t>[PASAR] xG Margen Insuf (2.61, delta=0.11&lt;0.25)</t>
        </is>
      </c>
      <c r="U122" s="32" t="n">
        <v>0</v>
      </c>
      <c r="V122" s="32" t="n">
        <v>0</v>
      </c>
      <c r="W122" s="28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2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2">
        <f>Y121+X122</f>
        <v/>
      </c>
      <c r="Z122" s="33">
        <f>IF(OR(Q122="",R122=""),"",(L122-IF(Q122&gt;R122,1,0))^2+(M122-IF(Q122=R122,1,0))^2+(N122-IF(Q122&lt;R122,1,0))^2)</f>
        <v/>
      </c>
      <c r="AA122" s="33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4" t="n">
        <v>0.859</v>
      </c>
      <c r="AC122" s="30" t="inlineStr">
        <is>
          <t>NO</t>
        </is>
      </c>
    </row>
    <row r="123">
      <c r="A123" s="30" t="inlineStr">
        <is>
          <t>10/04/2026 14:00</t>
        </is>
      </c>
      <c r="B123" s="28" t="inlineStr">
        <is>
          <t>2026-04-10besiktasantalyaspor</t>
        </is>
      </c>
      <c r="C123" s="28" t="inlineStr">
        <is>
          <t>Besiktas vs Antalyaspor</t>
        </is>
      </c>
      <c r="D123" s="28" t="inlineStr">
        <is>
          <t>Besiktas</t>
        </is>
      </c>
      <c r="E123" s="28" t="inlineStr">
        <is>
          <t>Antalyaspor</t>
        </is>
      </c>
      <c r="F123" s="29" t="n"/>
      <c r="G123" s="29" t="n"/>
      <c r="H123" s="29" t="n"/>
      <c r="I123" s="29" t="n"/>
      <c r="J123" s="29" t="n"/>
      <c r="K123" s="30" t="inlineStr">
        <is>
          <t>Turquia</t>
        </is>
      </c>
      <c r="L123" s="31" t="n">
        <v>0.5489449484467983</v>
      </c>
      <c r="M123" s="31" t="n">
        <v>0.2470220433885786</v>
      </c>
      <c r="N123" s="31" t="n">
        <v>0.2040330081646231</v>
      </c>
      <c r="O123" s="31" t="n">
        <v>0.5066134159402413</v>
      </c>
      <c r="P123" s="31" t="n">
        <v>0.4933865840597587</v>
      </c>
      <c r="Q123" s="35" t="n"/>
      <c r="R123" s="35" t="n"/>
      <c r="S123" s="28" t="inlineStr">
        <is>
          <t>[PASAR] Sin Cuotas</t>
        </is>
      </c>
      <c r="T123" s="28" t="inlineStr">
        <is>
          <t>[PASAR] Sin Cuotas</t>
        </is>
      </c>
      <c r="U123" s="32" t="n">
        <v>0</v>
      </c>
      <c r="V123" s="32" t="n">
        <v>0</v>
      </c>
      <c r="W123" s="28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2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2">
        <f>Y122+X123</f>
        <v/>
      </c>
      <c r="Z123" s="33">
        <f>IF(OR(Q123="",R123=""),"",(L123-IF(Q123&gt;R123,1,0))^2+(M123-IF(Q123=R123,1,0))^2+(N123-IF(Q123&lt;R123,1,0))^2)</f>
        <v/>
      </c>
      <c r="AA123" s="33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4" t="n">
        <v>0.7877999999999999</v>
      </c>
      <c r="AC123" s="30" t="inlineStr">
        <is>
          <t>NO</t>
        </is>
      </c>
    </row>
    <row r="124">
      <c r="A124" s="30" t="inlineStr">
        <is>
          <t>10/04/2026 16:00</t>
        </is>
      </c>
      <c r="B124" s="28" t="inlineStr">
        <is>
          <t>2026-04-10westhamunitedwolverhamptonwanderers</t>
        </is>
      </c>
      <c r="C124" s="28" t="inlineStr">
        <is>
          <t>West Ham United vs Wolverhampton Wanderers</t>
        </is>
      </c>
      <c r="D124" s="28" t="inlineStr">
        <is>
          <t>West Ham United</t>
        </is>
      </c>
      <c r="E124" s="28" t="inlineStr">
        <is>
          <t>Wolverhampton Wanderers</t>
        </is>
      </c>
      <c r="F124" s="29" t="n">
        <v>1.79</v>
      </c>
      <c r="G124" s="29" t="n">
        <v>3.79</v>
      </c>
      <c r="H124" s="29" t="n">
        <v>4.35</v>
      </c>
      <c r="I124" s="29" t="n">
        <v>1.85</v>
      </c>
      <c r="J124" s="29" t="n">
        <v>2</v>
      </c>
      <c r="K124" s="30" t="inlineStr">
        <is>
          <t>Inglaterra</t>
        </is>
      </c>
      <c r="L124" s="31" t="n">
        <v>0.3737009984178919</v>
      </c>
      <c r="M124" s="31" t="n">
        <v>0.2814818986126902</v>
      </c>
      <c r="N124" s="31" t="n">
        <v>0.3448171029694178</v>
      </c>
      <c r="O124" s="31" t="n">
        <v>0.4534897658164934</v>
      </c>
      <c r="P124" s="31" t="n">
        <v>0.5465102341835065</v>
      </c>
      <c r="Q124" s="35" t="n"/>
      <c r="R124" s="35" t="n"/>
      <c r="S124" s="28" t="inlineStr">
        <is>
          <t>[PASAR] Margen Predictivo Insuficiente (&lt;5%)</t>
        </is>
      </c>
      <c r="T124" s="28" t="inlineStr">
        <is>
          <t>[PASAR] xG Margen Insuf (2.49, delta=0.01&lt;0.25)</t>
        </is>
      </c>
      <c r="U124" s="32" t="n">
        <v>0</v>
      </c>
      <c r="V124" s="32" t="n">
        <v>0</v>
      </c>
      <c r="W124" s="28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2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2">
        <f>Y123+X124</f>
        <v/>
      </c>
      <c r="Z124" s="33">
        <f>IF(OR(Q124="",R124=""),"",(L124-IF(Q124&gt;R124,1,0))^2+(M124-IF(Q124=R124,1,0))^2+(N124-IF(Q124&lt;R124,1,0))^2)</f>
        <v/>
      </c>
      <c r="AA124" s="33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4" t="n">
        <v>0.6097</v>
      </c>
      <c r="AC124" s="30" t="inlineStr">
        <is>
          <t>NO</t>
        </is>
      </c>
    </row>
    <row r="125">
      <c r="A125" s="30" t="inlineStr">
        <is>
          <t>10/04/2026 21:00</t>
        </is>
      </c>
      <c r="B125" s="28" t="inlineStr">
        <is>
          <t>2026-04-11belgranocordobaaldosivi</t>
        </is>
      </c>
      <c r="C125" s="28" t="inlineStr">
        <is>
          <t>Belgrano (cordoba) vs Aldosivi</t>
        </is>
      </c>
      <c r="D125" s="28" t="inlineStr">
        <is>
          <t>Belgrano (cordoba)</t>
        </is>
      </c>
      <c r="E125" s="28" t="inlineStr">
        <is>
          <t>Aldosivi</t>
        </is>
      </c>
      <c r="F125" s="29" t="n"/>
      <c r="G125" s="29" t="n"/>
      <c r="H125" s="29" t="n"/>
      <c r="I125" s="29" t="n"/>
      <c r="J125" s="29" t="n"/>
      <c r="K125" s="30" t="inlineStr">
        <is>
          <t>Argentina</t>
        </is>
      </c>
      <c r="L125" s="31" t="n">
        <v>0.4492776167937391</v>
      </c>
      <c r="M125" s="31" t="n">
        <v>0.2978974816425914</v>
      </c>
      <c r="N125" s="31" t="n">
        <v>0.2528249015636696</v>
      </c>
      <c r="O125" s="31" t="n">
        <v>0.377017356090305</v>
      </c>
      <c r="P125" s="31" t="n">
        <v>0.6229826439096949</v>
      </c>
      <c r="Q125" s="35" t="n"/>
      <c r="R125" s="35" t="n"/>
      <c r="S125" s="28" t="inlineStr">
        <is>
          <t>[PASAR] Sin Cuotas</t>
        </is>
      </c>
      <c r="T125" s="28" t="inlineStr">
        <is>
          <t>[PASAR] Sin Cuotas</t>
        </is>
      </c>
      <c r="U125" s="32" t="n">
        <v>0</v>
      </c>
      <c r="V125" s="32" t="n">
        <v>0</v>
      </c>
      <c r="W125" s="28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2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2">
        <f>Y124+X125</f>
        <v/>
      </c>
      <c r="Z125" s="33">
        <f>IF(OR(Q125="",R125=""),"",(L125-IF(Q125&gt;R125,1,0))^2+(M125-IF(Q125=R125,1,0))^2+(N125-IF(Q125&lt;R125,1,0))^2)</f>
        <v/>
      </c>
      <c r="AA125" s="33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4" t="n">
        <v>0.5797</v>
      </c>
      <c r="AC125" s="30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6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7" t="inlineStr">
        <is>
          <t>PARTIDO</t>
        </is>
      </c>
      <c r="D3" s="38" t="inlineStr">
        <is>
          <t>OPCION 1 (ACTIVA)</t>
        </is>
      </c>
      <c r="H3" s="39" t="inlineStr">
        <is>
          <t>OPCION 4 (SHADOW)</t>
        </is>
      </c>
      <c r="L3" s="40" t="inlineStr">
        <is>
          <t>DIFERENCIA</t>
        </is>
      </c>
    </row>
    <row r="4" ht="18" customHeight="1">
      <c r="A4" s="37" t="inlineStr">
        <is>
          <t>Fecha</t>
        </is>
      </c>
      <c r="B4" s="37" t="inlineStr">
        <is>
          <t>Partido</t>
        </is>
      </c>
      <c r="C4" s="37" t="inlineStr">
        <is>
          <t>Liga</t>
        </is>
      </c>
      <c r="D4" s="38" t="inlineStr">
        <is>
          <t>Apuesta Op1</t>
        </is>
      </c>
      <c r="E4" s="38" t="inlineStr">
        <is>
          <t>Stake Op1</t>
        </is>
      </c>
      <c r="F4" s="38" t="inlineStr">
        <is>
          <t>Resultado Op1</t>
        </is>
      </c>
      <c r="G4" s="38" t="inlineStr">
        <is>
          <t>P/L Op1</t>
        </is>
      </c>
      <c r="H4" s="39" t="inlineStr">
        <is>
          <t>Apuesta Op4</t>
        </is>
      </c>
      <c r="I4" s="39" t="inlineStr">
        <is>
          <t>Stake Op4</t>
        </is>
      </c>
      <c r="J4" s="39" t="inlineStr">
        <is>
          <t>Resultado Op4</t>
        </is>
      </c>
      <c r="K4" s="39" t="inlineStr">
        <is>
          <t>P/L Op4</t>
        </is>
      </c>
      <c r="L4" s="40" t="inlineStr">
        <is>
          <t>Dif P/L</t>
        </is>
      </c>
      <c r="M4" s="40" t="inlineStr">
        <is>
          <t>Op1 Win</t>
        </is>
      </c>
      <c r="N4" s="40" t="inlineStr">
        <is>
          <t>Op4 Win</t>
        </is>
      </c>
    </row>
    <row r="5" ht="16" customHeight="1">
      <c r="A5" s="41" t="inlineStr">
        <is>
          <t>16/03/2026</t>
        </is>
      </c>
      <c r="B5" s="42" t="inlineStr">
        <is>
          <t>San Lorenzo vs Defensa y Justicia</t>
        </is>
      </c>
      <c r="C5" s="41" t="inlineStr">
        <is>
          <t>Argentina</t>
        </is>
      </c>
      <c r="D5" s="42" t="inlineStr">
        <is>
          <t>[APOSTAR] VISITA</t>
        </is>
      </c>
      <c r="E5" s="43" t="n">
        <v>2500</v>
      </c>
      <c r="F5" s="44" t="inlineStr">
        <is>
          <t>GANADA</t>
        </is>
      </c>
      <c r="G5" s="45" t="n">
        <v>6750</v>
      </c>
      <c r="H5" s="42" t="inlineStr">
        <is>
          <t>[APOSTAR] VISITA</t>
        </is>
      </c>
      <c r="I5" s="43" t="n">
        <v>2500</v>
      </c>
      <c r="J5" s="44" t="inlineStr">
        <is>
          <t>GANADA</t>
        </is>
      </c>
      <c r="K5" s="45" t="n">
        <v>6750</v>
      </c>
      <c r="L5" s="46" t="n">
        <v>0</v>
      </c>
      <c r="M5" s="44" t="inlineStr">
        <is>
          <t>SI</t>
        </is>
      </c>
      <c r="N5" s="44" t="inlineStr">
        <is>
          <t>SI</t>
        </is>
      </c>
    </row>
    <row r="6" ht="16" customHeight="1">
      <c r="A6" s="47" t="inlineStr">
        <is>
          <t>17/03/2026</t>
        </is>
      </c>
      <c r="B6" s="48" t="inlineStr">
        <is>
          <t>Central Córdoba (santiago del Estero) vs Deportivo Riestra</t>
        </is>
      </c>
      <c r="C6" s="47" t="inlineStr">
        <is>
          <t>Argentina</t>
        </is>
      </c>
      <c r="D6" s="48" t="inlineStr">
        <is>
          <t>[APOSTAR] LOCAL</t>
        </is>
      </c>
      <c r="E6" s="49" t="n">
        <v>2500</v>
      </c>
      <c r="F6" s="44" t="inlineStr">
        <is>
          <t>GANADA</t>
        </is>
      </c>
      <c r="G6" s="45" t="n">
        <v>4750</v>
      </c>
      <c r="H6" s="48" t="inlineStr">
        <is>
          <t>[APOSTAR] LOCAL</t>
        </is>
      </c>
      <c r="I6" s="49" t="n">
        <v>2500</v>
      </c>
      <c r="J6" s="44" t="inlineStr">
        <is>
          <t>GANADA</t>
        </is>
      </c>
      <c r="K6" s="45" t="n">
        <v>4750</v>
      </c>
      <c r="L6" s="46" t="n">
        <v>0</v>
      </c>
      <c r="M6" s="44" t="inlineStr">
        <is>
          <t>SI</t>
        </is>
      </c>
      <c r="N6" s="44" t="inlineStr">
        <is>
          <t>SI</t>
        </is>
      </c>
    </row>
    <row r="7" ht="16" customHeight="1">
      <c r="A7" s="41" t="inlineStr">
        <is>
          <t>18/03/2026</t>
        </is>
      </c>
      <c r="B7" s="42" t="inlineStr">
        <is>
          <t>Goztepe vs Galatasaray</t>
        </is>
      </c>
      <c r="C7" s="41" t="inlineStr">
        <is>
          <t>Turquia</t>
        </is>
      </c>
      <c r="D7" s="42" t="inlineStr">
        <is>
          <t>[APOSTAR] LOCAL</t>
        </is>
      </c>
      <c r="E7" s="43" t="n">
        <v>2500</v>
      </c>
      <c r="F7" s="50" t="inlineStr">
        <is>
          <t>PENDIENTE</t>
        </is>
      </c>
      <c r="G7" s="49" t="n"/>
      <c r="H7" s="42" t="inlineStr">
        <is>
          <t>[APOSTAR] LOCAL</t>
        </is>
      </c>
      <c r="I7" s="43" t="n">
        <v>2500</v>
      </c>
      <c r="J7" s="50" t="inlineStr">
        <is>
          <t>PENDIENTE</t>
        </is>
      </c>
      <c r="K7" s="49" t="n"/>
      <c r="L7" s="49" t="n"/>
      <c r="M7" s="41" t="inlineStr">
        <is>
          <t>-</t>
        </is>
      </c>
      <c r="N7" s="41" t="inlineStr">
        <is>
          <t>-</t>
        </is>
      </c>
    </row>
    <row r="8" ht="16" customHeight="1">
      <c r="A8" s="47" t="inlineStr">
        <is>
          <t>20/03/2026</t>
        </is>
      </c>
      <c r="B8" s="48" t="inlineStr">
        <is>
          <t>AFC Bournemouth vs Manchester United</t>
        </is>
      </c>
      <c r="C8" s="47" t="inlineStr">
        <is>
          <t>Inglaterra</t>
        </is>
      </c>
      <c r="D8" s="48" t="inlineStr">
        <is>
          <t>[APOSTAR] LOCAL</t>
        </is>
      </c>
      <c r="E8" s="49" t="n">
        <v>2500</v>
      </c>
      <c r="F8" s="51" t="inlineStr">
        <is>
          <t>PERDIDA</t>
        </is>
      </c>
      <c r="G8" s="52" t="n">
        <v>-2500</v>
      </c>
      <c r="H8" s="48" t="inlineStr">
        <is>
          <t>[APOSTAR] LOCAL</t>
        </is>
      </c>
      <c r="I8" s="49" t="n">
        <v>2500</v>
      </c>
      <c r="J8" s="51" t="inlineStr">
        <is>
          <t>PERDIDA</t>
        </is>
      </c>
      <c r="K8" s="52" t="n">
        <v>-2500</v>
      </c>
      <c r="L8" s="46" t="n">
        <v>0</v>
      </c>
      <c r="M8" s="51" t="inlineStr">
        <is>
          <t>NO</t>
        </is>
      </c>
      <c r="N8" s="51" t="inlineStr">
        <is>
          <t>NO</t>
        </is>
      </c>
    </row>
    <row r="9" ht="16" customHeight="1">
      <c r="A9" s="41" t="inlineStr">
        <is>
          <t>21/03/2026</t>
        </is>
      </c>
      <c r="B9" s="42" t="inlineStr">
        <is>
          <t>Banfield vs Tigre</t>
        </is>
      </c>
      <c r="C9" s="41" t="inlineStr">
        <is>
          <t>Argentina</t>
        </is>
      </c>
      <c r="D9" s="42" t="inlineStr">
        <is>
          <t>[APOSTAR] LOCAL</t>
        </is>
      </c>
      <c r="E9" s="43" t="n">
        <v>1443.38</v>
      </c>
      <c r="F9" s="44" t="inlineStr">
        <is>
          <t>GANADA</t>
        </is>
      </c>
      <c r="G9" s="45" t="n">
        <v>2886.76</v>
      </c>
      <c r="H9" s="42" t="inlineStr">
        <is>
          <t>[APOSTAR] LOCAL</t>
        </is>
      </c>
      <c r="I9" s="43" t="n">
        <v>2500</v>
      </c>
      <c r="J9" s="44" t="inlineStr">
        <is>
          <t>GANADA</t>
        </is>
      </c>
      <c r="K9" s="45" t="n">
        <v>5000</v>
      </c>
      <c r="L9" s="52" t="n">
        <v>-2113.24</v>
      </c>
      <c r="M9" s="44" t="inlineStr">
        <is>
          <t>SI</t>
        </is>
      </c>
      <c r="N9" s="44" t="inlineStr">
        <is>
          <t>SI</t>
        </is>
      </c>
    </row>
    <row r="10" ht="16" customHeight="1">
      <c r="A10" s="47" t="inlineStr">
        <is>
          <t>21/03/2026</t>
        </is>
      </c>
      <c r="B10" s="48" t="inlineStr">
        <is>
          <t>Brighton &amp; Hove Albion vs Liverpool</t>
        </is>
      </c>
      <c r="C10" s="47" t="inlineStr">
        <is>
          <t>Inglaterra</t>
        </is>
      </c>
      <c r="D10" s="48" t="inlineStr">
        <is>
          <t>[APOSTAR] LOCAL</t>
        </is>
      </c>
      <c r="E10" s="49" t="n">
        <v>2500</v>
      </c>
      <c r="F10" s="44" t="inlineStr">
        <is>
          <t>GANADA</t>
        </is>
      </c>
      <c r="G10" s="45" t="n">
        <v>5625</v>
      </c>
      <c r="H10" s="48" t="inlineStr">
        <is>
          <t>[APOSTAR] LOCAL</t>
        </is>
      </c>
      <c r="I10" s="49" t="n">
        <v>2500</v>
      </c>
      <c r="J10" s="44" t="inlineStr">
        <is>
          <t>GANADA</t>
        </is>
      </c>
      <c r="K10" s="45" t="n">
        <v>5625</v>
      </c>
      <c r="L10" s="46" t="n">
        <v>0</v>
      </c>
      <c r="M10" s="44" t="inlineStr">
        <is>
          <t>SI</t>
        </is>
      </c>
      <c r="N10" s="44" t="inlineStr">
        <is>
          <t>SI</t>
        </is>
      </c>
    </row>
    <row r="11" ht="16" customHeight="1">
      <c r="A11" s="41" t="inlineStr">
        <is>
          <t>21/03/2026</t>
        </is>
      </c>
      <c r="B11" s="42" t="inlineStr">
        <is>
          <t>Defensa y Justicia vs Unión (santa Fe)</t>
        </is>
      </c>
      <c r="C11" s="41" t="inlineStr">
        <is>
          <t>Argentina</t>
        </is>
      </c>
      <c r="D11" s="42" t="inlineStr">
        <is>
          <t>[APOSTAR] LOCAL</t>
        </is>
      </c>
      <c r="E11" s="43" t="n">
        <v>1443.38</v>
      </c>
      <c r="F11" s="44" t="inlineStr">
        <is>
          <t>GANADA</t>
        </is>
      </c>
      <c r="G11" s="45" t="n">
        <v>2742.42</v>
      </c>
      <c r="H11" s="42" t="inlineStr">
        <is>
          <t>[APOSTAR] LOCAL</t>
        </is>
      </c>
      <c r="I11" s="43" t="n">
        <v>2500</v>
      </c>
      <c r="J11" s="44" t="inlineStr">
        <is>
          <t>GANADA</t>
        </is>
      </c>
      <c r="K11" s="45" t="n">
        <v>4750</v>
      </c>
      <c r="L11" s="52" t="n">
        <v>-2007.58</v>
      </c>
      <c r="M11" s="44" t="inlineStr">
        <is>
          <t>SI</t>
        </is>
      </c>
      <c r="N11" s="44" t="inlineStr">
        <is>
          <t>SI</t>
        </is>
      </c>
    </row>
    <row r="12" ht="16" customHeight="1">
      <c r="A12" s="47" t="inlineStr">
        <is>
          <t>21/03/2026</t>
        </is>
      </c>
      <c r="B12" s="48" t="inlineStr">
        <is>
          <t>Newell's Old Boys vs Gimnasia (mendoza)</t>
        </is>
      </c>
      <c r="C12" s="47" t="inlineStr">
        <is>
          <t>Argentina</t>
        </is>
      </c>
      <c r="D12" s="48" t="inlineStr">
        <is>
          <t>[APOSTAR] VISITA</t>
        </is>
      </c>
      <c r="E12" s="49" t="n">
        <v>1443.38</v>
      </c>
      <c r="F12" s="51" t="inlineStr">
        <is>
          <t>PERDIDA</t>
        </is>
      </c>
      <c r="G12" s="52" t="n">
        <v>-1443.38</v>
      </c>
      <c r="H12" s="48" t="inlineStr">
        <is>
          <t>[APOSTAR] VISITA</t>
        </is>
      </c>
      <c r="I12" s="49" t="n">
        <v>2500</v>
      </c>
      <c r="J12" s="51" t="inlineStr">
        <is>
          <t>PERDIDA</t>
        </is>
      </c>
      <c r="K12" s="52" t="n">
        <v>-2500</v>
      </c>
      <c r="L12" s="45" t="n">
        <v>1056.62</v>
      </c>
      <c r="M12" s="51" t="inlineStr">
        <is>
          <t>NO</t>
        </is>
      </c>
      <c r="N12" s="51" t="inlineStr">
        <is>
          <t>NO</t>
        </is>
      </c>
    </row>
    <row r="13" ht="16" customHeight="1">
      <c r="A13" s="41" t="inlineStr">
        <is>
          <t>21/03/2026</t>
        </is>
      </c>
      <c r="B13" s="42" t="inlineStr">
        <is>
          <t>Red Bull Bragantino vs Botafogo</t>
        </is>
      </c>
      <c r="C13" s="41" t="inlineStr">
        <is>
          <t>Brasil</t>
        </is>
      </c>
      <c r="D13" s="42" t="inlineStr">
        <is>
          <t>[APOSTAR] VISITA</t>
        </is>
      </c>
      <c r="E13" s="43" t="n">
        <v>2500</v>
      </c>
      <c r="F13" s="44" t="inlineStr">
        <is>
          <t>GANADA</t>
        </is>
      </c>
      <c r="G13" s="45" t="n">
        <v>6975</v>
      </c>
      <c r="H13" s="42" t="inlineStr">
        <is>
          <t>[APOSTAR] VISITA</t>
        </is>
      </c>
      <c r="I13" s="43" t="n">
        <v>2500</v>
      </c>
      <c r="J13" s="44" t="inlineStr">
        <is>
          <t>GANADA</t>
        </is>
      </c>
      <c r="K13" s="45" t="n">
        <v>6975</v>
      </c>
      <c r="L13" s="46" t="n">
        <v>0</v>
      </c>
      <c r="M13" s="44" t="inlineStr">
        <is>
          <t>SI</t>
        </is>
      </c>
      <c r="N13" s="44" t="inlineStr">
        <is>
          <t>SI</t>
        </is>
      </c>
    </row>
    <row r="14" ht="16" customHeight="1">
      <c r="A14" s="47" t="inlineStr">
        <is>
          <t>21/03/2026</t>
        </is>
      </c>
      <c r="B14" s="48" t="inlineStr">
        <is>
          <t>Viking fk vs Molde</t>
        </is>
      </c>
      <c r="C14" s="47" t="inlineStr">
        <is>
          <t>Noruega</t>
        </is>
      </c>
      <c r="D14" s="48" t="inlineStr">
        <is>
          <t>[APOSTAR] LOCAL</t>
        </is>
      </c>
      <c r="E14" s="49" t="n">
        <v>2500</v>
      </c>
      <c r="F14" s="44" t="inlineStr">
        <is>
          <t>GANADA</t>
        </is>
      </c>
      <c r="G14" s="45" t="n">
        <v>2250</v>
      </c>
      <c r="H14" s="48" t="inlineStr">
        <is>
          <t>[APOSTAR] LOCAL</t>
        </is>
      </c>
      <c r="I14" s="49" t="n">
        <v>2500</v>
      </c>
      <c r="J14" s="44" t="inlineStr">
        <is>
          <t>GANADA</t>
        </is>
      </c>
      <c r="K14" s="45" t="n">
        <v>2250</v>
      </c>
      <c r="L14" s="46" t="n">
        <v>0</v>
      </c>
      <c r="M14" s="44" t="inlineStr">
        <is>
          <t>SI</t>
        </is>
      </c>
      <c r="N14" s="44" t="inlineStr">
        <is>
          <t>SI</t>
        </is>
      </c>
    </row>
    <row r="15" ht="16" customHeight="1">
      <c r="A15" s="41" t="inlineStr">
        <is>
          <t>22/03/2026</t>
        </is>
      </c>
      <c r="B15" s="42" t="inlineStr">
        <is>
          <t>Aston Villa vs West Ham United</t>
        </is>
      </c>
      <c r="C15" s="41" t="inlineStr">
        <is>
          <t>Inglaterra</t>
        </is>
      </c>
      <c r="D15" s="42" t="inlineStr">
        <is>
          <t>[PASAR] Floor Prob (25%&lt;33%)</t>
        </is>
      </c>
      <c r="E15" s="43" t="inlineStr">
        <is>
          <t>-</t>
        </is>
      </c>
      <c r="F15" s="47" t="inlineStr">
        <is>
          <t>-</t>
        </is>
      </c>
      <c r="G15" s="49" t="n"/>
      <c r="H15" s="42" t="inlineStr">
        <is>
          <t>[APOSTAR] LOCAL</t>
        </is>
      </c>
      <c r="I15" s="43" t="n">
        <v>261.9</v>
      </c>
      <c r="J15" s="44" t="inlineStr">
        <is>
          <t>GANADA</t>
        </is>
      </c>
      <c r="K15" s="45" t="n">
        <v>272.38</v>
      </c>
      <c r="L15" s="49" t="n"/>
      <c r="M15" s="41" t="inlineStr">
        <is>
          <t>-</t>
        </is>
      </c>
      <c r="N15" s="44" t="inlineStr">
        <is>
          <t>SI</t>
        </is>
      </c>
    </row>
    <row r="16" ht="16" customHeight="1">
      <c r="A16" s="47" t="inlineStr">
        <is>
          <t>22/03/2026</t>
        </is>
      </c>
      <c r="B16" s="48" t="inlineStr">
        <is>
          <t>Corinthians vs Flamengo</t>
        </is>
      </c>
      <c r="C16" s="47" t="inlineStr">
        <is>
          <t>Brasil</t>
        </is>
      </c>
      <c r="D16" s="48" t="inlineStr">
        <is>
          <t>[APOSTAR] LOCAL</t>
        </is>
      </c>
      <c r="E16" s="49" t="n">
        <v>1250</v>
      </c>
      <c r="F16" s="51" t="inlineStr">
        <is>
          <t>PERDIDA</t>
        </is>
      </c>
      <c r="G16" s="52" t="n">
        <v>-1250</v>
      </c>
      <c r="H16" s="48" t="inlineStr">
        <is>
          <t>[APOSTAR] LOCAL</t>
        </is>
      </c>
      <c r="I16" s="49" t="n">
        <v>2500</v>
      </c>
      <c r="J16" s="51" t="inlineStr">
        <is>
          <t>PERDIDA</t>
        </is>
      </c>
      <c r="K16" s="52" t="n">
        <v>-2500</v>
      </c>
      <c r="L16" s="45" t="n">
        <v>1250</v>
      </c>
      <c r="M16" s="51" t="inlineStr">
        <is>
          <t>NO</t>
        </is>
      </c>
      <c r="N16" s="51" t="inlineStr">
        <is>
          <t>NO</t>
        </is>
      </c>
    </row>
    <row r="17" ht="16" customHeight="1">
      <c r="A17" s="41" t="inlineStr">
        <is>
          <t>22/03/2026</t>
        </is>
      </c>
      <c r="B17" s="42" t="inlineStr">
        <is>
          <t>Remo vs Bahia</t>
        </is>
      </c>
      <c r="C17" s="41" t="inlineStr">
        <is>
          <t>Brasil</t>
        </is>
      </c>
      <c r="D17" s="42" t="inlineStr">
        <is>
          <t>[APOSTAR] LOCAL</t>
        </is>
      </c>
      <c r="E17" s="43" t="n">
        <v>1250</v>
      </c>
      <c r="F17" s="44" t="inlineStr">
        <is>
          <t>GANADA</t>
        </is>
      </c>
      <c r="G17" s="45" t="n">
        <v>3362.5</v>
      </c>
      <c r="H17" s="42" t="inlineStr">
        <is>
          <t>[APOSTAR] LOCAL</t>
        </is>
      </c>
      <c r="I17" s="43" t="n">
        <v>2500</v>
      </c>
      <c r="J17" s="44" t="inlineStr">
        <is>
          <t>GANADA</t>
        </is>
      </c>
      <c r="K17" s="45" t="n">
        <v>6725</v>
      </c>
      <c r="L17" s="52" t="n">
        <v>-3362.5</v>
      </c>
      <c r="M17" s="44" t="inlineStr">
        <is>
          <t>SI</t>
        </is>
      </c>
      <c r="N17" s="44" t="inlineStr">
        <is>
          <t>SI</t>
        </is>
      </c>
    </row>
    <row r="18" ht="16" customHeight="1">
      <c r="A18" s="47" t="inlineStr">
        <is>
          <t>22/03/2026</t>
        </is>
      </c>
      <c r="B18" s="48" t="inlineStr">
        <is>
          <t>Rosenborg vs Valerenga</t>
        </is>
      </c>
      <c r="C18" s="47" t="inlineStr">
        <is>
          <t>Noruega</t>
        </is>
      </c>
      <c r="D18" s="48" t="inlineStr">
        <is>
          <t>[APOSTAR] LOCAL</t>
        </is>
      </c>
      <c r="E18" s="49" t="n">
        <v>1767.77</v>
      </c>
      <c r="F18" s="51" t="inlineStr">
        <is>
          <t>PERDIDA</t>
        </is>
      </c>
      <c r="G18" s="52" t="n">
        <v>-1767.77</v>
      </c>
      <c r="H18" s="48" t="inlineStr">
        <is>
          <t>[APOSTAR] LOCAL</t>
        </is>
      </c>
      <c r="I18" s="49" t="n">
        <v>2500</v>
      </c>
      <c r="J18" s="51" t="inlineStr">
        <is>
          <t>PERDIDA</t>
        </is>
      </c>
      <c r="K18" s="52" t="n">
        <v>-2500</v>
      </c>
      <c r="L18" s="45" t="n">
        <v>732.23</v>
      </c>
      <c r="M18" s="51" t="inlineStr">
        <is>
          <t>NO</t>
        </is>
      </c>
      <c r="N18" s="51" t="inlineStr">
        <is>
          <t>NO</t>
        </is>
      </c>
    </row>
    <row r="19" ht="16" customHeight="1">
      <c r="A19" s="41" t="inlineStr">
        <is>
          <t>22/03/2026</t>
        </is>
      </c>
      <c r="B19" s="42" t="inlineStr">
        <is>
          <t>Sandefjord vs Sarpsborg fk</t>
        </is>
      </c>
      <c r="C19" s="41" t="inlineStr">
        <is>
          <t>Noruega</t>
        </is>
      </c>
      <c r="D19" s="42" t="inlineStr">
        <is>
          <t>[PASAR] EV Insuf (0.098&lt;0.120)</t>
        </is>
      </c>
      <c r="E19" s="43" t="inlineStr">
        <is>
          <t>-</t>
        </is>
      </c>
      <c r="F19" s="47" t="inlineStr">
        <is>
          <t>-</t>
        </is>
      </c>
      <c r="G19" s="49" t="n"/>
      <c r="H19" s="42" t="inlineStr">
        <is>
          <t>[APOSTAR] VISITA</t>
        </is>
      </c>
      <c r="I19" s="43" t="n">
        <v>2289.23</v>
      </c>
      <c r="J19" s="44" t="inlineStr">
        <is>
          <t>GANADA</t>
        </is>
      </c>
      <c r="K19" s="45" t="n">
        <v>4921.84</v>
      </c>
      <c r="L19" s="49" t="n"/>
      <c r="M19" s="41" t="inlineStr">
        <is>
          <t>-</t>
        </is>
      </c>
      <c r="N19" s="44" t="inlineStr">
        <is>
          <t>SI</t>
        </is>
      </c>
    </row>
    <row r="20" ht="16" customHeight="1">
      <c r="A20" s="47" t="inlineStr">
        <is>
          <t>22/03/2026</t>
        </is>
      </c>
      <c r="B20" s="48" t="inlineStr">
        <is>
          <t>Sarmiento (junín) vs Aldosivi</t>
        </is>
      </c>
      <c r="C20" s="47" t="inlineStr">
        <is>
          <t>Argentina</t>
        </is>
      </c>
      <c r="D20" s="48" t="inlineStr">
        <is>
          <t>[PASAR] EV Insuf (0.034&lt;0.080)</t>
        </is>
      </c>
      <c r="E20" s="49" t="inlineStr">
        <is>
          <t>-</t>
        </is>
      </c>
      <c r="F20" s="47" t="inlineStr">
        <is>
          <t>-</t>
        </is>
      </c>
      <c r="G20" s="49" t="n"/>
      <c r="H20" s="48" t="inlineStr">
        <is>
          <t>[APOSTAR] LOCAL</t>
        </is>
      </c>
      <c r="I20" s="49" t="n">
        <v>1346.54</v>
      </c>
      <c r="J20" s="44" t="inlineStr">
        <is>
          <t>GANADA</t>
        </is>
      </c>
      <c r="K20" s="45" t="n">
        <v>1696.64</v>
      </c>
      <c r="L20" s="49" t="n"/>
      <c r="M20" s="47" t="inlineStr">
        <is>
          <t>-</t>
        </is>
      </c>
      <c r="N20" s="44" t="inlineStr">
        <is>
          <t>SI</t>
        </is>
      </c>
    </row>
    <row r="21" ht="16" customHeight="1">
      <c r="A21" s="41" t="inlineStr">
        <is>
          <t>22/03/2026</t>
        </is>
      </c>
      <c r="B21" s="42" t="inlineStr">
        <is>
          <t>Sk Brann vs Tromso</t>
        </is>
      </c>
      <c r="C21" s="41" t="inlineStr">
        <is>
          <t>Noruega</t>
        </is>
      </c>
      <c r="D21" s="42" t="inlineStr">
        <is>
          <t>[APOSTAR] VISITA</t>
        </is>
      </c>
      <c r="E21" s="43" t="n">
        <v>1767.77</v>
      </c>
      <c r="F21" s="44" t="inlineStr">
        <is>
          <t>GANADA</t>
        </is>
      </c>
      <c r="G21" s="45" t="n">
        <v>4242.65</v>
      </c>
      <c r="H21" s="42" t="inlineStr">
        <is>
          <t>[APOSTAR] VISITA</t>
        </is>
      </c>
      <c r="I21" s="43" t="n">
        <v>2500</v>
      </c>
      <c r="J21" s="44" t="inlineStr">
        <is>
          <t>GANADA</t>
        </is>
      </c>
      <c r="K21" s="45" t="n">
        <v>6000</v>
      </c>
      <c r="L21" s="52" t="n">
        <v>-1757.35</v>
      </c>
      <c r="M21" s="44" t="inlineStr">
        <is>
          <t>SI</t>
        </is>
      </c>
      <c r="N21" s="44" t="inlineStr">
        <is>
          <t>SI</t>
        </is>
      </c>
    </row>
    <row r="22" ht="16" customHeight="1">
      <c r="A22" s="47" t="inlineStr">
        <is>
          <t>22/03/2026</t>
        </is>
      </c>
      <c r="B22" s="48" t="inlineStr">
        <is>
          <t>Tottenham Hotspur vs Nottingham Forest</t>
        </is>
      </c>
      <c r="C22" s="47" t="inlineStr">
        <is>
          <t>Inglaterra</t>
        </is>
      </c>
      <c r="D22" s="48" t="inlineStr">
        <is>
          <t>[APOSTAR] VISITA</t>
        </is>
      </c>
      <c r="E22" s="49" t="n">
        <v>1767.77</v>
      </c>
      <c r="F22" s="44" t="inlineStr">
        <is>
          <t>GANADA</t>
        </is>
      </c>
      <c r="G22" s="45" t="n">
        <v>4242.65</v>
      </c>
      <c r="H22" s="48" t="inlineStr">
        <is>
          <t>[APOSTAR] VISITA</t>
        </is>
      </c>
      <c r="I22" s="49" t="n">
        <v>2500</v>
      </c>
      <c r="J22" s="44" t="inlineStr">
        <is>
          <t>GANADA</t>
        </is>
      </c>
      <c r="K22" s="45" t="n">
        <v>6000</v>
      </c>
      <c r="L22" s="52" t="n">
        <v>-1757.35</v>
      </c>
      <c r="M22" s="44" t="inlineStr">
        <is>
          <t>SI</t>
        </is>
      </c>
      <c r="N22" s="44" t="inlineStr">
        <is>
          <t>SI</t>
        </is>
      </c>
    </row>
    <row r="23" ht="16" customHeight="1">
      <c r="A23" s="41" t="inlineStr">
        <is>
          <t>22/03/2026</t>
        </is>
      </c>
      <c r="B23" s="42" t="inlineStr">
        <is>
          <t>Vasco da Gama vs Grêmio</t>
        </is>
      </c>
      <c r="C23" s="41" t="inlineStr">
        <is>
          <t>Brasil</t>
        </is>
      </c>
      <c r="D23" s="42" t="inlineStr">
        <is>
          <t>[APOSTAR] VISITA</t>
        </is>
      </c>
      <c r="E23" s="43" t="n">
        <v>1250</v>
      </c>
      <c r="F23" s="51" t="inlineStr">
        <is>
          <t>PERDIDA</t>
        </is>
      </c>
      <c r="G23" s="52" t="n">
        <v>-1250</v>
      </c>
      <c r="H23" s="42" t="inlineStr">
        <is>
          <t>[APOSTAR] VISITA</t>
        </is>
      </c>
      <c r="I23" s="43" t="n">
        <v>2500</v>
      </c>
      <c r="J23" s="51" t="inlineStr">
        <is>
          <t>PERDIDA</t>
        </is>
      </c>
      <c r="K23" s="52" t="n">
        <v>-2500</v>
      </c>
      <c r="L23" s="45" t="n">
        <v>1250</v>
      </c>
      <c r="M23" s="51" t="inlineStr">
        <is>
          <t>NO</t>
        </is>
      </c>
      <c r="N23" s="51" t="inlineStr">
        <is>
          <t>NO</t>
        </is>
      </c>
    </row>
    <row r="24" ht="16" customHeight="1">
      <c r="A24" s="47" t="inlineStr">
        <is>
          <t>22/03/2026</t>
        </is>
      </c>
      <c r="B24" s="48" t="inlineStr">
        <is>
          <t>Vitória vs Mirassol</t>
        </is>
      </c>
      <c r="C24" s="47" t="inlineStr">
        <is>
          <t>Brasil</t>
        </is>
      </c>
      <c r="D24" s="48" t="inlineStr">
        <is>
          <t>[APOSTAR] LOCAL</t>
        </is>
      </c>
      <c r="E24" s="49" t="n">
        <v>1250</v>
      </c>
      <c r="F24" s="44" t="inlineStr">
        <is>
          <t>GANADA</t>
        </is>
      </c>
      <c r="G24" s="45" t="n">
        <v>1937.5</v>
      </c>
      <c r="H24" s="48" t="inlineStr">
        <is>
          <t>[APOSTAR] LOCAL</t>
        </is>
      </c>
      <c r="I24" s="49" t="n">
        <v>2500</v>
      </c>
      <c r="J24" s="44" t="inlineStr">
        <is>
          <t>GANADA</t>
        </is>
      </c>
      <c r="K24" s="45" t="n">
        <v>3875</v>
      </c>
      <c r="L24" s="52" t="n">
        <v>-1937.5</v>
      </c>
      <c r="M24" s="44" t="inlineStr">
        <is>
          <t>SI</t>
        </is>
      </c>
      <c r="N24" s="44" t="inlineStr">
        <is>
          <t>SI</t>
        </is>
      </c>
    </row>
    <row r="25" ht="16" customHeight="1">
      <c r="A25" s="41" t="inlineStr">
        <is>
          <t>01/04/2026</t>
        </is>
      </c>
      <c r="B25" s="42" t="inlineStr">
        <is>
          <t>Bahia vs Athletico Paranaense</t>
        </is>
      </c>
      <c r="C25" s="41" t="inlineStr">
        <is>
          <t>Brasil</t>
        </is>
      </c>
      <c r="D25" s="42" t="inlineStr">
        <is>
          <t>[GANADA] LOCAL</t>
        </is>
      </c>
      <c r="E25" s="43" t="inlineStr">
        <is>
          <t>-</t>
        </is>
      </c>
      <c r="F25" s="47" t="inlineStr">
        <is>
          <t>-</t>
        </is>
      </c>
      <c r="G25" s="49" t="n"/>
      <c r="H25" s="42" t="inlineStr">
        <is>
          <t>[APOSTAR] LOCAL</t>
        </is>
      </c>
      <c r="I25" s="43" t="n">
        <v>2500</v>
      </c>
      <c r="J25" s="44" t="inlineStr">
        <is>
          <t>GANADA</t>
        </is>
      </c>
      <c r="K25" s="45" t="n">
        <v>8900</v>
      </c>
      <c r="L25" s="49" t="n"/>
      <c r="M25" s="41" t="inlineStr">
        <is>
          <t>-</t>
        </is>
      </c>
      <c r="N25" s="44" t="inlineStr">
        <is>
          <t>SI</t>
        </is>
      </c>
    </row>
    <row r="26" ht="16" customHeight="1">
      <c r="A26" s="47" t="inlineStr">
        <is>
          <t>01/04/2026</t>
        </is>
      </c>
      <c r="B26" s="48" t="inlineStr">
        <is>
          <t>Botafogo vs Mirassol</t>
        </is>
      </c>
      <c r="C26" s="47" t="inlineStr">
        <is>
          <t>Brasil</t>
        </is>
      </c>
      <c r="D26" s="48" t="inlineStr">
        <is>
          <t>[GANADA] LOCAL</t>
        </is>
      </c>
      <c r="E26" s="49" t="inlineStr">
        <is>
          <t>-</t>
        </is>
      </c>
      <c r="F26" s="47" t="inlineStr">
        <is>
          <t>-</t>
        </is>
      </c>
      <c r="G26" s="49" t="n"/>
      <c r="H26" s="48" t="inlineStr">
        <is>
          <t>[APOSTAR] LOCAL</t>
        </is>
      </c>
      <c r="I26" s="49" t="n">
        <v>2500</v>
      </c>
      <c r="J26" s="44" t="inlineStr">
        <is>
          <t>GANADA</t>
        </is>
      </c>
      <c r="K26" s="45" t="n">
        <v>3775</v>
      </c>
      <c r="L26" s="49" t="n"/>
      <c r="M26" s="47" t="inlineStr">
        <is>
          <t>-</t>
        </is>
      </c>
      <c r="N26" s="44" t="inlineStr">
        <is>
          <t>SI</t>
        </is>
      </c>
    </row>
    <row r="27" ht="16" customHeight="1">
      <c r="A27" s="41" t="inlineStr">
        <is>
          <t>01/04/2026</t>
        </is>
      </c>
      <c r="B27" s="42" t="inlineStr">
        <is>
          <t>Coritiba vs Vasco da Gama</t>
        </is>
      </c>
      <c r="C27" s="41" t="inlineStr">
        <is>
          <t>Brasil</t>
        </is>
      </c>
      <c r="D27" s="42" t="inlineStr">
        <is>
          <t>[PERDIDA] LOCAL</t>
        </is>
      </c>
      <c r="E27" s="43" t="inlineStr">
        <is>
          <t>-</t>
        </is>
      </c>
      <c r="F27" s="47" t="inlineStr">
        <is>
          <t>-</t>
        </is>
      </c>
      <c r="G27" s="49" t="n"/>
      <c r="H27" s="42" t="inlineStr">
        <is>
          <t>[APOSTAR] LOCAL</t>
        </is>
      </c>
      <c r="I27" s="43" t="n">
        <v>2500</v>
      </c>
      <c r="J27" s="51" t="inlineStr">
        <is>
          <t>PERDIDA</t>
        </is>
      </c>
      <c r="K27" s="52" t="n">
        <v>-2500</v>
      </c>
      <c r="L27" s="49" t="n"/>
      <c r="M27" s="41" t="inlineStr">
        <is>
          <t>-</t>
        </is>
      </c>
      <c r="N27" s="51" t="inlineStr">
        <is>
          <t>NO</t>
        </is>
      </c>
    </row>
    <row r="28" ht="16" customHeight="1">
      <c r="A28" s="47" t="inlineStr">
        <is>
          <t>01/04/2026</t>
        </is>
      </c>
      <c r="B28" s="48" t="inlineStr">
        <is>
          <t>Fluminense vs Corinthians</t>
        </is>
      </c>
      <c r="C28" s="47" t="inlineStr">
        <is>
          <t>Brasil</t>
        </is>
      </c>
      <c r="D28" s="48" t="inlineStr">
        <is>
          <t>[GANADA] LOCAL</t>
        </is>
      </c>
      <c r="E28" s="49" t="inlineStr">
        <is>
          <t>-</t>
        </is>
      </c>
      <c r="F28" s="47" t="inlineStr">
        <is>
          <t>-</t>
        </is>
      </c>
      <c r="G28" s="49" t="n"/>
      <c r="H28" s="48" t="inlineStr">
        <is>
          <t>[APOSTAR] LOCAL</t>
        </is>
      </c>
      <c r="I28" s="49" t="n">
        <v>2500</v>
      </c>
      <c r="J28" s="44" t="inlineStr">
        <is>
          <t>GANADA</t>
        </is>
      </c>
      <c r="K28" s="45" t="n">
        <v>12075</v>
      </c>
      <c r="L28" s="49" t="n"/>
      <c r="M28" s="47" t="inlineStr">
        <is>
          <t>-</t>
        </is>
      </c>
      <c r="N28" s="44" t="inlineStr">
        <is>
          <t>SI</t>
        </is>
      </c>
    </row>
    <row r="29" ht="16" customHeight="1">
      <c r="A29" s="41" t="inlineStr">
        <is>
          <t>01/04/2026</t>
        </is>
      </c>
      <c r="B29" s="42" t="inlineStr">
        <is>
          <t>Internacional vs São Paulo</t>
        </is>
      </c>
      <c r="C29" s="41" t="inlineStr">
        <is>
          <t>Brasil</t>
        </is>
      </c>
      <c r="D29" s="42" t="inlineStr">
        <is>
          <t>[PASAR] EV Insuf (0.053&lt;0.080)</t>
        </is>
      </c>
      <c r="E29" s="43" t="inlineStr">
        <is>
          <t>-</t>
        </is>
      </c>
      <c r="F29" s="47" t="inlineStr">
        <is>
          <t>-</t>
        </is>
      </c>
      <c r="G29" s="49" t="n"/>
      <c r="H29" s="42" t="inlineStr">
        <is>
          <t>[APOSTAR] LOCAL</t>
        </is>
      </c>
      <c r="I29" s="43" t="n">
        <v>2004.8</v>
      </c>
      <c r="J29" s="51" t="inlineStr">
        <is>
          <t>PERDIDA</t>
        </is>
      </c>
      <c r="K29" s="52" t="n">
        <v>-2004.8</v>
      </c>
      <c r="L29" s="49" t="n"/>
      <c r="M29" s="41" t="inlineStr">
        <is>
          <t>-</t>
        </is>
      </c>
      <c r="N29" s="51" t="inlineStr">
        <is>
          <t>NO</t>
        </is>
      </c>
    </row>
    <row r="30" ht="16" customHeight="1">
      <c r="A30" s="47" t="inlineStr">
        <is>
          <t>02/04/2026</t>
        </is>
      </c>
      <c r="B30" s="48" t="inlineStr">
        <is>
          <t>Barracas Central vs Sarmiento (junin)</t>
        </is>
      </c>
      <c r="C30" s="47" t="inlineStr">
        <is>
          <t>Argentina</t>
        </is>
      </c>
      <c r="D30" s="48" t="inlineStr">
        <is>
          <t>[PERDIDA] LOCAL</t>
        </is>
      </c>
      <c r="E30" s="49" t="inlineStr">
        <is>
          <t>-</t>
        </is>
      </c>
      <c r="F30" s="47" t="inlineStr">
        <is>
          <t>-</t>
        </is>
      </c>
      <c r="G30" s="49" t="n"/>
      <c r="H30" s="48" t="inlineStr">
        <is>
          <t>[APOSTAR] LOCAL</t>
        </is>
      </c>
      <c r="I30" s="49" t="n">
        <v>2500</v>
      </c>
      <c r="J30" s="51" t="inlineStr">
        <is>
          <t>PERDIDA</t>
        </is>
      </c>
      <c r="K30" s="52" t="n">
        <v>-2500</v>
      </c>
      <c r="L30" s="49" t="n"/>
      <c r="M30" s="47" t="inlineStr">
        <is>
          <t>-</t>
        </is>
      </c>
      <c r="N30" s="51" t="inlineStr">
        <is>
          <t>NO</t>
        </is>
      </c>
    </row>
    <row r="31" ht="16" customHeight="1">
      <c r="A31" s="41" t="inlineStr">
        <is>
          <t>01/04/2026</t>
        </is>
      </c>
      <c r="B31" s="42" t="inlineStr">
        <is>
          <t>Fluminense vs Corinthians</t>
        </is>
      </c>
      <c r="C31" s="41" t="inlineStr">
        <is>
          <t>Brasil</t>
        </is>
      </c>
      <c r="D31" s="42" t="inlineStr">
        <is>
          <t>[APOSTAR] LOCAL</t>
        </is>
      </c>
      <c r="E31" s="43" t="n">
        <v>1118.03</v>
      </c>
      <c r="F31" s="44" t="inlineStr">
        <is>
          <t>GANADA</t>
        </is>
      </c>
      <c r="G31" s="45" t="n">
        <v>5400.08</v>
      </c>
      <c r="H31" s="42" t="inlineStr">
        <is>
          <t>[APOSTAR] LOCAL</t>
        </is>
      </c>
      <c r="I31" s="43" t="n">
        <v>2500</v>
      </c>
      <c r="J31" s="44" t="inlineStr">
        <is>
          <t>GANADA</t>
        </is>
      </c>
      <c r="K31" s="45" t="n">
        <v>12075</v>
      </c>
      <c r="L31" s="52" t="n">
        <v>-6674.92</v>
      </c>
      <c r="M31" s="44" t="inlineStr">
        <is>
          <t>SI</t>
        </is>
      </c>
      <c r="N31" s="44" t="inlineStr">
        <is>
          <t>SI</t>
        </is>
      </c>
    </row>
    <row r="32" ht="16" customHeight="1">
      <c r="A32" s="47" t="inlineStr">
        <is>
          <t>02/04/2026</t>
        </is>
      </c>
      <c r="B32" s="48" t="inlineStr">
        <is>
          <t>Palmeiras vs Grêmio</t>
        </is>
      </c>
      <c r="C32" s="47" t="inlineStr">
        <is>
          <t>Brasil</t>
        </is>
      </c>
      <c r="D32" s="48" t="inlineStr">
        <is>
          <t>[GANADA] LOCAL</t>
        </is>
      </c>
      <c r="E32" s="49" t="inlineStr">
        <is>
          <t>-</t>
        </is>
      </c>
      <c r="F32" s="47" t="inlineStr">
        <is>
          <t>-</t>
        </is>
      </c>
      <c r="G32" s="49" t="n"/>
      <c r="H32" s="48" t="inlineStr">
        <is>
          <t>[APOSTAR] LOCAL</t>
        </is>
      </c>
      <c r="I32" s="49" t="n">
        <v>2500</v>
      </c>
      <c r="J32" s="44" t="inlineStr">
        <is>
          <t>GANADA</t>
        </is>
      </c>
      <c r="K32" s="45" t="n">
        <v>12575</v>
      </c>
      <c r="L32" s="49" t="n"/>
      <c r="M32" s="47" t="inlineStr">
        <is>
          <t>-</t>
        </is>
      </c>
      <c r="N32" s="44" t="inlineStr">
        <is>
          <t>SI</t>
        </is>
      </c>
    </row>
    <row r="33" ht="16" customHeight="1">
      <c r="A33" s="41" t="inlineStr">
        <is>
          <t>02/04/2026</t>
        </is>
      </c>
      <c r="B33" s="42" t="inlineStr">
        <is>
          <t>Red Bull Bragantino vs Flamengo</t>
        </is>
      </c>
      <c r="C33" s="41" t="inlineStr">
        <is>
          <t>Brasil</t>
        </is>
      </c>
      <c r="D33" s="42" t="inlineStr">
        <is>
          <t>[GANADA] LOCAL</t>
        </is>
      </c>
      <c r="E33" s="43" t="inlineStr">
        <is>
          <t>-</t>
        </is>
      </c>
      <c r="F33" s="47" t="inlineStr">
        <is>
          <t>-</t>
        </is>
      </c>
      <c r="G33" s="49" t="n"/>
      <c r="H33" s="42" t="inlineStr">
        <is>
          <t>[APOSTAR] LOCAL</t>
        </is>
      </c>
      <c r="I33" s="43" t="n">
        <v>2500</v>
      </c>
      <c r="J33" s="44" t="inlineStr">
        <is>
          <t>GANADA</t>
        </is>
      </c>
      <c r="K33" s="45" t="n">
        <v>8550</v>
      </c>
      <c r="L33" s="49" t="n"/>
      <c r="M33" s="41" t="inlineStr">
        <is>
          <t>-</t>
        </is>
      </c>
      <c r="N33" s="44" t="inlineStr">
        <is>
          <t>SI</t>
        </is>
      </c>
    </row>
    <row r="34" ht="16" customHeight="1">
      <c r="A34" s="47" t="inlineStr">
        <is>
          <t>02/04/2026</t>
        </is>
      </c>
      <c r="B34" s="48" t="inlineStr">
        <is>
          <t>Santos vs Remo</t>
        </is>
      </c>
      <c r="C34" s="47" t="inlineStr">
        <is>
          <t>Brasil</t>
        </is>
      </c>
      <c r="D34" s="48" t="inlineStr">
        <is>
          <t>[GANADA] LOCAL</t>
        </is>
      </c>
      <c r="E34" s="49" t="inlineStr">
        <is>
          <t>-</t>
        </is>
      </c>
      <c r="F34" s="47" t="inlineStr">
        <is>
          <t>-</t>
        </is>
      </c>
      <c r="G34" s="49" t="n"/>
      <c r="H34" s="48" t="inlineStr">
        <is>
          <t>[APOSTAR] LOCAL</t>
        </is>
      </c>
      <c r="I34" s="49" t="n">
        <v>2500</v>
      </c>
      <c r="J34" s="44" t="inlineStr">
        <is>
          <t>GANADA</t>
        </is>
      </c>
      <c r="K34" s="45" t="n">
        <v>12625</v>
      </c>
      <c r="L34" s="49" t="n"/>
      <c r="M34" s="47" t="inlineStr">
        <is>
          <t>-</t>
        </is>
      </c>
      <c r="N34" s="44" t="inlineStr">
        <is>
          <t>SI</t>
        </is>
      </c>
    </row>
    <row r="35" ht="16" customHeight="1">
      <c r="A35" s="41" t="inlineStr">
        <is>
          <t>03/04/2026</t>
        </is>
      </c>
      <c r="B35" s="42" t="inlineStr">
        <is>
          <t>Gimnasia Mendoza vs Velez Sarsfield</t>
        </is>
      </c>
      <c r="C35" s="41" t="inlineStr">
        <is>
          <t>Argentina</t>
        </is>
      </c>
      <c r="D35" s="42" t="inlineStr">
        <is>
          <t>[GANADA] LOCAL</t>
        </is>
      </c>
      <c r="E35" s="43" t="inlineStr">
        <is>
          <t>-</t>
        </is>
      </c>
      <c r="F35" s="47" t="inlineStr">
        <is>
          <t>-</t>
        </is>
      </c>
      <c r="G35" s="49" t="n"/>
      <c r="H35" s="42" t="inlineStr">
        <is>
          <t>[APOSTAR] LOCAL</t>
        </is>
      </c>
      <c r="I35" s="43" t="n">
        <v>2500</v>
      </c>
      <c r="J35" s="44" t="inlineStr">
        <is>
          <t>GANADA</t>
        </is>
      </c>
      <c r="K35" s="45" t="n">
        <v>7750</v>
      </c>
      <c r="L35" s="49" t="n"/>
      <c r="M35" s="41" t="inlineStr">
        <is>
          <t>-</t>
        </is>
      </c>
      <c r="N35" s="44" t="inlineStr">
        <is>
          <t>SI</t>
        </is>
      </c>
    </row>
    <row r="36" ht="16" customHeight="1">
      <c r="A36" s="47" t="inlineStr">
        <is>
          <t>02/04/2026</t>
        </is>
      </c>
      <c r="B36" s="48" t="inlineStr">
        <is>
          <t>Palmeiras vs Gremio</t>
        </is>
      </c>
      <c r="C36" s="47" t="inlineStr">
        <is>
          <t>Brasil</t>
        </is>
      </c>
      <c r="D36" s="48" t="inlineStr">
        <is>
          <t>[APOSTAR] LOCAL</t>
        </is>
      </c>
      <c r="E36" s="49" t="n">
        <v>1250</v>
      </c>
      <c r="F36" s="44" t="inlineStr">
        <is>
          <t>GANADA</t>
        </is>
      </c>
      <c r="G36" s="45" t="n">
        <v>6900</v>
      </c>
      <c r="H36" s="48" t="inlineStr">
        <is>
          <t>[APOSTAR] LOCAL</t>
        </is>
      </c>
      <c r="I36" s="49" t="n">
        <v>2500</v>
      </c>
      <c r="J36" s="44" t="inlineStr">
        <is>
          <t>GANADA</t>
        </is>
      </c>
      <c r="K36" s="45" t="n">
        <v>13800</v>
      </c>
      <c r="L36" s="52" t="n">
        <v>-6900</v>
      </c>
      <c r="M36" s="44" t="inlineStr">
        <is>
          <t>SI</t>
        </is>
      </c>
      <c r="N36" s="44" t="inlineStr">
        <is>
          <t>SI</t>
        </is>
      </c>
    </row>
    <row r="37" ht="16" customHeight="1">
      <c r="A37" s="41" t="inlineStr">
        <is>
          <t>04/04/2026</t>
        </is>
      </c>
      <c r="B37" s="42" t="inlineStr">
        <is>
          <t>Genclerbirligi vs Goztepe</t>
        </is>
      </c>
      <c r="C37" s="41" t="inlineStr">
        <is>
          <t>Turquia</t>
        </is>
      </c>
      <c r="D37" s="42" t="inlineStr">
        <is>
          <t>[PERDIDA] LOCAL</t>
        </is>
      </c>
      <c r="E37" s="43" t="inlineStr">
        <is>
          <t>-</t>
        </is>
      </c>
      <c r="F37" s="47" t="inlineStr">
        <is>
          <t>-</t>
        </is>
      </c>
      <c r="G37" s="49" t="n"/>
      <c r="H37" s="42" t="inlineStr">
        <is>
          <t>[APOSTAR] LOCAL</t>
        </is>
      </c>
      <c r="I37" s="43" t="n">
        <v>2500</v>
      </c>
      <c r="J37" s="51" t="inlineStr">
        <is>
          <t>PERDIDA</t>
        </is>
      </c>
      <c r="K37" s="52" t="n">
        <v>-2500</v>
      </c>
      <c r="L37" s="49" t="n"/>
      <c r="M37" s="41" t="inlineStr">
        <is>
          <t>-</t>
        </is>
      </c>
      <c r="N37" s="51" t="inlineStr">
        <is>
          <t>NO</t>
        </is>
      </c>
    </row>
    <row r="38" ht="16" customHeight="1">
      <c r="A38" s="47" t="inlineStr">
        <is>
          <t>04/04/2026</t>
        </is>
      </c>
      <c r="B38" s="48" t="inlineStr">
        <is>
          <t>Independiente vs Racing Club</t>
        </is>
      </c>
      <c r="C38" s="47" t="inlineStr">
        <is>
          <t>Argentina</t>
        </is>
      </c>
      <c r="D38" s="48" t="inlineStr">
        <is>
          <t>[GANADA] LOCAL</t>
        </is>
      </c>
      <c r="E38" s="49" t="inlineStr">
        <is>
          <t>-</t>
        </is>
      </c>
      <c r="F38" s="47" t="inlineStr">
        <is>
          <t>-</t>
        </is>
      </c>
      <c r="G38" s="49" t="n"/>
      <c r="H38" s="48" t="inlineStr">
        <is>
          <t>[APOSTAR] LOCAL</t>
        </is>
      </c>
      <c r="I38" s="49" t="n">
        <v>2500</v>
      </c>
      <c r="J38" s="44" t="inlineStr">
        <is>
          <t>GANADA</t>
        </is>
      </c>
      <c r="K38" s="45" t="n">
        <v>11575</v>
      </c>
      <c r="L38" s="49" t="n"/>
      <c r="M38" s="47" t="inlineStr">
        <is>
          <t>-</t>
        </is>
      </c>
      <c r="N38" s="44" t="inlineStr">
        <is>
          <t>SI</t>
        </is>
      </c>
    </row>
    <row r="39" ht="16" customHeight="1">
      <c r="A39" s="41" t="inlineStr">
        <is>
          <t>04/04/2026</t>
        </is>
      </c>
      <c r="B39" s="42" t="inlineStr">
        <is>
          <t>Kasimpasa vs Kayserispor</t>
        </is>
      </c>
      <c r="C39" s="41" t="inlineStr">
        <is>
          <t>Turquia</t>
        </is>
      </c>
      <c r="D39" s="42" t="inlineStr">
        <is>
          <t>[PASAR] Floor Prob (32%&lt;33%)</t>
        </is>
      </c>
      <c r="E39" s="43" t="inlineStr">
        <is>
          <t>-</t>
        </is>
      </c>
      <c r="F39" s="47" t="inlineStr">
        <is>
          <t>-</t>
        </is>
      </c>
      <c r="G39" s="49" t="n"/>
      <c r="H39" s="42" t="inlineStr">
        <is>
          <t>[APOSTAR] LOCAL</t>
        </is>
      </c>
      <c r="I39" s="43" t="n">
        <v>178.37</v>
      </c>
      <c r="J39" s="44" t="inlineStr">
        <is>
          <t>GANADA</t>
        </is>
      </c>
      <c r="K39" s="45" t="n">
        <v>224.75</v>
      </c>
      <c r="L39" s="49" t="n"/>
      <c r="M39" s="41" t="inlineStr">
        <is>
          <t>-</t>
        </is>
      </c>
      <c r="N39" s="44" t="inlineStr">
        <is>
          <t>SI</t>
        </is>
      </c>
    </row>
    <row r="40" ht="16" customHeight="1">
      <c r="A40" s="47" t="inlineStr">
        <is>
          <t>04/04/2026</t>
        </is>
      </c>
      <c r="B40" s="48" t="inlineStr">
        <is>
          <t>Trabzonspor vs Galatasaray</t>
        </is>
      </c>
      <c r="C40" s="47" t="inlineStr">
        <is>
          <t>Turquia</t>
        </is>
      </c>
      <c r="D40" s="48" t="inlineStr">
        <is>
          <t>[GANADA] LOCAL</t>
        </is>
      </c>
      <c r="E40" s="49" t="inlineStr">
        <is>
          <t>-</t>
        </is>
      </c>
      <c r="F40" s="47" t="inlineStr">
        <is>
          <t>-</t>
        </is>
      </c>
      <c r="G40" s="49" t="n"/>
      <c r="H40" s="48" t="inlineStr">
        <is>
          <t>[APOSTAR] LOCAL</t>
        </is>
      </c>
      <c r="I40" s="49" t="n">
        <v>2500</v>
      </c>
      <c r="J40" s="44" t="inlineStr">
        <is>
          <t>GANADA</t>
        </is>
      </c>
      <c r="K40" s="45" t="n">
        <v>6050</v>
      </c>
      <c r="L40" s="49" t="n"/>
      <c r="M40" s="47" t="inlineStr">
        <is>
          <t>-</t>
        </is>
      </c>
      <c r="N40" s="44" t="inlineStr">
        <is>
          <t>SI</t>
        </is>
      </c>
    </row>
    <row r="41" ht="16" customHeight="1">
      <c r="A41" s="41" t="inlineStr">
        <is>
          <t>05/04/2026</t>
        </is>
      </c>
      <c r="B41" s="42" t="inlineStr">
        <is>
          <t>Antalyaspor vs Eyupspor</t>
        </is>
      </c>
      <c r="C41" s="41" t="inlineStr">
        <is>
          <t>Turquia</t>
        </is>
      </c>
      <c r="D41" s="42" t="inlineStr">
        <is>
          <t>[PASAR] Floor Prob (30%&lt;33%)</t>
        </is>
      </c>
      <c r="E41" s="43" t="inlineStr">
        <is>
          <t>-</t>
        </is>
      </c>
      <c r="F41" s="47" t="inlineStr">
        <is>
          <t>-</t>
        </is>
      </c>
      <c r="G41" s="49" t="n"/>
      <c r="H41" s="42" t="inlineStr">
        <is>
          <t>[APOSTAR] LOCAL</t>
        </is>
      </c>
      <c r="I41" s="43" t="n">
        <v>1204.53</v>
      </c>
      <c r="J41" s="44" t="inlineStr">
        <is>
          <t>GANADA</t>
        </is>
      </c>
      <c r="K41" s="45" t="n">
        <v>1457.48</v>
      </c>
      <c r="L41" s="49" t="n"/>
      <c r="M41" s="41" t="inlineStr">
        <is>
          <t>-</t>
        </is>
      </c>
      <c r="N41" s="44" t="inlineStr">
        <is>
          <t>SI</t>
        </is>
      </c>
    </row>
    <row r="42" ht="16" customHeight="1">
      <c r="A42" s="47" t="inlineStr">
        <is>
          <t>05/04/2026</t>
        </is>
      </c>
      <c r="B42" s="48" t="inlineStr">
        <is>
          <t>Bahia vs Palmeiras</t>
        </is>
      </c>
      <c r="C42" s="47" t="inlineStr">
        <is>
          <t>Brasil</t>
        </is>
      </c>
      <c r="D42" s="48" t="inlineStr">
        <is>
          <t>[APOSTAR] LOCAL</t>
        </is>
      </c>
      <c r="E42" s="49" t="n">
        <v>1443.38</v>
      </c>
      <c r="F42" s="50" t="inlineStr">
        <is>
          <t>PENDIENTE</t>
        </is>
      </c>
      <c r="G42" s="49" t="n"/>
      <c r="H42" s="48" t="inlineStr">
        <is>
          <t>[APOSTAR] LOCAL</t>
        </is>
      </c>
      <c r="I42" s="49" t="n">
        <v>2500</v>
      </c>
      <c r="J42" s="50" t="inlineStr">
        <is>
          <t>PENDIENTE</t>
        </is>
      </c>
      <c r="K42" s="49" t="n"/>
      <c r="L42" s="49" t="n"/>
      <c r="M42" s="47" t="inlineStr">
        <is>
          <t>-</t>
        </is>
      </c>
      <c r="N42" s="47" t="inlineStr">
        <is>
          <t>-</t>
        </is>
      </c>
    </row>
    <row r="43" ht="16" customHeight="1">
      <c r="A43" s="41" t="inlineStr">
        <is>
          <t>05/04/2026</t>
        </is>
      </c>
      <c r="B43" s="42" t="inlineStr">
        <is>
          <t>Central Córdoba (santiago del Estero) vs Newell's Old Boys</t>
        </is>
      </c>
      <c r="C43" s="41" t="inlineStr">
        <is>
          <t>Argentina</t>
        </is>
      </c>
      <c r="D43" s="42" t="inlineStr">
        <is>
          <t>[APOSTAR] LOCAL</t>
        </is>
      </c>
      <c r="E43" s="43" t="n">
        <v>2500</v>
      </c>
      <c r="F43" s="50" t="inlineStr">
        <is>
          <t>PENDIENTE</t>
        </is>
      </c>
      <c r="G43" s="49" t="n"/>
      <c r="H43" s="42" t="inlineStr">
        <is>
          <t>[APOSTAR] LOCAL</t>
        </is>
      </c>
      <c r="I43" s="43" t="n">
        <v>2500</v>
      </c>
      <c r="J43" s="50" t="inlineStr">
        <is>
          <t>PENDIENTE</t>
        </is>
      </c>
      <c r="K43" s="49" t="n"/>
      <c r="L43" s="49" t="n"/>
      <c r="M43" s="41" t="inlineStr">
        <is>
          <t>-</t>
        </is>
      </c>
      <c r="N43" s="41" t="inlineStr">
        <is>
          <t>-</t>
        </is>
      </c>
    </row>
    <row r="44" ht="16" customHeight="1">
      <c r="A44" s="47" t="inlineStr">
        <is>
          <t>05/04/2026</t>
        </is>
      </c>
      <c r="B44" s="48" t="inlineStr">
        <is>
          <t>Chapecoense vs Vitoria</t>
        </is>
      </c>
      <c r="C44" s="47" t="inlineStr">
        <is>
          <t>Brasil</t>
        </is>
      </c>
      <c r="D44" s="48" t="inlineStr">
        <is>
          <t>[APOSTAR] LOCAL</t>
        </is>
      </c>
      <c r="E44" s="49" t="n">
        <v>1443.38</v>
      </c>
      <c r="F44" s="50" t="inlineStr">
        <is>
          <t>PENDIENTE</t>
        </is>
      </c>
      <c r="G44" s="49" t="n"/>
      <c r="H44" s="48" t="inlineStr">
        <is>
          <t>[APOSTAR] LOCAL</t>
        </is>
      </c>
      <c r="I44" s="49" t="n">
        <v>2500</v>
      </c>
      <c r="J44" s="50" t="inlineStr">
        <is>
          <t>PENDIENTE</t>
        </is>
      </c>
      <c r="K44" s="49" t="n"/>
      <c r="L44" s="49" t="n"/>
      <c r="M44" s="47" t="inlineStr">
        <is>
          <t>-</t>
        </is>
      </c>
      <c r="N44" s="47" t="inlineStr">
        <is>
          <t>-</t>
        </is>
      </c>
    </row>
    <row r="45" ht="16" customHeight="1">
      <c r="A45" s="41" t="inlineStr">
        <is>
          <t>05/04/2026</t>
        </is>
      </c>
      <c r="B45" s="42" t="inlineStr">
        <is>
          <t>Fatih Karagümrük vs Caykur Rizespor</t>
        </is>
      </c>
      <c r="C45" s="41" t="inlineStr">
        <is>
          <t>Turquia</t>
        </is>
      </c>
      <c r="D45" s="42" t="inlineStr">
        <is>
          <t>[GANADA] LOCAL</t>
        </is>
      </c>
      <c r="E45" s="43" t="inlineStr">
        <is>
          <t>-</t>
        </is>
      </c>
      <c r="F45" s="47" t="inlineStr">
        <is>
          <t>-</t>
        </is>
      </c>
      <c r="G45" s="49" t="n"/>
      <c r="H45" s="42" t="inlineStr">
        <is>
          <t>[APOSTAR] LOCAL</t>
        </is>
      </c>
      <c r="I45" s="43" t="n">
        <v>2500</v>
      </c>
      <c r="J45" s="44" t="inlineStr">
        <is>
          <t>GANADA</t>
        </is>
      </c>
      <c r="K45" s="45" t="n">
        <v>5675</v>
      </c>
      <c r="L45" s="49" t="n"/>
      <c r="M45" s="41" t="inlineStr">
        <is>
          <t>-</t>
        </is>
      </c>
      <c r="N45" s="44" t="inlineStr">
        <is>
          <t>SI</t>
        </is>
      </c>
    </row>
    <row r="46" ht="16" customHeight="1">
      <c r="A46" s="47" t="inlineStr">
        <is>
          <t>05/04/2026</t>
        </is>
      </c>
      <c r="B46" s="48" t="inlineStr">
        <is>
          <t>Mirassol vs Red Bull Bragantino</t>
        </is>
      </c>
      <c r="C46" s="47" t="inlineStr">
        <is>
          <t>Brasil</t>
        </is>
      </c>
      <c r="D46" s="48" t="inlineStr">
        <is>
          <t>[APOSTAR] LOCAL</t>
        </is>
      </c>
      <c r="E46" s="49" t="n">
        <v>1443.38</v>
      </c>
      <c r="F46" s="50" t="inlineStr">
        <is>
          <t>PENDIENTE</t>
        </is>
      </c>
      <c r="G46" s="49" t="n"/>
      <c r="H46" s="48" t="inlineStr">
        <is>
          <t>[APOSTAR] LOCAL</t>
        </is>
      </c>
      <c r="I46" s="49" t="n">
        <v>2500</v>
      </c>
      <c r="J46" s="50" t="inlineStr">
        <is>
          <t>PENDIENTE</t>
        </is>
      </c>
      <c r="K46" s="49" t="n"/>
      <c r="L46" s="49" t="n"/>
      <c r="M46" s="47" t="inlineStr">
        <is>
          <t>-</t>
        </is>
      </c>
      <c r="N46" s="47" t="inlineStr">
        <is>
          <t>-</t>
        </is>
      </c>
    </row>
    <row r="47" ht="16" customHeight="1">
      <c r="A47" s="41" t="inlineStr">
        <is>
          <t>05/04/2026</t>
        </is>
      </c>
      <c r="B47" s="42" t="inlineStr">
        <is>
          <t>Samsunspor vs Konyaspor</t>
        </is>
      </c>
      <c r="C47" s="41" t="inlineStr">
        <is>
          <t>Turquia</t>
        </is>
      </c>
      <c r="D47" s="42" t="inlineStr">
        <is>
          <t>[PASAR] EV Insuf (0.061&lt;0.080)</t>
        </is>
      </c>
      <c r="E47" s="43" t="inlineStr">
        <is>
          <t>-</t>
        </is>
      </c>
      <c r="F47" s="47" t="inlineStr">
        <is>
          <t>-</t>
        </is>
      </c>
      <c r="G47" s="49" t="n"/>
      <c r="H47" s="42" t="inlineStr">
        <is>
          <t>[APOSTAR] LOCAL</t>
        </is>
      </c>
      <c r="I47" s="43" t="n">
        <v>2186.87</v>
      </c>
      <c r="J47" s="51" t="inlineStr">
        <is>
          <t>PERDIDA</t>
        </is>
      </c>
      <c r="K47" s="52" t="n">
        <v>-2186.87</v>
      </c>
      <c r="L47" s="49" t="n"/>
      <c r="M47" s="41" t="inlineStr">
        <is>
          <t>-</t>
        </is>
      </c>
      <c r="N47" s="51" t="inlineStr">
        <is>
          <t>NO</t>
        </is>
      </c>
    </row>
    <row r="48" ht="16" customHeight="1">
      <c r="A48" s="47" t="inlineStr">
        <is>
          <t>04/04/2026</t>
        </is>
      </c>
      <c r="B48" s="48" t="inlineStr">
        <is>
          <t>Vasco da Gama vs Botafogo</t>
        </is>
      </c>
      <c r="C48" s="47" t="inlineStr">
        <is>
          <t>Brasil</t>
        </is>
      </c>
      <c r="D48" s="48" t="inlineStr">
        <is>
          <t>[GANADA] VISITA</t>
        </is>
      </c>
      <c r="E48" s="49" t="inlineStr">
        <is>
          <t>-</t>
        </is>
      </c>
      <c r="F48" s="47" t="inlineStr">
        <is>
          <t>-</t>
        </is>
      </c>
      <c r="G48" s="49" t="n"/>
      <c r="H48" s="48" t="inlineStr">
        <is>
          <t>[APOSTAR] VISITA</t>
        </is>
      </c>
      <c r="I48" s="49" t="n">
        <v>2500</v>
      </c>
      <c r="J48" s="44" t="inlineStr">
        <is>
          <t>GANADA</t>
        </is>
      </c>
      <c r="K48" s="45" t="n">
        <v>7200</v>
      </c>
      <c r="L48" s="49" t="n"/>
      <c r="M48" s="47" t="inlineStr">
        <is>
          <t>-</t>
        </is>
      </c>
      <c r="N48" s="44" t="inlineStr">
        <is>
          <t>SI</t>
        </is>
      </c>
    </row>
    <row r="49" ht="16" customHeight="1">
      <c r="A49" s="41" t="inlineStr">
        <is>
          <t>06/04/2026</t>
        </is>
      </c>
      <c r="B49" s="42" t="inlineStr">
        <is>
          <t>Hamkam vs Sk Brann</t>
        </is>
      </c>
      <c r="C49" s="41" t="inlineStr">
        <is>
          <t>Noruega</t>
        </is>
      </c>
      <c r="D49" s="42" t="inlineStr">
        <is>
          <t>[APOSTAR] LOCAL</t>
        </is>
      </c>
      <c r="E49" s="43" t="n">
        <v>1767.77</v>
      </c>
      <c r="F49" s="50" t="inlineStr">
        <is>
          <t>PENDIENTE</t>
        </is>
      </c>
      <c r="G49" s="49" t="n"/>
      <c r="H49" s="42" t="inlineStr">
        <is>
          <t>[APOSTAR] LOCAL</t>
        </is>
      </c>
      <c r="I49" s="43" t="n">
        <v>2500</v>
      </c>
      <c r="J49" s="50" t="inlineStr">
        <is>
          <t>PENDIENTE</t>
        </is>
      </c>
      <c r="K49" s="49" t="n"/>
      <c r="L49" s="49" t="n"/>
      <c r="M49" s="41" t="inlineStr">
        <is>
          <t>-</t>
        </is>
      </c>
      <c r="N49" s="41" t="inlineStr">
        <is>
          <t>-</t>
        </is>
      </c>
    </row>
    <row r="50" ht="16" customHeight="1">
      <c r="A50" s="47" t="inlineStr">
        <is>
          <t>06/04/2026</t>
        </is>
      </c>
      <c r="B50" s="48" t="inlineStr">
        <is>
          <t>Sarpsborg fk vs Ik Start</t>
        </is>
      </c>
      <c r="C50" s="47" t="inlineStr">
        <is>
          <t>Noruega</t>
        </is>
      </c>
      <c r="D50" s="48" t="inlineStr">
        <is>
          <t>[APOSTAR] VISITA</t>
        </is>
      </c>
      <c r="E50" s="49" t="n">
        <v>1767.77</v>
      </c>
      <c r="F50" s="50" t="inlineStr">
        <is>
          <t>PENDIENTE</t>
        </is>
      </c>
      <c r="G50" s="49" t="n"/>
      <c r="H50" s="48" t="inlineStr">
        <is>
          <t>[APOSTAR] VISITA</t>
        </is>
      </c>
      <c r="I50" s="49" t="n">
        <v>2500</v>
      </c>
      <c r="J50" s="50" t="inlineStr">
        <is>
          <t>PENDIENTE</t>
        </is>
      </c>
      <c r="K50" s="49" t="n"/>
      <c r="L50" s="49" t="n"/>
      <c r="M50" s="47" t="inlineStr">
        <is>
          <t>-</t>
        </is>
      </c>
      <c r="N50" s="47" t="inlineStr">
        <is>
          <t>-</t>
        </is>
      </c>
    </row>
    <row r="51" ht="16" customHeight="1">
      <c r="A51" s="41" t="inlineStr">
        <is>
          <t>07/04/2026</t>
        </is>
      </c>
      <c r="B51" s="42" t="inlineStr">
        <is>
          <t>Aalesund vs Fredrikstad</t>
        </is>
      </c>
      <c r="C51" s="41" t="inlineStr">
        <is>
          <t>Noruega</t>
        </is>
      </c>
      <c r="D51" s="42" t="inlineStr">
        <is>
          <t>[APOSTAR] LOCAL</t>
        </is>
      </c>
      <c r="E51" s="43" t="n">
        <v>1767.77</v>
      </c>
      <c r="F51" s="50" t="inlineStr">
        <is>
          <t>PENDIENTE</t>
        </is>
      </c>
      <c r="G51" s="49" t="n"/>
      <c r="H51" s="42" t="inlineStr">
        <is>
          <t>[APOSTAR] LOCAL</t>
        </is>
      </c>
      <c r="I51" s="43" t="n">
        <v>2500</v>
      </c>
      <c r="J51" s="50" t="inlineStr">
        <is>
          <t>PENDIENTE</t>
        </is>
      </c>
      <c r="K51" s="49" t="n"/>
      <c r="L51" s="49" t="n"/>
      <c r="M51" s="41" t="inlineStr">
        <is>
          <t>-</t>
        </is>
      </c>
      <c r="N51" s="41" t="inlineStr">
        <is>
          <t>-</t>
        </is>
      </c>
    </row>
    <row r="52" ht="16" customHeight="1">
      <c r="A52" s="47" t="inlineStr">
        <is>
          <t>08/04/2026</t>
        </is>
      </c>
      <c r="B52" s="48" t="inlineStr">
        <is>
          <t>Goztepe vs Galatasaray</t>
        </is>
      </c>
      <c r="C52" s="47" t="inlineStr">
        <is>
          <t>Turquia</t>
        </is>
      </c>
      <c r="D52" s="48" t="inlineStr">
        <is>
          <t>[APOSTAR] LOCAL</t>
        </is>
      </c>
      <c r="E52" s="49" t="n">
        <v>2500</v>
      </c>
      <c r="F52" s="50" t="inlineStr">
        <is>
          <t>PENDIENTE</t>
        </is>
      </c>
      <c r="G52" s="49" t="n"/>
      <c r="H52" s="48" t="inlineStr">
        <is>
          <t>[APOSTAR] LOCAL</t>
        </is>
      </c>
      <c r="I52" s="49" t="n">
        <v>2500</v>
      </c>
      <c r="J52" s="50" t="inlineStr">
        <is>
          <t>PENDIENTE</t>
        </is>
      </c>
      <c r="K52" s="49" t="n"/>
      <c r="L52" s="49" t="n"/>
      <c r="M52" s="47" t="inlineStr">
        <is>
          <t>-</t>
        </is>
      </c>
      <c r="N52" s="47" t="inlineStr">
        <is>
          <t>-</t>
        </is>
      </c>
    </row>
    <row r="54" ht="18" customHeight="1">
      <c r="A54" s="53" t="inlineStr">
        <is>
          <t>RESUMEN COMPARATIVO DE RENDIMIENTO</t>
        </is>
      </c>
    </row>
    <row r="55" ht="16" customHeight="1">
      <c r="A55" s="37" t="inlineStr">
        <is>
          <t>KPI</t>
        </is>
      </c>
      <c r="B55" s="38" t="inlineStr">
        <is>
          <t>Opcion 1 (Activa)</t>
        </is>
      </c>
      <c r="D55" s="39" t="inlineStr">
        <is>
          <t>Opcion 4 (Shadow)</t>
        </is>
      </c>
      <c r="F55" s="40" t="inlineStr">
        <is>
          <t>Mejor</t>
        </is>
      </c>
    </row>
    <row r="56" ht="17" customHeight="1">
      <c r="A56" s="54" t="inlineStr">
        <is>
          <t>N apuestas liquidadas</t>
        </is>
      </c>
      <c r="B56" s="55" t="n">
        <v>18</v>
      </c>
      <c r="C56" s="55" t="n">
        <v>18</v>
      </c>
      <c r="D56" s="55" t="n">
        <v>39</v>
      </c>
      <c r="E56" s="55" t="n">
        <v>39</v>
      </c>
      <c r="F56" s="56" t="inlineStr">
        <is>
          <t>=</t>
        </is>
      </c>
    </row>
    <row r="57" ht="17" customHeight="1">
      <c r="A57" s="54" t="inlineStr">
        <is>
          <t>Ganadas</t>
        </is>
      </c>
      <c r="B57" s="57" t="n">
        <v>13</v>
      </c>
      <c r="C57" s="57" t="n">
        <v>13</v>
      </c>
      <c r="D57" s="58" t="n">
        <v>29</v>
      </c>
      <c r="E57" s="58" t="n">
        <v>29</v>
      </c>
      <c r="F57" s="59" t="inlineStr">
        <is>
          <t>Op4</t>
        </is>
      </c>
    </row>
    <row r="58" ht="17" customHeight="1">
      <c r="A58" s="54" t="inlineStr">
        <is>
          <t>Hit rate</t>
        </is>
      </c>
      <c r="B58" s="60" t="n">
        <v>0.7222222222222222</v>
      </c>
      <c r="C58" s="60" t="n">
        <v>0.7222222222222222</v>
      </c>
      <c r="D58" s="61" t="n">
        <v>0.7435897435897436</v>
      </c>
      <c r="E58" s="61" t="n">
        <v>0.7435897435897436</v>
      </c>
      <c r="F58" s="59" t="inlineStr">
        <is>
          <t>Op4</t>
        </is>
      </c>
    </row>
    <row r="59" ht="17" customHeight="1">
      <c r="A59" s="54" t="inlineStr">
        <is>
          <t>Volumen apostado</t>
        </is>
      </c>
      <c r="B59" s="46" t="n">
        <v>32001.48</v>
      </c>
      <c r="C59" s="46" t="n">
        <v>32001.48</v>
      </c>
      <c r="D59" s="46" t="n">
        <v>89472.23999999999</v>
      </c>
      <c r="E59" s="46" t="n">
        <v>89472.23999999999</v>
      </c>
      <c r="F59" s="56" t="inlineStr">
        <is>
          <t>=</t>
        </is>
      </c>
    </row>
    <row r="60" ht="17" customHeight="1">
      <c r="A60" s="54" t="inlineStr">
        <is>
          <t>P/L neto</t>
        </is>
      </c>
      <c r="B60" s="52" t="n">
        <v>49853.41</v>
      </c>
      <c r="C60" s="52" t="n">
        <v>49853.41</v>
      </c>
      <c r="D60" s="45" t="n">
        <v>165706.42</v>
      </c>
      <c r="E60" s="45" t="n">
        <v>165706.42</v>
      </c>
      <c r="F60" s="59" t="inlineStr">
        <is>
          <t>Op4</t>
        </is>
      </c>
    </row>
    <row r="61" ht="17" customHeight="1">
      <c r="A61" s="54" t="inlineStr">
        <is>
          <t>Yield</t>
        </is>
      </c>
      <c r="B61" s="60" t="n">
        <v>1.557847012075692</v>
      </c>
      <c r="C61" s="60" t="n">
        <v>1.557847012075692</v>
      </c>
      <c r="D61" s="61" t="n">
        <v>1.852042823561811</v>
      </c>
      <c r="E61" s="61" t="n">
        <v>1.852042823561811</v>
      </c>
      <c r="F61" s="59" t="inlineStr">
        <is>
          <t>Op4</t>
        </is>
      </c>
    </row>
    <row r="63">
      <c r="A63" s="62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H3:K3"/>
    <mergeCell ref="A2:N2"/>
    <mergeCell ref="A54:N54"/>
    <mergeCell ref="A3:C3"/>
    <mergeCell ref="A63:N63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3" t="inlineStr">
        <is>
          <t>Liga</t>
        </is>
      </c>
      <c r="B1" s="53" t="inlineStr">
        <is>
          <t>Apuestas</t>
        </is>
      </c>
      <c r="C1" s="53" t="inlineStr">
        <is>
          <t>Ganadas</t>
        </is>
      </c>
      <c r="D1" s="53" t="inlineStr">
        <is>
          <t>Perdidas</t>
        </is>
      </c>
      <c r="E1" s="53" t="inlineStr">
        <is>
          <t>% Acierto</t>
        </is>
      </c>
      <c r="F1" s="53" t="inlineStr">
        <is>
          <t>P/L Neto</t>
        </is>
      </c>
      <c r="G1" s="53" t="inlineStr">
        <is>
          <t>Yield</t>
        </is>
      </c>
      <c r="H1" s="53" t="inlineStr">
        <is>
          <t>Volumen</t>
        </is>
      </c>
    </row>
    <row r="2">
      <c r="A2" s="63" t="inlineStr">
        <is>
          <t>Argentina</t>
        </is>
      </c>
      <c r="B2" s="63" t="n">
        <v>8</v>
      </c>
      <c r="C2" s="63" t="n">
        <v>6</v>
      </c>
      <c r="D2" s="63" t="n">
        <v>2</v>
      </c>
      <c r="E2" s="64" t="n">
        <v>0.75</v>
      </c>
      <c r="F2" s="65" t="n">
        <v>32510.8</v>
      </c>
      <c r="G2" s="64" t="n">
        <v>1.931701221736718</v>
      </c>
      <c r="H2" s="65" t="n">
        <v>16830.14</v>
      </c>
    </row>
    <row r="3">
      <c r="A3" s="63" t="inlineStr">
        <is>
          <t>Brasil</t>
        </is>
      </c>
      <c r="B3" s="63" t="n">
        <v>15</v>
      </c>
      <c r="C3" s="63" t="n">
        <v>12</v>
      </c>
      <c r="D3" s="63" t="n">
        <v>3</v>
      </c>
      <c r="E3" s="64" t="n">
        <v>0.8</v>
      </c>
      <c r="F3" s="65" t="n">
        <v>56100.55</v>
      </c>
      <c r="G3" s="64" t="n">
        <v>2.724630558786604</v>
      </c>
      <c r="H3" s="65" t="n">
        <v>20590.15</v>
      </c>
    </row>
    <row r="4">
      <c r="A4" s="63" t="inlineStr">
        <is>
          <t>Inglaterra</t>
        </is>
      </c>
      <c r="B4" s="63" t="n">
        <v>4</v>
      </c>
      <c r="C4" s="63" t="n">
        <v>3</v>
      </c>
      <c r="D4" s="63" t="n">
        <v>1</v>
      </c>
      <c r="E4" s="64" t="n">
        <v>0.75</v>
      </c>
      <c r="F4" s="65" t="n">
        <v>9064.709999999999</v>
      </c>
      <c r="G4" s="64" t="n">
        <v>1.061995749536643</v>
      </c>
      <c r="H4" s="65" t="n">
        <v>8535.540000000001</v>
      </c>
    </row>
    <row r="5">
      <c r="A5" s="63" t="inlineStr">
        <is>
          <t>Noruega</t>
        </is>
      </c>
      <c r="B5" s="63" t="n">
        <v>3</v>
      </c>
      <c r="C5" s="63" t="n">
        <v>2</v>
      </c>
      <c r="D5" s="63" t="n">
        <v>1</v>
      </c>
      <c r="E5" s="64" t="n">
        <v>0.6666666666666665</v>
      </c>
      <c r="F5" s="65" t="n">
        <v>4724.88</v>
      </c>
      <c r="G5" s="64" t="n">
        <v>0.782842628828572</v>
      </c>
      <c r="H5" s="65" t="n">
        <v>6035.54</v>
      </c>
    </row>
    <row r="6">
      <c r="A6" s="63" t="inlineStr">
        <is>
          <t>Turquia</t>
        </is>
      </c>
      <c r="B6" s="63" t="n">
        <v>3</v>
      </c>
      <c r="C6" s="63" t="n">
        <v>2</v>
      </c>
      <c r="D6" s="63" t="n">
        <v>1</v>
      </c>
      <c r="E6" s="64" t="n">
        <v>0.6666666666666665</v>
      </c>
      <c r="F6" s="65" t="n">
        <v>8185.23</v>
      </c>
      <c r="G6" s="64" t="n">
        <v>1.356172504862862</v>
      </c>
      <c r="H6" s="65" t="n">
        <v>6035.54</v>
      </c>
    </row>
    <row r="7">
      <c r="A7" s="66" t="inlineStr">
        <is>
          <t>TOTAL</t>
        </is>
      </c>
      <c r="B7" s="66" t="n">
        <v>33</v>
      </c>
      <c r="C7" s="66" t="n">
        <v>25</v>
      </c>
      <c r="D7" s="66" t="n">
        <v>8</v>
      </c>
      <c r="E7" s="67" t="n">
        <v>0.7575757575757576</v>
      </c>
      <c r="F7" s="68" t="n">
        <v>110586.17</v>
      </c>
      <c r="G7" s="67" t="n">
        <v>1.905773933163079</v>
      </c>
      <c r="H7" s="68" t="n">
        <v>58026.91</v>
      </c>
    </row>
    <row r="9">
      <c r="A9" s="69" t="inlineStr">
        <is>
          <t>Generado: 05/04/2026 13:18</t>
        </is>
      </c>
    </row>
    <row r="10">
      <c r="A10" s="69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2026-04-05T16:18:43Z</dcterms:created>
  <dcterms:modified xmlns:dcterms="http://purl.org/dc/terms/" xmlns:xsi="http://www.w3.org/2001/XMLSchema-instance" xsi:type="dcterms:W3CDTF">2026-04-05T16:18:44Z</dcterms:modified>
</cp:coreProperties>
</file>