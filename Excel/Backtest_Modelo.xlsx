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'Backtest'!$A$1:$AB$1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20" customWidth="1" min="4" max="4"/>
    <col width="2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8" customWidth="1" min="18" max="18"/>
    <col width="28" customWidth="1" min="19" max="19"/>
    <col width="28" customWidth="1" min="20" max="20"/>
    <col width="13" customWidth="1" min="21" max="21"/>
    <col width="13" customWidth="1" min="22" max="22"/>
    <col width="22" customWidth="1" min="23" max="23"/>
    <col width="13" customWidth="1" min="24" max="24"/>
    <col width="15" customWidth="1" min="25" max="25"/>
    <col width="12" customWidth="1" min="26" max="26"/>
    <col width="13" customWidth="1" min="27" max="27"/>
    <col width="11" customWidth="1" min="28" max="28"/>
  </cols>
  <sheetData>
    <row r="1">
      <c r="A1" s="1" t="inlineStr">
        <is>
          <t>Fecha</t>
        </is>
      </c>
      <c r="B1" s="1" t="inlineStr">
        <is>
          <t>ID Partido</t>
        </is>
      </c>
      <c r="C1" s="1" t="inlineStr">
        <is>
          <t>Partido</t>
        </is>
      </c>
      <c r="D1" s="1" t="inlineStr">
        <is>
          <t>Local</t>
        </is>
      </c>
      <c r="E1" s="1" t="inlineStr">
        <is>
          <t>Visita</t>
        </is>
      </c>
      <c r="F1" s="1" t="inlineStr">
        <is>
          <t>Cuota 1</t>
        </is>
      </c>
      <c r="G1" s="1" t="inlineStr">
        <is>
          <t>Cuota X</t>
        </is>
      </c>
      <c r="H1" s="1" t="inlineStr">
        <is>
          <t>Cuota 2</t>
        </is>
      </c>
      <c r="I1" s="1" t="inlineStr">
        <is>
          <t>Cuota +2.5</t>
        </is>
      </c>
      <c r="J1" s="1" t="inlineStr">
        <is>
          <t>Cuota -2.5</t>
        </is>
      </c>
      <c r="K1" s="1" t="inlineStr">
        <is>
          <t>Liga</t>
        </is>
      </c>
      <c r="L1" s="1" t="inlineStr">
        <is>
          <t>Prob 1</t>
        </is>
      </c>
      <c r="M1" s="1" t="inlineStr">
        <is>
          <t>Prob X</t>
        </is>
      </c>
      <c r="N1" s="1" t="inlineStr">
        <is>
          <t>Prob 2</t>
        </is>
      </c>
      <c r="O1" s="1" t="inlineStr">
        <is>
          <t>Prob +2.5</t>
        </is>
      </c>
      <c r="P1" s="1" t="inlineStr">
        <is>
          <t>Prob -2.5</t>
        </is>
      </c>
      <c r="Q1" s="1" t="inlineStr">
        <is>
          <t>Goles L</t>
        </is>
      </c>
      <c r="R1" s="1" t="inlineStr">
        <is>
          <t>Goles V</t>
        </is>
      </c>
      <c r="S1" s="1" t="inlineStr">
        <is>
          <t>Apuesta 1X2</t>
        </is>
      </c>
      <c r="T1" s="1" t="inlineStr">
        <is>
          <t>Apuesta O/U 2.5</t>
        </is>
      </c>
      <c r="U1" s="1" t="inlineStr">
        <is>
          <t>Stake 1X2</t>
        </is>
      </c>
      <c r="V1" s="1" t="inlineStr">
        <is>
          <t>Stake O/U 2.5</t>
        </is>
      </c>
      <c r="W1" s="1" t="inlineStr">
        <is>
          <t>Acierto</t>
        </is>
      </c>
      <c r="X1" s="1" t="inlineStr">
        <is>
          <t>P/L Neto</t>
        </is>
      </c>
      <c r="Y1" s="1" t="inlineStr">
        <is>
          <t>Equity Curve</t>
        </is>
      </c>
      <c r="Z1" s="1" t="inlineStr">
        <is>
          <t>Brier Score</t>
        </is>
      </c>
      <c r="AA1" s="1" t="inlineStr">
        <is>
          <t>Incertidumbre</t>
        </is>
      </c>
      <c r="AB1" s="1" t="inlineStr">
        <is>
          <t>Auditoria</t>
        </is>
      </c>
    </row>
    <row r="2">
      <c r="A2" s="2" t="inlineStr">
        <is>
          <t>01/04/2026</t>
        </is>
      </c>
      <c r="B2" s="3" t="inlineStr">
        <is>
          <t>2026-04-01bahiaathleticoparanaense</t>
        </is>
      </c>
      <c r="C2" s="3" t="inlineStr">
        <is>
          <t>Bahia vs Athletico Paranaense</t>
        </is>
      </c>
      <c r="D2" s="3" t="inlineStr">
        <is>
          <t>Bahia</t>
        </is>
      </c>
      <c r="E2" s="3" t="inlineStr">
        <is>
          <t>Athletico Paranaense</t>
        </is>
      </c>
      <c r="F2" s="4" t="n">
        <v>4.56</v>
      </c>
      <c r="G2" s="4" t="n">
        <v>3.64</v>
      </c>
      <c r="H2" s="4" t="n">
        <v>1.85</v>
      </c>
      <c r="I2" s="4" t="n">
        <v>2.01</v>
      </c>
      <c r="J2" s="4" t="n">
        <v>1.83</v>
      </c>
      <c r="K2" s="2" t="inlineStr">
        <is>
          <t>Brasil</t>
        </is>
      </c>
      <c r="L2" s="5" t="n">
        <v>0.5150502601834692</v>
      </c>
      <c r="M2" s="5" t="n">
        <v>0.2466242235936462</v>
      </c>
      <c r="N2" s="5" t="n">
        <v>0.2383255162228845</v>
      </c>
      <c r="O2" s="5" t="n">
        <v>0.5401679498832862</v>
      </c>
      <c r="P2" s="5" t="n">
        <v>0.4598320501167139</v>
      </c>
      <c r="Q2" s="2" t="n">
        <v>3</v>
      </c>
      <c r="R2" s="2" t="n">
        <v>0</v>
      </c>
      <c r="S2" s="3" t="inlineStr">
        <is>
          <t>[GANADA] LOCAL</t>
        </is>
      </c>
      <c r="T2" s="3" t="inlineStr">
        <is>
          <t>[PASAR] Margen Predictivo O/U Insuficiente (&lt;15%)</t>
        </is>
      </c>
      <c r="U2" s="6" t="n">
        <v>1250</v>
      </c>
      <c r="V2" s="6" t="n">
        <v>0</v>
      </c>
      <c r="W2" s="3">
        <f>IF(L2="","",IF((MAX(L2,M2,N2)-MEDIAN(L2,M2,N2))&gt;0.05,IF(OR(Q2="",R2=""),"[PREDICCION] "&amp;IF(L2=MAX(L2,M2,N2),"LOCAL",IF(M2=MAX(L2,M2,N2),"EMPATE","VISITA")),IF(L2=MAX(L2,M2,N2),IF(Q2&gt;R2,"[ACIERTO]","[FALLO]"),IF(M2=MAX(L2,M2,N2),IF(Q2=R2,"[ACIERTO]","[FALLO]"),IF(Q2&lt;R2,"[ACIERTO]","[FALLO]")))),"[PASAR] Margen Insuf"))</f>
        <v/>
      </c>
      <c r="X2" s="6">
        <f>IFERROR(IF(U2=0,0,IF(ISNUMBER(SEARCH("[GANADA]",S2)),U2*(IF(ISNUMBER(SEARCH("LOCAL",S2)),F2,IF(ISNUMBER(SEARCH("EMPATE",S2)),G2,H2))-1),IF(ISNUMBER(SEARCH("[PERDIDA]",S2)),-U2,0))),0)+IFERROR(IF(V2=0,0,IF(ISNUMBER(SEARCH("[GANADA]",T2)),V2*(IF(ISNUMBER(SEARCH("OVER",T2)),I2,J2)-1),IF(ISNUMBER(SEARCH("[PERDIDA]",T2)),-V2,0))),0)</f>
        <v/>
      </c>
      <c r="Y2" s="6">
        <f>100000.0+X2</f>
        <v/>
      </c>
      <c r="Z2" s="7">
        <f>IF(OR(Q2="",R2=""),"",(L2-IF(Q2&gt;R2,1,0))^2+(M2-IF(Q2=R2,1,0))^2+(N2-IF(Q2&lt;R2,1,0))^2)</f>
        <v/>
      </c>
      <c r="AA2" s="8" t="n"/>
      <c r="AB2" s="2" t="inlineStr">
        <is>
          <t>NO</t>
        </is>
      </c>
    </row>
    <row r="3">
      <c r="A3" s="2" t="inlineStr">
        <is>
          <t>01/04/2026</t>
        </is>
      </c>
      <c r="B3" s="3" t="inlineStr">
        <is>
          <t>2026-04-01botafogomirassol</t>
        </is>
      </c>
      <c r="C3" s="3" t="inlineStr">
        <is>
          <t>Botafogo vs Mirassol</t>
        </is>
      </c>
      <c r="D3" s="3" t="inlineStr">
        <is>
          <t>Botafogo</t>
        </is>
      </c>
      <c r="E3" s="3" t="inlineStr">
        <is>
          <t>Mirassol</t>
        </is>
      </c>
      <c r="F3" s="4" t="n">
        <v>2.51</v>
      </c>
      <c r="G3" s="4" t="n">
        <v>3.13</v>
      </c>
      <c r="H3" s="4" t="n">
        <v>2.95</v>
      </c>
      <c r="I3" s="4" t="n">
        <v>2.21</v>
      </c>
      <c r="J3" s="4" t="n">
        <v>1.7</v>
      </c>
      <c r="K3" s="2" t="inlineStr">
        <is>
          <t>Brasil</t>
        </is>
      </c>
      <c r="L3" s="5" t="n">
        <v>0.4827886646873569</v>
      </c>
      <c r="M3" s="5" t="n">
        <v>0.2512966792986987</v>
      </c>
      <c r="N3" s="5" t="n">
        <v>0.2659146560139444</v>
      </c>
      <c r="O3" s="5" t="n">
        <v>0.5434962545008356</v>
      </c>
      <c r="P3" s="5" t="n">
        <v>0.4565037454991643</v>
      </c>
      <c r="Q3" s="2" t="n">
        <v>3</v>
      </c>
      <c r="R3" s="2" t="n">
        <v>2</v>
      </c>
      <c r="S3" s="3" t="inlineStr">
        <is>
          <t>[GANADA] LOCAL</t>
        </is>
      </c>
      <c r="T3" s="3" t="inlineStr">
        <is>
          <t>[PASAR] Margen Predictivo O/U Insuficiente (&lt;15%)</t>
        </is>
      </c>
      <c r="U3" s="6" t="n">
        <v>1250</v>
      </c>
      <c r="V3" s="6" t="n">
        <v>0</v>
      </c>
      <c r="W3" s="3">
        <f>IF(L3="","",IF((MAX(L3,M3,N3)-MEDIAN(L3,M3,N3))&gt;0.05,IF(OR(Q3="",R3=""),"[PREDICCION] "&amp;IF(L3=MAX(L3,M3,N3),"LOCAL",IF(M3=MAX(L3,M3,N3),"EMPATE","VISITA")),IF(L3=MAX(L3,M3,N3),IF(Q3&gt;R3,"[ACIERTO]","[FALLO]"),IF(M3=MAX(L3,M3,N3),IF(Q3=R3,"[ACIERTO]","[FALLO]"),IF(Q3&lt;R3,"[ACIERTO]","[FALLO]")))),"[PASAR] Margen Insuf"))</f>
        <v/>
      </c>
      <c r="X3" s="6">
        <f>IFERROR(IF(U3=0,0,IF(ISNUMBER(SEARCH("[GANADA]",S3)),U3*(IF(ISNUMBER(SEARCH("LOCAL",S3)),F3,IF(ISNUMBER(SEARCH("EMPATE",S3)),G3,H3))-1),IF(ISNUMBER(SEARCH("[PERDIDA]",S3)),-U3,0))),0)+IFERROR(IF(V3=0,0,IF(ISNUMBER(SEARCH("[GANADA]",T3)),V3*(IF(ISNUMBER(SEARCH("OVER",T3)),I3,J3)-1),IF(ISNUMBER(SEARCH("[PERDIDA]",T3)),-V3,0))),0)</f>
        <v/>
      </c>
      <c r="Y3" s="6">
        <f>Y2+X3</f>
        <v/>
      </c>
      <c r="Z3" s="7">
        <f>IF(OR(Q3="",R3=""),"",(L3-IF(Q3&gt;R3,1,0))^2+(M3-IF(Q3=R3,1,0))^2+(N3-IF(Q3&lt;R3,1,0))^2)</f>
        <v/>
      </c>
      <c r="AA3" s="8" t="n"/>
      <c r="AB3" s="2" t="inlineStr">
        <is>
          <t>NO</t>
        </is>
      </c>
    </row>
    <row r="4">
      <c r="A4" s="2" t="inlineStr">
        <is>
          <t>01/04/2026</t>
        </is>
      </c>
      <c r="B4" s="3" t="inlineStr">
        <is>
          <t>2026-04-01coritibavascodagama</t>
        </is>
      </c>
      <c r="C4" s="3" t="inlineStr">
        <is>
          <t>Coritiba vs Vasco da Gama</t>
        </is>
      </c>
      <c r="D4" s="3" t="inlineStr">
        <is>
          <t>Coritiba</t>
        </is>
      </c>
      <c r="E4" s="3" t="inlineStr">
        <is>
          <t>Vasco da Gama</t>
        </is>
      </c>
      <c r="F4" s="4" t="n">
        <v>2.7</v>
      </c>
      <c r="G4" s="4" t="n">
        <v>3.07</v>
      </c>
      <c r="H4" s="4" t="n">
        <v>2.95</v>
      </c>
      <c r="I4" s="4" t="n">
        <v>2.23</v>
      </c>
      <c r="J4" s="4" t="n">
        <v>1.68</v>
      </c>
      <c r="K4" s="2" t="inlineStr">
        <is>
          <t>Brasil</t>
        </is>
      </c>
      <c r="L4" s="5" t="n">
        <v>0.4358142186065552</v>
      </c>
      <c r="M4" s="5" t="n">
        <v>0.2565066179178108</v>
      </c>
      <c r="N4" s="5" t="n">
        <v>0.307679163475634</v>
      </c>
      <c r="O4" s="5" t="n">
        <v>0.5449423545554228</v>
      </c>
      <c r="P4" s="5" t="n">
        <v>0.4550576454445772</v>
      </c>
      <c r="Q4" s="2" t="n">
        <v>1</v>
      </c>
      <c r="R4" s="2" t="n">
        <v>1</v>
      </c>
      <c r="S4" s="3" t="inlineStr">
        <is>
          <t>[PERDIDA] LOCAL</t>
        </is>
      </c>
      <c r="T4" s="3" t="inlineStr">
        <is>
          <t>[PASAR] Margen Predictivo O/U Insuficiente (&lt;15%)</t>
        </is>
      </c>
      <c r="U4" s="6" t="n">
        <v>1250</v>
      </c>
      <c r="V4" s="6" t="n">
        <v>0</v>
      </c>
      <c r="W4" s="3">
        <f>IF(L4="","",IF((MAX(L4,M4,N4)-MEDIAN(L4,M4,N4))&gt;0.05,IF(OR(Q4="",R4=""),"[PREDICCION] "&amp;IF(L4=MAX(L4,M4,N4),"LOCAL",IF(M4=MAX(L4,M4,N4),"EMPATE","VISITA")),IF(L4=MAX(L4,M4,N4),IF(Q4&gt;R4,"[ACIERTO]","[FALLO]"),IF(M4=MAX(L4,M4,N4),IF(Q4=R4,"[ACIERTO]","[FALLO]"),IF(Q4&lt;R4,"[ACIERTO]","[FALLO]")))),"[PASAR] Margen Insuf"))</f>
        <v/>
      </c>
      <c r="X4" s="6">
        <f>IFERROR(IF(U4=0,0,IF(ISNUMBER(SEARCH("[GANADA]",S4)),U4*(IF(ISNUMBER(SEARCH("LOCAL",S4)),F4,IF(ISNUMBER(SEARCH("EMPATE",S4)),G4,H4))-1),IF(ISNUMBER(SEARCH("[PERDIDA]",S4)),-U4,0))),0)+IFERROR(IF(V4=0,0,IF(ISNUMBER(SEARCH("[GANADA]",T4)),V4*(IF(ISNUMBER(SEARCH("OVER",T4)),I4,J4)-1),IF(ISNUMBER(SEARCH("[PERDIDA]",T4)),-V4,0))),0)</f>
        <v/>
      </c>
      <c r="Y4" s="6">
        <f>Y3+X4</f>
        <v/>
      </c>
      <c r="Z4" s="7">
        <f>IF(OR(Q4="",R4=""),"",(L4-IF(Q4&gt;R4,1,0))^2+(M4-IF(Q4=R4,1,0))^2+(N4-IF(Q4&lt;R4,1,0))^2)</f>
        <v/>
      </c>
      <c r="AA4" s="8" t="n"/>
      <c r="AB4" s="2" t="inlineStr">
        <is>
          <t>NO</t>
        </is>
      </c>
    </row>
    <row r="5">
      <c r="A5" s="2" t="inlineStr">
        <is>
          <t>01/04/2026</t>
        </is>
      </c>
      <c r="B5" s="3" t="inlineStr">
        <is>
          <t>2026-04-01cruzeirovitoria</t>
        </is>
      </c>
      <c r="C5" s="3" t="inlineStr">
        <is>
          <t>Cruzeiro vs Vitória</t>
        </is>
      </c>
      <c r="D5" s="3" t="inlineStr">
        <is>
          <t>Cruzeiro</t>
        </is>
      </c>
      <c r="E5" s="3" t="inlineStr">
        <is>
          <t>Vitória</t>
        </is>
      </c>
      <c r="F5" s="4" t="n">
        <v>1.53</v>
      </c>
      <c r="G5" s="4" t="n">
        <v>4.1</v>
      </c>
      <c r="H5" s="4" t="n">
        <v>7.19</v>
      </c>
      <c r="I5" s="4" t="n">
        <v>2.04</v>
      </c>
      <c r="J5" s="4" t="n">
        <v>1.85</v>
      </c>
      <c r="K5" s="2" t="inlineStr">
        <is>
          <t>Brasil</t>
        </is>
      </c>
      <c r="L5" s="5" t="n">
        <v>0.5632474055848253</v>
      </c>
      <c r="M5" s="5" t="n">
        <v>0.2384298779432382</v>
      </c>
      <c r="N5" s="5" t="n">
        <v>0.1983227164719363</v>
      </c>
      <c r="O5" s="5" t="n">
        <v>0.5291932149801006</v>
      </c>
      <c r="P5" s="5" t="n">
        <v>0.4708067850198994</v>
      </c>
      <c r="Q5" s="2" t="n">
        <v>3</v>
      </c>
      <c r="R5" s="2" t="n">
        <v>0</v>
      </c>
      <c r="S5" s="3" t="inlineStr">
        <is>
          <t>[PASAR] Sin Valor</t>
        </is>
      </c>
      <c r="T5" s="3" t="inlineStr">
        <is>
          <t>[PASAR] Margen Predictivo O/U Insuficiente (&lt;15%)</t>
        </is>
      </c>
      <c r="U5" s="6" t="n">
        <v>0</v>
      </c>
      <c r="V5" s="6" t="n">
        <v>0</v>
      </c>
      <c r="W5" s="3">
        <f>IF(L5="","",IF((MAX(L5,M5,N5)-MEDIAN(L5,M5,N5))&gt;0.05,IF(OR(Q5="",R5=""),"[PREDICCION] "&amp;IF(L5=MAX(L5,M5,N5),"LOCAL",IF(M5=MAX(L5,M5,N5),"EMPATE","VISITA")),IF(L5=MAX(L5,M5,N5),IF(Q5&gt;R5,"[ACIERTO]","[FALLO]"),IF(M5=MAX(L5,M5,N5),IF(Q5=R5,"[ACIERTO]","[FALLO]"),IF(Q5&lt;R5,"[ACIERTO]","[FALLO]")))),"[PASAR] Margen Insuf"))</f>
        <v/>
      </c>
      <c r="X5" s="6">
        <f>IFERROR(IF(U5=0,0,IF(ISNUMBER(SEARCH("[GANADA]",S5)),U5*(IF(ISNUMBER(SEARCH("LOCAL",S5)),F5,IF(ISNUMBER(SEARCH("EMPATE",S5)),G5,H5))-1),IF(ISNUMBER(SEARCH("[PERDIDA]",S5)),-U5,0))),0)+IFERROR(IF(V5=0,0,IF(ISNUMBER(SEARCH("[GANADA]",T5)),V5*(IF(ISNUMBER(SEARCH("OVER",T5)),I5,J5)-1),IF(ISNUMBER(SEARCH("[PERDIDA]",T5)),-V5,0))),0)</f>
        <v/>
      </c>
      <c r="Y5" s="6">
        <f>Y4+X5</f>
        <v/>
      </c>
      <c r="Z5" s="7">
        <f>IF(OR(Q5="",R5=""),"",(L5-IF(Q5&gt;R5,1,0))^2+(M5-IF(Q5=R5,1,0))^2+(N5-IF(Q5&lt;R5,1,0))^2)</f>
        <v/>
      </c>
      <c r="AA5" s="8" t="n"/>
      <c r="AB5" s="2" t="inlineStr">
        <is>
          <t>NO</t>
        </is>
      </c>
    </row>
    <row r="6">
      <c r="A6" s="2" t="inlineStr">
        <is>
          <t>01/04/2026</t>
        </is>
      </c>
      <c r="B6" s="3" t="inlineStr">
        <is>
          <t>2026-04-01fluminensecorinthians</t>
        </is>
      </c>
      <c r="C6" s="3" t="inlineStr">
        <is>
          <t>Fluminense vs Corinthians</t>
        </is>
      </c>
      <c r="D6" s="3" t="inlineStr">
        <is>
          <t>Fluminense</t>
        </is>
      </c>
      <c r="E6" s="3" t="inlineStr">
        <is>
          <t>Corinthians</t>
        </is>
      </c>
      <c r="F6" s="4" t="n">
        <v>5.83</v>
      </c>
      <c r="G6" s="4" t="n">
        <v>3.57</v>
      </c>
      <c r="H6" s="4" t="n">
        <v>1.71</v>
      </c>
      <c r="I6" s="4" t="n">
        <v>2.33</v>
      </c>
      <c r="J6" s="4" t="n">
        <v>1.63</v>
      </c>
      <c r="K6" s="2" t="inlineStr">
        <is>
          <t>Brasil</t>
        </is>
      </c>
      <c r="L6" s="5" t="n">
        <v>0.5235415322364162</v>
      </c>
      <c r="M6" s="5" t="n">
        <v>0.2701965479983924</v>
      </c>
      <c r="N6" s="5" t="n">
        <v>0.2062619197651913</v>
      </c>
      <c r="O6" s="5" t="n">
        <v>0.4207519190896275</v>
      </c>
      <c r="P6" s="5" t="n">
        <v>0.5792480809103725</v>
      </c>
      <c r="Q6" s="2" t="n">
        <v>3</v>
      </c>
      <c r="R6" s="2" t="n">
        <v>1</v>
      </c>
      <c r="S6" s="3" t="inlineStr">
        <is>
          <t>[PASAR] Sin Valor</t>
        </is>
      </c>
      <c r="T6" s="3" t="inlineStr">
        <is>
          <t>[PASAR] Sin Valor</t>
        </is>
      </c>
      <c r="U6" s="6" t="n">
        <v>0</v>
      </c>
      <c r="V6" s="6" t="n">
        <v>0</v>
      </c>
      <c r="W6" s="3">
        <f>IF(L6="","",IF((MAX(L6,M6,N6)-MEDIAN(L6,M6,N6))&gt;0.05,IF(OR(Q6="",R6=""),"[PREDICCION] "&amp;IF(L6=MAX(L6,M6,N6),"LOCAL",IF(M6=MAX(L6,M6,N6),"EMPATE","VISITA")),IF(L6=MAX(L6,M6,N6),IF(Q6&gt;R6,"[ACIERTO]","[FALLO]"),IF(M6=MAX(L6,M6,N6),IF(Q6=R6,"[ACIERTO]","[FALLO]"),IF(Q6&lt;R6,"[ACIERTO]","[FALLO]")))),"[PASAR] Margen Insuf"))</f>
        <v/>
      </c>
      <c r="X6" s="6">
        <f>IFERROR(IF(U6=0,0,IF(ISNUMBER(SEARCH("[GANADA]",S6)),U6*(IF(ISNUMBER(SEARCH("LOCAL",S6)),F6,IF(ISNUMBER(SEARCH("EMPATE",S6)),G6,H6))-1),IF(ISNUMBER(SEARCH("[PERDIDA]",S6)),-U6,0))),0)+IFERROR(IF(V6=0,0,IF(ISNUMBER(SEARCH("[GANADA]",T6)),V6*(IF(ISNUMBER(SEARCH("OVER",T6)),I6,J6)-1),IF(ISNUMBER(SEARCH("[PERDIDA]",T6)),-V6,0))),0)</f>
        <v/>
      </c>
      <c r="Y6" s="6">
        <f>Y5+X6</f>
        <v/>
      </c>
      <c r="Z6" s="7">
        <f>IF(OR(Q6="",R6=""),"",(L6-IF(Q6&gt;R6,1,0))^2+(M6-IF(Q6=R6,1,0))^2+(N6-IF(Q6&lt;R6,1,0))^2)</f>
        <v/>
      </c>
      <c r="AA6" s="8" t="n"/>
      <c r="AB6" s="2" t="inlineStr">
        <is>
          <t>NO</t>
        </is>
      </c>
    </row>
    <row r="7">
      <c r="A7" s="2" t="inlineStr">
        <is>
          <t>01/04/2026</t>
        </is>
      </c>
      <c r="B7" s="3" t="inlineStr">
        <is>
          <t>2026-04-01internacionalsaopaulo</t>
        </is>
      </c>
      <c r="C7" s="3" t="inlineStr">
        <is>
          <t>Internacional vs São Paulo</t>
        </is>
      </c>
      <c r="D7" s="3" t="inlineStr">
        <is>
          <t>Internacional</t>
        </is>
      </c>
      <c r="E7" s="3" t="inlineStr">
        <is>
          <t>São Paulo</t>
        </is>
      </c>
      <c r="F7" s="4" t="n">
        <v>2.31</v>
      </c>
      <c r="G7" s="4" t="n">
        <v>3.01</v>
      </c>
      <c r="H7" s="4" t="n">
        <v>3.44</v>
      </c>
      <c r="I7" s="4" t="n">
        <v>2.17</v>
      </c>
      <c r="J7" s="4" t="n">
        <v>1.72</v>
      </c>
      <c r="K7" s="2" t="inlineStr">
        <is>
          <t>Brasil</t>
        </is>
      </c>
      <c r="L7" s="5" t="n">
        <v>0.4964885772833537</v>
      </c>
      <c r="M7" s="5" t="n">
        <v>0.2695985320345707</v>
      </c>
      <c r="N7" s="5" t="n">
        <v>0.2339128906820757</v>
      </c>
      <c r="O7" s="5" t="n">
        <v>0.4477207898072098</v>
      </c>
      <c r="P7" s="5" t="n">
        <v>0.5522792101927904</v>
      </c>
      <c r="Q7" s="2" t="n">
        <v>1</v>
      </c>
      <c r="R7" s="2" t="n">
        <v>1</v>
      </c>
      <c r="S7" s="3" t="inlineStr">
        <is>
          <t>[PERDIDA] LOCAL</t>
        </is>
      </c>
      <c r="T7" s="3" t="inlineStr">
        <is>
          <t>[PASAR] Margen Predictivo O/U Insuficiente (&lt;15%)</t>
        </is>
      </c>
      <c r="U7" s="6" t="n">
        <v>1250</v>
      </c>
      <c r="V7" s="6" t="n">
        <v>0</v>
      </c>
      <c r="W7" s="3">
        <f>IF(L7="","",IF((MAX(L7,M7,N7)-MEDIAN(L7,M7,N7))&gt;0.05,IF(OR(Q7="",R7=""),"[PREDICCION] "&amp;IF(L7=MAX(L7,M7,N7),"LOCAL",IF(M7=MAX(L7,M7,N7),"EMPATE","VISITA")),IF(L7=MAX(L7,M7,N7),IF(Q7&gt;R7,"[ACIERTO]","[FALLO]"),IF(M7=MAX(L7,M7,N7),IF(Q7=R7,"[ACIERTO]","[FALLO]"),IF(Q7&lt;R7,"[ACIERTO]","[FALLO]")))),"[PASAR] Margen Insuf"))</f>
        <v/>
      </c>
      <c r="X7" s="6">
        <f>IFERROR(IF(U7=0,0,IF(ISNUMBER(SEARCH("[GANADA]",S7)),U7*(IF(ISNUMBER(SEARCH("LOCAL",S7)),F7,IF(ISNUMBER(SEARCH("EMPATE",S7)),G7,H7))-1),IF(ISNUMBER(SEARCH("[PERDIDA]",S7)),-U7,0))),0)+IFERROR(IF(V7=0,0,IF(ISNUMBER(SEARCH("[GANADA]",T7)),V7*(IF(ISNUMBER(SEARCH("OVER",T7)),I7,J7)-1),IF(ISNUMBER(SEARCH("[PERDIDA]",T7)),-V7,0))),0)</f>
        <v/>
      </c>
      <c r="Y7" s="6">
        <f>Y6+X7</f>
        <v/>
      </c>
      <c r="Z7" s="7">
        <f>IF(OR(Q7="",R7=""),"",(L7-IF(Q7&gt;R7,1,0))^2+(M7-IF(Q7=R7,1,0))^2+(N7-IF(Q7&lt;R7,1,0))^2)</f>
        <v/>
      </c>
      <c r="AA7" s="8" t="n"/>
      <c r="AB7" s="2" t="inlineStr">
        <is>
          <t>NO</t>
        </is>
      </c>
    </row>
    <row r="8">
      <c r="A8" s="2" t="inlineStr">
        <is>
          <t>01/04/2026</t>
        </is>
      </c>
      <c r="B8" s="3" t="inlineStr">
        <is>
          <t>2026-04-01lanusplatense</t>
        </is>
      </c>
      <c r="C8" s="3" t="inlineStr">
        <is>
          <t>Lanús vs Platense</t>
        </is>
      </c>
      <c r="D8" s="3" t="inlineStr">
        <is>
          <t>Lanús</t>
        </is>
      </c>
      <c r="E8" s="3" t="inlineStr">
        <is>
          <t>Platense</t>
        </is>
      </c>
      <c r="F8" s="4" t="n">
        <v>2.24</v>
      </c>
      <c r="G8" s="4" t="n">
        <v>2.94</v>
      </c>
      <c r="H8" s="4" t="n">
        <v>4.04</v>
      </c>
      <c r="I8" s="4" t="n"/>
      <c r="J8" s="4" t="n"/>
      <c r="K8" s="2" t="inlineStr">
        <is>
          <t>Argentina</t>
        </is>
      </c>
      <c r="L8" s="5" t="n">
        <v>0.4341466229276166</v>
      </c>
      <c r="M8" s="5" t="n">
        <v>0.2916865937645456</v>
      </c>
      <c r="N8" s="5" t="n">
        <v>0.2741667833078378</v>
      </c>
      <c r="O8" s="5" t="n">
        <v>0.408283532473147</v>
      </c>
      <c r="P8" s="5" t="n">
        <v>0.591716467526853</v>
      </c>
      <c r="Q8" s="2" t="n">
        <v>0</v>
      </c>
      <c r="R8" s="2" t="n">
        <v>0</v>
      </c>
      <c r="S8" s="3" t="inlineStr">
        <is>
          <t>[PERDIDA] VISITA</t>
        </is>
      </c>
      <c r="T8" s="3" t="inlineStr">
        <is>
          <t>[PASAR] Sin Cuotas</t>
        </is>
      </c>
      <c r="U8" s="6" t="n">
        <v>2500</v>
      </c>
      <c r="V8" s="6" t="n">
        <v>0</v>
      </c>
      <c r="W8" s="3">
        <f>IF(L8="","",IF((MAX(L8,M8,N8)-MEDIAN(L8,M8,N8))&gt;0.05,IF(OR(Q8="",R8=""),"[PREDICCION] "&amp;IF(L8=MAX(L8,M8,N8),"LOCAL",IF(M8=MAX(L8,M8,N8),"EMPATE","VISITA")),IF(L8=MAX(L8,M8,N8),IF(Q8&gt;R8,"[ACIERTO]","[FALLO]"),IF(M8=MAX(L8,M8,N8),IF(Q8=R8,"[ACIERTO]","[FALLO]"),IF(Q8&lt;R8,"[ACIERTO]","[FALLO]")))),"[PASAR] Margen Insuf"))</f>
        <v/>
      </c>
      <c r="X8" s="6">
        <f>IFERROR(IF(U8=0,0,IF(ISNUMBER(SEARCH("[GANADA]",S8)),U8*(IF(ISNUMBER(SEARCH("LOCAL",S8)),F8,IF(ISNUMBER(SEARCH("EMPATE",S8)),G8,H8))-1),IF(ISNUMBER(SEARCH("[PERDIDA]",S8)),-U8,0))),0)+IFERROR(IF(V8=0,0,IF(ISNUMBER(SEARCH("[GANADA]",T8)),V8*(IF(ISNUMBER(SEARCH("OVER",T8)),I8,J8)-1),IF(ISNUMBER(SEARCH("[PERDIDA]",T8)),-V8,0))),0)</f>
        <v/>
      </c>
      <c r="Y8" s="6">
        <f>Y7+X8</f>
        <v/>
      </c>
      <c r="Z8" s="7">
        <f>IF(OR(Q8="",R8=""),"",(L8-IF(Q8&gt;R8,1,0))^2+(M8-IF(Q8=R8,1,0))^2+(N8-IF(Q8&lt;R8,1,0))^2)</f>
        <v/>
      </c>
      <c r="AA8" s="8" t="n"/>
      <c r="AB8" s="2" t="inlineStr">
        <is>
          <t>NO</t>
        </is>
      </c>
    </row>
    <row r="9">
      <c r="A9" s="2" t="inlineStr">
        <is>
          <t>01/04/2026</t>
        </is>
      </c>
      <c r="B9" s="3" t="inlineStr">
        <is>
          <t>2026-04-02fluminensecorinthians</t>
        </is>
      </c>
      <c r="C9" s="3" t="inlineStr">
        <is>
          <t>Fluminense vs Corinthians</t>
        </is>
      </c>
      <c r="D9" s="3" t="inlineStr">
        <is>
          <t>Fluminense</t>
        </is>
      </c>
      <c r="E9" s="3" t="inlineStr">
        <is>
          <t>Corinthians</t>
        </is>
      </c>
      <c r="F9" s="4" t="n">
        <v>5.83</v>
      </c>
      <c r="G9" s="4" t="n">
        <v>3.57</v>
      </c>
      <c r="H9" s="4" t="n">
        <v>1.71</v>
      </c>
      <c r="I9" s="4" t="n"/>
      <c r="J9" s="4" t="n"/>
      <c r="K9" s="2" t="inlineStr">
        <is>
          <t>Brasil</t>
        </is>
      </c>
      <c r="L9" s="5" t="n">
        <v>0.5157194503278281</v>
      </c>
      <c r="M9" s="5" t="n">
        <v>0.2239410019469031</v>
      </c>
      <c r="N9" s="5" t="n">
        <v>0.2603395477252687</v>
      </c>
      <c r="O9" s="5" t="n">
        <v>0.659164336345094</v>
      </c>
      <c r="P9" s="5" t="n">
        <v>0.340835663654906</v>
      </c>
      <c r="Q9" s="2" t="n">
        <v>3</v>
      </c>
      <c r="R9" s="2" t="n">
        <v>1</v>
      </c>
      <c r="S9" s="3" t="inlineStr">
        <is>
          <t>[PASAR] Sin Valor</t>
        </is>
      </c>
      <c r="T9" s="3" t="inlineStr">
        <is>
          <t>[PASAR] Sin Cuotas</t>
        </is>
      </c>
      <c r="U9" s="6" t="n">
        <v>0</v>
      </c>
      <c r="V9" s="6" t="n">
        <v>0</v>
      </c>
      <c r="W9" s="3">
        <f>IF(L9="","",IF((MAX(L9,M9,N9)-MEDIAN(L9,M9,N9))&gt;0.05,IF(OR(Q9="",R9=""),"[PREDICCION] "&amp;IF(L9=MAX(L9,M9,N9),"LOCAL",IF(M9=MAX(L9,M9,N9),"EMPATE","VISITA")),IF(L9=MAX(L9,M9,N9),IF(Q9&gt;R9,"[ACIERTO]","[FALLO]"),IF(M9=MAX(L9,M9,N9),IF(Q9=R9,"[ACIERTO]","[FALLO]"),IF(Q9&lt;R9,"[ACIERTO]","[FALLO]")))),"[PASAR] Margen Insuf"))</f>
        <v/>
      </c>
      <c r="X9" s="6">
        <f>IFERROR(IF(U9=0,0,IF(ISNUMBER(SEARCH("[GANADA]",S9)),U9*(IF(ISNUMBER(SEARCH("LOCAL",S9)),F9,IF(ISNUMBER(SEARCH("EMPATE",S9)),G9,H9))-1),IF(ISNUMBER(SEARCH("[PERDIDA]",S9)),-U9,0))),0)+IFERROR(IF(V9=0,0,IF(ISNUMBER(SEARCH("[GANADA]",T9)),V9*(IF(ISNUMBER(SEARCH("OVER",T9)),I9,J9)-1),IF(ISNUMBER(SEARCH("[PERDIDA]",T9)),-V9,0))),0)</f>
        <v/>
      </c>
      <c r="Y9" s="6">
        <f>Y8+X9</f>
        <v/>
      </c>
      <c r="Z9" s="7">
        <f>IF(OR(Q9="",R9=""),"",(L9-IF(Q9&gt;R9,1,0))^2+(M9-IF(Q9=R9,1,0))^2+(N9-IF(Q9&lt;R9,1,0))^2)</f>
        <v/>
      </c>
      <c r="AA9" s="8" t="n"/>
      <c r="AB9" s="2" t="inlineStr">
        <is>
          <t>NO</t>
        </is>
      </c>
    </row>
    <row r="10">
      <c r="A10" s="2" t="inlineStr">
        <is>
          <t>02/04/2026</t>
        </is>
      </c>
      <c r="B10" s="3" t="inlineStr">
        <is>
          <t>2026-04-02barracascentralsarmientojunin</t>
        </is>
      </c>
      <c r="C10" s="3" t="inlineStr">
        <is>
          <t>Barracas Central vs Sarmiento (junin)</t>
        </is>
      </c>
      <c r="D10" s="3" t="inlineStr">
        <is>
          <t>Barracas Central</t>
        </is>
      </c>
      <c r="E10" s="3" t="inlineStr">
        <is>
          <t>Sarmiento (junin)</t>
        </is>
      </c>
      <c r="F10" s="4" t="n">
        <v>2.67</v>
      </c>
      <c r="G10" s="4" t="n">
        <v>2.84</v>
      </c>
      <c r="H10" s="4" t="n">
        <v>3.27</v>
      </c>
      <c r="I10" s="4" t="n"/>
      <c r="J10" s="4" t="n"/>
      <c r="K10" s="2" t="inlineStr">
        <is>
          <t>Argentina</t>
        </is>
      </c>
      <c r="L10" s="5" t="n">
        <v>0.4631610971338595</v>
      </c>
      <c r="M10" s="5" t="n">
        <v>0.2749680430095705</v>
      </c>
      <c r="N10" s="5" t="n">
        <v>0.26187085985657</v>
      </c>
      <c r="O10" s="5" t="n">
        <v>0.4607938128029536</v>
      </c>
      <c r="P10" s="5" t="n">
        <v>0.5392061871970464</v>
      </c>
      <c r="Q10" s="8" t="n"/>
      <c r="R10" s="8" t="n"/>
      <c r="S10" s="3">
        <f>IF(OR(Q10="",R10=""),"[APOSTAR] LOCAL",IF(Q10&gt;R10,"[GANADA] LOCAL","[PERDIDA] LOCAL"))</f>
        <v/>
      </c>
      <c r="T10" s="3" t="inlineStr">
        <is>
          <t>[PASAR] Sin Cuotas</t>
        </is>
      </c>
      <c r="U10" s="6" t="n">
        <v>1767.77</v>
      </c>
      <c r="V10" s="6" t="n">
        <v>0</v>
      </c>
      <c r="W10" s="3">
        <f>IF(L10="","",IF((MAX(L10,M10,N10)-MEDIAN(L10,M10,N10))&gt;0.05,IF(OR(Q10="",R10=""),"[PREDICCION] "&amp;IF(L10=MAX(L10,M10,N10),"LOCAL",IF(M10=MAX(L10,M10,N10),"EMPATE","VISITA")),IF(L10=MAX(L10,M10,N10),IF(Q10&gt;R10,"[ACIERTO]","[FALLO]"),IF(M10=MAX(L10,M10,N10),IF(Q10=R10,"[ACIERTO]","[FALLO]"),IF(Q10&lt;R10,"[ACIERTO]","[FALLO]")))),"[PASAR] Margen Insuf"))</f>
        <v/>
      </c>
      <c r="X10" s="6">
        <f>IFERROR(IF(U10=0,0,IF(ISNUMBER(SEARCH("[GANADA]",S10)),U10*(IF(ISNUMBER(SEARCH("LOCAL",S10)),F10,IF(ISNUMBER(SEARCH("EMPATE",S10)),G10,H10))-1),IF(ISNUMBER(SEARCH("[PERDIDA]",S10)),-U10,0))),0)+IFERROR(IF(V10=0,0,IF(ISNUMBER(SEARCH("[GANADA]",T10)),V10*(IF(ISNUMBER(SEARCH("OVER",T10)),I10,J10)-1),IF(ISNUMBER(SEARCH("[PERDIDA]",T10)),-V10,0))),0)</f>
        <v/>
      </c>
      <c r="Y10" s="6">
        <f>Y9+X10</f>
        <v/>
      </c>
      <c r="Z10" s="7">
        <f>IF(OR(Q10="",R10=""),"",(L10-IF(Q10&gt;R10,1,0))^2+(M10-IF(Q10=R10,1,0))^2+(N10-IF(Q10&lt;R10,1,0))^2)</f>
        <v/>
      </c>
      <c r="AA10" s="9" t="n">
        <v>0.6324</v>
      </c>
      <c r="AB10" s="2" t="inlineStr">
        <is>
          <t>NO</t>
        </is>
      </c>
    </row>
    <row r="11">
      <c r="A11" s="2" t="inlineStr">
        <is>
          <t>02/04/2026</t>
        </is>
      </c>
      <c r="B11" s="3" t="inlineStr">
        <is>
          <t>2026-04-02chapecoenseatleticomg</t>
        </is>
      </c>
      <c r="C11" s="3" t="inlineStr">
        <is>
          <t>Chapecoense vs Atlético-mg</t>
        </is>
      </c>
      <c r="D11" s="3" t="inlineStr">
        <is>
          <t>Chapecoense</t>
        </is>
      </c>
      <c r="E11" s="3" t="inlineStr">
        <is>
          <t>Atlético-mg</t>
        </is>
      </c>
      <c r="F11" s="4" t="n">
        <v>2.47</v>
      </c>
      <c r="G11" s="4" t="n">
        <v>3.4</v>
      </c>
      <c r="H11" s="4" t="n">
        <v>2.87</v>
      </c>
      <c r="I11" s="4" t="n"/>
      <c r="J11" s="4" t="n"/>
      <c r="K11" s="2" t="inlineStr">
        <is>
          <t>Brasil</t>
        </is>
      </c>
      <c r="L11" s="5" t="n">
        <v>0.4508135647270181</v>
      </c>
      <c r="M11" s="5" t="n">
        <v>0.2725414129728858</v>
      </c>
      <c r="N11" s="5" t="n">
        <v>0.276645022300096</v>
      </c>
      <c r="O11" s="5" t="n">
        <v>0.4658949957692715</v>
      </c>
      <c r="P11" s="5" t="n">
        <v>0.5341050042307285</v>
      </c>
      <c r="Q11" s="8" t="n"/>
      <c r="R11" s="8" t="n"/>
      <c r="S11" s="3">
        <f>IF(OR(Q11="",R11=""),"[APOSTAR] LOCAL",IF(Q11&gt;R11,"[GANADA] LOCAL","[PERDIDA] LOCAL"))</f>
        <v/>
      </c>
      <c r="T11" s="3" t="inlineStr">
        <is>
          <t>[PASAR] Sin Cuotas</t>
        </is>
      </c>
      <c r="U11" s="6" t="n">
        <v>2500</v>
      </c>
      <c r="V11" s="6" t="n">
        <v>0</v>
      </c>
      <c r="W11" s="3">
        <f>IF(L11="","",IF((MAX(L11,M11,N11)-MEDIAN(L11,M11,N11))&gt;0.05,IF(OR(Q11="",R11=""),"[PREDICCION] "&amp;IF(L11=MAX(L11,M11,N11),"LOCAL",IF(M11=MAX(L11,M11,N11),"EMPATE","VISITA")),IF(L11=MAX(L11,M11,N11),IF(Q11&gt;R11,"[ACIERTO]","[FALLO]"),IF(M11=MAX(L11,M11,N11),IF(Q11=R11,"[ACIERTO]","[FALLO]"),IF(Q11&lt;R11,"[ACIERTO]","[FALLO]")))),"[PASAR] Margen Insuf"))</f>
        <v/>
      </c>
      <c r="X11" s="6">
        <f>IFERROR(IF(U11=0,0,IF(ISNUMBER(SEARCH("[GANADA]",S11)),U11*(IF(ISNUMBER(SEARCH("LOCAL",S11)),F11,IF(ISNUMBER(SEARCH("EMPATE",S11)),G11,H11))-1),IF(ISNUMBER(SEARCH("[PERDIDA]",S11)),-U11,0))),0)+IFERROR(IF(V11=0,0,IF(ISNUMBER(SEARCH("[GANADA]",T11)),V11*(IF(ISNUMBER(SEARCH("OVER",T11)),I11,J11)-1),IF(ISNUMBER(SEARCH("[PERDIDA]",T11)),-V11,0))),0)</f>
        <v/>
      </c>
      <c r="Y11" s="6">
        <f>Y10+X11</f>
        <v/>
      </c>
      <c r="Z11" s="7">
        <f>IF(OR(Q11="",R11=""),"",(L11-IF(Q11&gt;R11,1,0))^2+(M11-IF(Q11=R11,1,0))^2+(N11-IF(Q11&lt;R11,1,0))^2)</f>
        <v/>
      </c>
      <c r="AA11" s="9" t="n">
        <v>0.7455000000000001</v>
      </c>
      <c r="AB11" s="2" t="inlineStr">
        <is>
          <t>NO</t>
        </is>
      </c>
    </row>
    <row r="12">
      <c r="A12" s="2" t="inlineStr">
        <is>
          <t>02/04/2026</t>
        </is>
      </c>
      <c r="B12" s="3" t="inlineStr">
        <is>
          <t>2026-04-02palmeirasgremio</t>
        </is>
      </c>
      <c r="C12" s="3" t="inlineStr">
        <is>
          <t>Palmeiras vs Grêmio</t>
        </is>
      </c>
      <c r="D12" s="3" t="inlineStr">
        <is>
          <t>Palmeiras</t>
        </is>
      </c>
      <c r="E12" s="3" t="inlineStr">
        <is>
          <t>Grêmio</t>
        </is>
      </c>
      <c r="F12" s="4" t="n">
        <v>6.03</v>
      </c>
      <c r="G12" s="4" t="n">
        <v>4.24</v>
      </c>
      <c r="H12" s="4" t="n">
        <v>1.54</v>
      </c>
      <c r="I12" s="4" t="n">
        <v>1.86</v>
      </c>
      <c r="J12" s="4" t="n">
        <v>2</v>
      </c>
      <c r="K12" s="2" t="inlineStr">
        <is>
          <t>Brasil</t>
        </is>
      </c>
      <c r="L12" s="5" t="n">
        <v>0.5716490365650259</v>
      </c>
      <c r="M12" s="5" t="n">
        <v>0.2316040802089988</v>
      </c>
      <c r="N12" s="5" t="n">
        <v>0.1967468832259754</v>
      </c>
      <c r="O12" s="5" t="n">
        <v>0.5550645096264784</v>
      </c>
      <c r="P12" s="5" t="n">
        <v>0.4449354903735216</v>
      </c>
      <c r="Q12" s="8" t="n"/>
      <c r="R12" s="8" t="n"/>
      <c r="S12" s="3" t="inlineStr">
        <is>
          <t>[PASAR] Techo Cuota</t>
        </is>
      </c>
      <c r="T12" s="3" t="inlineStr">
        <is>
          <t>[PASAR] Margen Predictivo O/U Insuficiente (&lt;15%)</t>
        </is>
      </c>
      <c r="U12" s="6" t="n">
        <v>0</v>
      </c>
      <c r="V12" s="6" t="n">
        <v>0</v>
      </c>
      <c r="W12" s="3">
        <f>IF(L12="","",IF((MAX(L12,M12,N12)-MEDIAN(L12,M12,N12))&gt;0.05,IF(OR(Q12="",R12=""),"[PREDICCION] "&amp;IF(L12=MAX(L12,M12,N12),"LOCAL",IF(M12=MAX(L12,M12,N12),"EMPATE","VISITA")),IF(L12=MAX(L12,M12,N12),IF(Q12&gt;R12,"[ACIERTO]","[FALLO]"),IF(M12=MAX(L12,M12,N12),IF(Q12=R12,"[ACIERTO]","[FALLO]"),IF(Q12&lt;R12,"[ACIERTO]","[FALLO]")))),"[PASAR] Margen Insuf"))</f>
        <v/>
      </c>
      <c r="X12" s="6">
        <f>IFERROR(IF(U12=0,0,IF(ISNUMBER(SEARCH("[GANADA]",S12)),U12*(IF(ISNUMBER(SEARCH("LOCAL",S12)),F12,IF(ISNUMBER(SEARCH("EMPATE",S12)),G12,H12))-1),IF(ISNUMBER(SEARCH("[PERDIDA]",S12)),-U12,0))),0)+IFERROR(IF(V12=0,0,IF(ISNUMBER(SEARCH("[GANADA]",T12)),V12*(IF(ISNUMBER(SEARCH("OVER",T12)),I12,J12)-1),IF(ISNUMBER(SEARCH("[PERDIDA]",T12)),-V12,0))),0)</f>
        <v/>
      </c>
      <c r="Y12" s="6">
        <f>Y11+X12</f>
        <v/>
      </c>
      <c r="Z12" s="7">
        <f>IF(OR(Q12="",R12=""),"",(L12-IF(Q12&gt;R12,1,0))^2+(M12-IF(Q12=R12,1,0))^2+(N12-IF(Q12&lt;R12,1,0))^2)</f>
        <v/>
      </c>
      <c r="AA12" s="9" t="n">
        <v>0.9016</v>
      </c>
      <c r="AB12" s="2" t="inlineStr">
        <is>
          <t>NO</t>
        </is>
      </c>
    </row>
    <row r="13">
      <c r="A13" s="2" t="inlineStr">
        <is>
          <t>02/04/2026</t>
        </is>
      </c>
      <c r="B13" s="3" t="inlineStr">
        <is>
          <t>2026-04-02redbullbragantinoflamengo</t>
        </is>
      </c>
      <c r="C13" s="3" t="inlineStr">
        <is>
          <t>Red Bull Bragantino vs Flamengo</t>
        </is>
      </c>
      <c r="D13" s="3" t="inlineStr">
        <is>
          <t>Red Bull Bragantino</t>
        </is>
      </c>
      <c r="E13" s="3" t="inlineStr">
        <is>
          <t>Flamengo</t>
        </is>
      </c>
      <c r="F13" s="4" t="n">
        <v>4.42</v>
      </c>
      <c r="G13" s="4" t="n">
        <v>3.41</v>
      </c>
      <c r="H13" s="4" t="n">
        <v>1.88</v>
      </c>
      <c r="I13" s="4" t="n"/>
      <c r="J13" s="4" t="n"/>
      <c r="K13" s="2" t="inlineStr">
        <is>
          <t>Brasil</t>
        </is>
      </c>
      <c r="L13" s="5" t="n">
        <v>0.3421345096991719</v>
      </c>
      <c r="M13" s="5" t="n">
        <v>0.2719523418080652</v>
      </c>
      <c r="N13" s="5" t="n">
        <v>0.3859131484927629</v>
      </c>
      <c r="O13" s="5" t="n">
        <v>0.4900706660630247</v>
      </c>
      <c r="P13" s="5" t="n">
        <v>0.5099293339369753</v>
      </c>
      <c r="Q13" s="8" t="n"/>
      <c r="R13" s="8" t="n"/>
      <c r="S13" s="3" t="inlineStr">
        <is>
          <t>[PASAR] Margen Predictivo Insuficiente (&lt;5%)</t>
        </is>
      </c>
      <c r="T13" s="3" t="inlineStr">
        <is>
          <t>[PASAR] Sin Cuotas</t>
        </is>
      </c>
      <c r="U13" s="6" t="n">
        <v>0</v>
      </c>
      <c r="V13" s="6" t="n">
        <v>0</v>
      </c>
      <c r="W13" s="3">
        <f>IF(L13="","",IF((MAX(L13,M13,N13)-MEDIAN(L13,M13,N13))&gt;0.05,IF(OR(Q13="",R13=""),"[PREDICCION] "&amp;IF(L13=MAX(L13,M13,N13),"LOCAL",IF(M13=MAX(L13,M13,N13),"EMPATE","VISITA")),IF(L13=MAX(L13,M13,N13),IF(Q13&gt;R13,"[ACIERTO]","[FALLO]"),IF(M13=MAX(L13,M13,N13),IF(Q13=R13,"[ACIERTO]","[FALLO]"),IF(Q13&lt;R13,"[ACIERTO]","[FALLO]")))),"[PASAR] Margen Insuf"))</f>
        <v/>
      </c>
      <c r="X13" s="6">
        <f>IFERROR(IF(U13=0,0,IF(ISNUMBER(SEARCH("[GANADA]",S13)),U13*(IF(ISNUMBER(SEARCH("LOCAL",S13)),F13,IF(ISNUMBER(SEARCH("EMPATE",S13)),G13,H13))-1),IF(ISNUMBER(SEARCH("[PERDIDA]",S13)),-U13,0))),0)+IFERROR(IF(V13=0,0,IF(ISNUMBER(SEARCH("[GANADA]",T13)),V13*(IF(ISNUMBER(SEARCH("OVER",T13)),I13,J13)-1),IF(ISNUMBER(SEARCH("[PERDIDA]",T13)),-V13,0))),0)</f>
        <v/>
      </c>
      <c r="Y13" s="6">
        <f>Y12+X13</f>
        <v/>
      </c>
      <c r="Z13" s="7">
        <f>IF(OR(Q13="",R13=""),"",(L13-IF(Q13&gt;R13,1,0))^2+(M13-IF(Q13=R13,1,0))^2+(N13-IF(Q13&lt;R13,1,0))^2)</f>
        <v/>
      </c>
      <c r="AA13" s="9" t="n">
        <v>0.7808</v>
      </c>
      <c r="AB13" s="2" t="inlineStr">
        <is>
          <t>NO</t>
        </is>
      </c>
    </row>
    <row r="14">
      <c r="A14" s="2" t="inlineStr">
        <is>
          <t>02/04/2026</t>
        </is>
      </c>
      <c r="B14" s="3" t="inlineStr">
        <is>
          <t>2026-04-02santosremo</t>
        </is>
      </c>
      <c r="C14" s="3" t="inlineStr">
        <is>
          <t>Santos vs Remo</t>
        </is>
      </c>
      <c r="D14" s="3" t="inlineStr">
        <is>
          <t>Santos</t>
        </is>
      </c>
      <c r="E14" s="3" t="inlineStr">
        <is>
          <t>Remo</t>
        </is>
      </c>
      <c r="F14" s="4" t="n">
        <v>6.05</v>
      </c>
      <c r="G14" s="4" t="n">
        <v>3.87</v>
      </c>
      <c r="H14" s="4" t="n">
        <v>1.63</v>
      </c>
      <c r="I14" s="4" t="n">
        <v>1.98</v>
      </c>
      <c r="J14" s="4" t="n">
        <v>1.9</v>
      </c>
      <c r="K14" s="2" t="inlineStr">
        <is>
          <t>Brasil</t>
        </is>
      </c>
      <c r="L14" s="5" t="n">
        <v>0.4449780550473174</v>
      </c>
      <c r="M14" s="5" t="n">
        <v>0.2689601578658951</v>
      </c>
      <c r="N14" s="5" t="n">
        <v>0.2860617870867873</v>
      </c>
      <c r="O14" s="5" t="n">
        <v>0.4844515690304679</v>
      </c>
      <c r="P14" s="5" t="n">
        <v>0.5155484309695321</v>
      </c>
      <c r="Q14" s="8" t="n"/>
      <c r="R14" s="8" t="n"/>
      <c r="S14" s="3" t="inlineStr">
        <is>
          <t>[PASAR] Techo Cuota</t>
        </is>
      </c>
      <c r="T14" s="3" t="inlineStr">
        <is>
          <t>[PASAR] Margen Predictivo O/U Insuficiente (&lt;15%)</t>
        </is>
      </c>
      <c r="U14" s="6" t="n">
        <v>0</v>
      </c>
      <c r="V14" s="6" t="n">
        <v>0</v>
      </c>
      <c r="W14" s="3">
        <f>IF(L14="","",IF((MAX(L14,M14,N14)-MEDIAN(L14,M14,N14))&gt;0.05,IF(OR(Q14="",R14=""),"[PREDICCION] "&amp;IF(L14=MAX(L14,M14,N14),"LOCAL",IF(M14=MAX(L14,M14,N14),"EMPATE","VISITA")),IF(L14=MAX(L14,M14,N14),IF(Q14&gt;R14,"[ACIERTO]","[FALLO]"),IF(M14=MAX(L14,M14,N14),IF(Q14=R14,"[ACIERTO]","[FALLO]"),IF(Q14&lt;R14,"[ACIERTO]","[FALLO]")))),"[PASAR] Margen Insuf"))</f>
        <v/>
      </c>
      <c r="X14" s="6">
        <f>IFERROR(IF(U14=0,0,IF(ISNUMBER(SEARCH("[GANADA]",S14)),U14*(IF(ISNUMBER(SEARCH("LOCAL",S14)),F14,IF(ISNUMBER(SEARCH("EMPATE",S14)),G14,H14))-1),IF(ISNUMBER(SEARCH("[PERDIDA]",S14)),-U14,0))),0)+IFERROR(IF(V14=0,0,IF(ISNUMBER(SEARCH("[GANADA]",T14)),V14*(IF(ISNUMBER(SEARCH("OVER",T14)),I14,J14)-1),IF(ISNUMBER(SEARCH("[PERDIDA]",T14)),-V14,0))),0)</f>
        <v/>
      </c>
      <c r="Y14" s="6">
        <f>Y13+X14</f>
        <v/>
      </c>
      <c r="Z14" s="7">
        <f>IF(OR(Q14="",R14=""),"",(L14-IF(Q14&gt;R14,1,0))^2+(M14-IF(Q14=R14,1,0))^2+(N14-IF(Q14&lt;R14,1,0))^2)</f>
        <v/>
      </c>
      <c r="AA14" s="9" t="n">
        <v>0.67</v>
      </c>
      <c r="AB14" s="2" t="inlineStr">
        <is>
          <t>NO</t>
        </is>
      </c>
    </row>
    <row r="15">
      <c r="A15" s="2" t="inlineStr">
        <is>
          <t>02/04/2026</t>
        </is>
      </c>
      <c r="B15" s="3" t="inlineStr">
        <is>
          <t>2026-04-02tallerescordobabocajuniors</t>
        </is>
      </c>
      <c r="C15" s="3" t="inlineStr">
        <is>
          <t>Talleres (córdoba) vs Boca Juniors</t>
        </is>
      </c>
      <c r="D15" s="3" t="inlineStr">
        <is>
          <t>Talleres (córdoba)</t>
        </is>
      </c>
      <c r="E15" s="3" t="inlineStr">
        <is>
          <t>Boca Juniors</t>
        </is>
      </c>
      <c r="F15" s="4" t="n"/>
      <c r="G15" s="4" t="n"/>
      <c r="H15" s="4" t="n"/>
      <c r="I15" s="4" t="n"/>
      <c r="J15" s="4" t="n"/>
      <c r="K15" s="2" t="inlineStr">
        <is>
          <t>Argentina</t>
        </is>
      </c>
      <c r="L15" s="5" t="n">
        <v>0.3725785639949842</v>
      </c>
      <c r="M15" s="5" t="n">
        <v>0.2857380232940304</v>
      </c>
      <c r="N15" s="5" t="n">
        <v>0.3416834127109853</v>
      </c>
      <c r="O15" s="5" t="n">
        <v>0.4485968193081611</v>
      </c>
      <c r="P15" s="5" t="n">
        <v>0.5514031806918389</v>
      </c>
      <c r="Q15" s="8" t="n"/>
      <c r="R15" s="8" t="n"/>
      <c r="S15" s="3" t="inlineStr">
        <is>
          <t>[PASAR] Sin Cuotas</t>
        </is>
      </c>
      <c r="T15" s="3" t="inlineStr">
        <is>
          <t>[PASAR] Sin Cuotas</t>
        </is>
      </c>
      <c r="U15" s="6" t="n">
        <v>0</v>
      </c>
      <c r="V15" s="6" t="n">
        <v>0</v>
      </c>
      <c r="W15" s="3">
        <f>IF(L15="","",IF((MAX(L15,M15,N15)-MEDIAN(L15,M15,N15))&gt;0.05,IF(OR(Q15="",R15=""),"[PREDICCION] "&amp;IF(L15=MAX(L15,M15,N15),"LOCAL",IF(M15=MAX(L15,M15,N15),"EMPATE","VISITA")),IF(L15=MAX(L15,M15,N15),IF(Q15&gt;R15,"[ACIERTO]","[FALLO]"),IF(M15=MAX(L15,M15,N15),IF(Q15=R15,"[ACIERTO]","[FALLO]"),IF(Q15&lt;R15,"[ACIERTO]","[FALLO]")))),"[PASAR] Margen Insuf"))</f>
        <v/>
      </c>
      <c r="X15" s="6">
        <f>IFERROR(IF(U15=0,0,IF(ISNUMBER(SEARCH("[GANADA]",S15)),U15*(IF(ISNUMBER(SEARCH("LOCAL",S15)),F15,IF(ISNUMBER(SEARCH("EMPATE",S15)),G15,H15))-1),IF(ISNUMBER(SEARCH("[PERDIDA]",S15)),-U15,0))),0)+IFERROR(IF(V15=0,0,IF(ISNUMBER(SEARCH("[GANADA]",T15)),V15*(IF(ISNUMBER(SEARCH("OVER",T15)),I15,J15)-1),IF(ISNUMBER(SEARCH("[PERDIDA]",T15)),-V15,0))),0)</f>
        <v/>
      </c>
      <c r="Y15" s="6">
        <f>Y14+X15</f>
        <v/>
      </c>
      <c r="Z15" s="7">
        <f>IF(OR(Q15="",R15=""),"",(L15-IF(Q15&gt;R15,1,0))^2+(M15-IF(Q15=R15,1,0))^2+(N15-IF(Q15&lt;R15,1,0))^2)</f>
        <v/>
      </c>
      <c r="AA15" s="9" t="n">
        <v>0.5552</v>
      </c>
      <c r="AB15" s="2" t="inlineStr">
        <is>
          <t>NO</t>
        </is>
      </c>
    </row>
    <row r="16">
      <c r="A16" s="2" t="inlineStr">
        <is>
          <t>02/04/2026</t>
        </is>
      </c>
      <c r="B16" s="3" t="inlineStr">
        <is>
          <t>2026-04-02tigreindependienterivadavia</t>
        </is>
      </c>
      <c r="C16" s="3" t="inlineStr">
        <is>
          <t>Tigre vs Independiente Rivadavia</t>
        </is>
      </c>
      <c r="D16" s="3" t="inlineStr">
        <is>
          <t>Tigre</t>
        </is>
      </c>
      <c r="E16" s="3" t="inlineStr">
        <is>
          <t>Independiente Rivadavia</t>
        </is>
      </c>
      <c r="F16" s="4" t="n">
        <v>2.25</v>
      </c>
      <c r="G16" s="4" t="n">
        <v>3.07</v>
      </c>
      <c r="H16" s="4" t="n">
        <v>3.8</v>
      </c>
      <c r="I16" s="4" t="n"/>
      <c r="J16" s="4" t="n"/>
      <c r="K16" s="2" t="inlineStr">
        <is>
          <t>Argentina</t>
        </is>
      </c>
      <c r="L16" s="5" t="n">
        <v>0.3939039303760287</v>
      </c>
      <c r="M16" s="5" t="n">
        <v>0.2971577630976777</v>
      </c>
      <c r="N16" s="5" t="n">
        <v>0.3089383065262937</v>
      </c>
      <c r="O16" s="5" t="n">
        <v>0.4021034890769937</v>
      </c>
      <c r="P16" s="5" t="n">
        <v>0.5978965109230062</v>
      </c>
      <c r="Q16" s="8" t="n"/>
      <c r="R16" s="8" t="n"/>
      <c r="S16" s="3">
        <f>IF(OR(Q16="",R16=""),"[APOSTAR] VISITA",IF(Q16&lt;R16,"[GANADA] VISITA","[PERDIDA] VISITA"))</f>
        <v/>
      </c>
      <c r="T16" s="3" t="inlineStr">
        <is>
          <t>[PASAR] Sin Cuotas</t>
        </is>
      </c>
      <c r="U16" s="6" t="n">
        <v>1767.77</v>
      </c>
      <c r="V16" s="6" t="n">
        <v>0</v>
      </c>
      <c r="W16" s="3">
        <f>IF(L16="","",IF((MAX(L16,M16,N16)-MEDIAN(L16,M16,N16))&gt;0.05,IF(OR(Q16="",R16=""),"[PREDICCION] "&amp;IF(L16=MAX(L16,M16,N16),"LOCAL",IF(M16=MAX(L16,M16,N16),"EMPATE","VISITA")),IF(L16=MAX(L16,M16,N16),IF(Q16&gt;R16,"[ACIERTO]","[FALLO]"),IF(M16=MAX(L16,M16,N16),IF(Q16=R16,"[ACIERTO]","[FALLO]"),IF(Q16&lt;R16,"[ACIERTO]","[FALLO]")))),"[PASAR] Margen Insuf"))</f>
        <v/>
      </c>
      <c r="X16" s="6">
        <f>IFERROR(IF(U16=0,0,IF(ISNUMBER(SEARCH("[GANADA]",S16)),U16*(IF(ISNUMBER(SEARCH("LOCAL",S16)),F16,IF(ISNUMBER(SEARCH("EMPATE",S16)),G16,H16))-1),IF(ISNUMBER(SEARCH("[PERDIDA]",S16)),-U16,0))),0)+IFERROR(IF(V16=0,0,IF(ISNUMBER(SEARCH("[GANADA]",T16)),V16*(IF(ISNUMBER(SEARCH("OVER",T16)),I16,J16)-1),IF(ISNUMBER(SEARCH("[PERDIDA]",T16)),-V16,0))),0)</f>
        <v/>
      </c>
      <c r="Y16" s="6">
        <f>Y15+X16</f>
        <v/>
      </c>
      <c r="Z16" s="7">
        <f>IF(OR(Q16="",R16=""),"",(L16-IF(Q16&gt;R16,1,0))^2+(M16-IF(Q16=R16,1,0))^2+(N16-IF(Q16&lt;R16,1,0))^2)</f>
        <v/>
      </c>
      <c r="AA16" s="9" t="n">
        <v>0.5564</v>
      </c>
      <c r="AB16" s="2" t="inlineStr">
        <is>
          <t>NO</t>
        </is>
      </c>
    </row>
    <row r="17">
      <c r="A17" s="2" t="inlineStr">
        <is>
          <t>02/04/2026</t>
        </is>
      </c>
      <c r="B17" s="3" t="inlineStr">
        <is>
          <t>2026-04-03palmeirasgremio</t>
        </is>
      </c>
      <c r="C17" s="3" t="inlineStr">
        <is>
          <t>Palmeiras vs Gremio</t>
        </is>
      </c>
      <c r="D17" s="3" t="inlineStr">
        <is>
          <t>Palmeiras</t>
        </is>
      </c>
      <c r="E17" s="3" t="inlineStr">
        <is>
          <t>Gremio</t>
        </is>
      </c>
      <c r="F17" s="4" t="n">
        <v>6.52</v>
      </c>
      <c r="G17" s="4" t="n">
        <v>4.53</v>
      </c>
      <c r="H17" s="4" t="n">
        <v>1.51</v>
      </c>
      <c r="I17" s="4" t="n">
        <v>1.86</v>
      </c>
      <c r="J17" s="4" t="n">
        <v>2</v>
      </c>
      <c r="K17" s="2" t="inlineStr">
        <is>
          <t>Brasil</t>
        </is>
      </c>
      <c r="L17" s="5" t="n">
        <v>0.5716490365650259</v>
      </c>
      <c r="M17" s="5" t="n">
        <v>0.2316040802089988</v>
      </c>
      <c r="N17" s="5" t="n">
        <v>0.1967468832259754</v>
      </c>
      <c r="O17" s="5" t="n">
        <v>0.5550645096264784</v>
      </c>
      <c r="P17" s="5" t="n">
        <v>0.4449354903735216</v>
      </c>
      <c r="Q17" s="8" t="n"/>
      <c r="R17" s="8" t="n"/>
      <c r="S17" s="3" t="inlineStr">
        <is>
          <t>[PASAR] Techo Cuota</t>
        </is>
      </c>
      <c r="T17" s="3" t="inlineStr">
        <is>
          <t>[PASAR] Margen Predictivo O/U Insuficiente (&lt;15%)</t>
        </is>
      </c>
      <c r="U17" s="6" t="n">
        <v>0</v>
      </c>
      <c r="V17" s="6" t="n">
        <v>0</v>
      </c>
      <c r="W17" s="3">
        <f>IF(L17="","",IF((MAX(L17,M17,N17)-MEDIAN(L17,M17,N17))&gt;0.05,IF(OR(Q17="",R17=""),"[PREDICCION] "&amp;IF(L17=MAX(L17,M17,N17),"LOCAL",IF(M17=MAX(L17,M17,N17),"EMPATE","VISITA")),IF(L17=MAX(L17,M17,N17),IF(Q17&gt;R17,"[ACIERTO]","[FALLO]"),IF(M17=MAX(L17,M17,N17),IF(Q17=R17,"[ACIERTO]","[FALLO]"),IF(Q17&lt;R17,"[ACIERTO]","[FALLO]")))),"[PASAR] Margen Insuf"))</f>
        <v/>
      </c>
      <c r="X17" s="6">
        <f>IFERROR(IF(U17=0,0,IF(ISNUMBER(SEARCH("[GANADA]",S17)),U17*(IF(ISNUMBER(SEARCH("LOCAL",S17)),F17,IF(ISNUMBER(SEARCH("EMPATE",S17)),G17,H17))-1),IF(ISNUMBER(SEARCH("[PERDIDA]",S17)),-U17,0))),0)+IFERROR(IF(V17=0,0,IF(ISNUMBER(SEARCH("[GANADA]",T17)),V17*(IF(ISNUMBER(SEARCH("OVER",T17)),I17,J17)-1),IF(ISNUMBER(SEARCH("[PERDIDA]",T17)),-V17,0))),0)</f>
        <v/>
      </c>
      <c r="Y17" s="6">
        <f>Y16+X17</f>
        <v/>
      </c>
      <c r="Z17" s="7">
        <f>IF(OR(Q17="",R17=""),"",(L17-IF(Q17&gt;R17,1,0))^2+(M17-IF(Q17=R17,1,0))^2+(N17-IF(Q17&lt;R17,1,0))^2)</f>
        <v/>
      </c>
      <c r="AA17" s="9" t="n">
        <v>0.9016</v>
      </c>
      <c r="AB17" s="2" t="inlineStr">
        <is>
          <t>NO</t>
        </is>
      </c>
    </row>
    <row r="18">
      <c r="A18" s="2" t="inlineStr">
        <is>
          <t>02/04/2026</t>
        </is>
      </c>
      <c r="B18" s="3" t="inlineStr">
        <is>
          <t>2026-04-03redbullbragantinoflamengo</t>
        </is>
      </c>
      <c r="C18" s="3" t="inlineStr">
        <is>
          <t>Red Bull Bragantino vs Flamengo</t>
        </is>
      </c>
      <c r="D18" s="3" t="inlineStr">
        <is>
          <t>Red Bull Bragantino</t>
        </is>
      </c>
      <c r="E18" s="3" t="inlineStr">
        <is>
          <t>Flamengo</t>
        </is>
      </c>
      <c r="F18" s="4" t="n"/>
      <c r="G18" s="4" t="n"/>
      <c r="H18" s="4" t="n"/>
      <c r="I18" s="4" t="n"/>
      <c r="J18" s="4" t="n"/>
      <c r="K18" s="2" t="inlineStr">
        <is>
          <t>Brasil</t>
        </is>
      </c>
      <c r="L18" s="5" t="n">
        <v>0.3421345096991719</v>
      </c>
      <c r="M18" s="5" t="n">
        <v>0.2719523418080652</v>
      </c>
      <c r="N18" s="5" t="n">
        <v>0.3859131484927629</v>
      </c>
      <c r="O18" s="5" t="n">
        <v>0.4900706660630247</v>
      </c>
      <c r="P18" s="5" t="n">
        <v>0.5099293339369753</v>
      </c>
      <c r="Q18" s="8" t="n"/>
      <c r="R18" s="8" t="n"/>
      <c r="S18" s="3" t="inlineStr">
        <is>
          <t>[PASAR] Sin Cuotas</t>
        </is>
      </c>
      <c r="T18" s="3" t="inlineStr">
        <is>
          <t>[PASAR] Sin Cuotas</t>
        </is>
      </c>
      <c r="U18" s="6" t="n">
        <v>0</v>
      </c>
      <c r="V18" s="6" t="n">
        <v>0</v>
      </c>
      <c r="W18" s="3">
        <f>IF(L18="","",IF((MAX(L18,M18,N18)-MEDIAN(L18,M18,N18))&gt;0.05,IF(OR(Q18="",R18=""),"[PREDICCION] "&amp;IF(L18=MAX(L18,M18,N18),"LOCAL",IF(M18=MAX(L18,M18,N18),"EMPATE","VISITA")),IF(L18=MAX(L18,M18,N18),IF(Q18&gt;R18,"[ACIERTO]","[FALLO]"),IF(M18=MAX(L18,M18,N18),IF(Q18=R18,"[ACIERTO]","[FALLO]"),IF(Q18&lt;R18,"[ACIERTO]","[FALLO]")))),"[PASAR] Margen Insuf"))</f>
        <v/>
      </c>
      <c r="X18" s="6">
        <f>IFERROR(IF(U18=0,0,IF(ISNUMBER(SEARCH("[GANADA]",S18)),U18*(IF(ISNUMBER(SEARCH("LOCAL",S18)),F18,IF(ISNUMBER(SEARCH("EMPATE",S18)),G18,H18))-1),IF(ISNUMBER(SEARCH("[PERDIDA]",S18)),-U18,0))),0)+IFERROR(IF(V18=0,0,IF(ISNUMBER(SEARCH("[GANADA]",T18)),V18*(IF(ISNUMBER(SEARCH("OVER",T18)),I18,J18)-1),IF(ISNUMBER(SEARCH("[PERDIDA]",T18)),-V18,0))),0)</f>
        <v/>
      </c>
      <c r="Y18" s="6">
        <f>Y17+X18</f>
        <v/>
      </c>
      <c r="Z18" s="7">
        <f>IF(OR(Q18="",R18=""),"",(L18-IF(Q18&gt;R18,1,0))^2+(M18-IF(Q18=R18,1,0))^2+(N18-IF(Q18&lt;R18,1,0))^2)</f>
        <v/>
      </c>
      <c r="AA18" s="9" t="n">
        <v>0.7808</v>
      </c>
      <c r="AB18" s="2" t="inlineStr">
        <is>
          <t>NO</t>
        </is>
      </c>
    </row>
    <row r="19">
      <c r="A19" s="2" t="inlineStr">
        <is>
          <t>03/04/2026</t>
        </is>
      </c>
      <c r="B19" s="3" t="inlineStr">
        <is>
          <t>2026-04-03gimnasiamendozavelezsarsfield</t>
        </is>
      </c>
      <c r="C19" s="3" t="inlineStr">
        <is>
          <t>Gimnasia Mendoza vs Velez Sarsfield</t>
        </is>
      </c>
      <c r="D19" s="3" t="inlineStr">
        <is>
          <t>Gimnasia Mendoza</t>
        </is>
      </c>
      <c r="E19" s="3" t="inlineStr">
        <is>
          <t>Velez Sarsfield</t>
        </is>
      </c>
      <c r="F19" s="4" t="n">
        <v>3.69</v>
      </c>
      <c r="G19" s="4" t="n">
        <v>2.84</v>
      </c>
      <c r="H19" s="4" t="n">
        <v>2.34</v>
      </c>
      <c r="I19" s="4" t="n"/>
      <c r="J19" s="4" t="n"/>
      <c r="K19" s="2" t="inlineStr">
        <is>
          <t>Argentina</t>
        </is>
      </c>
      <c r="L19" s="5" t="n">
        <v>0.3419909567752558</v>
      </c>
      <c r="M19" s="5" t="n">
        <v>0.2898775558595189</v>
      </c>
      <c r="N19" s="5" t="n">
        <v>0.3681314873652253</v>
      </c>
      <c r="O19" s="5" t="n">
        <v>0.4331618529754852</v>
      </c>
      <c r="P19" s="5" t="n">
        <v>0.5668381470245148</v>
      </c>
      <c r="Q19" s="8" t="n"/>
      <c r="R19" s="8" t="n"/>
      <c r="S19" s="3" t="inlineStr">
        <is>
          <t>[PASAR] Margen Predictivo Insuficiente (&lt;5%)</t>
        </is>
      </c>
      <c r="T19" s="3" t="inlineStr">
        <is>
          <t>[PASAR] Sin Cuotas</t>
        </is>
      </c>
      <c r="U19" s="6" t="n">
        <v>0</v>
      </c>
      <c r="V19" s="6" t="n">
        <v>0</v>
      </c>
      <c r="W19" s="3">
        <f>IF(L19="","",IF((MAX(L19,M19,N19)-MEDIAN(L19,M19,N19))&gt;0.05,IF(OR(Q19="",R19=""),"[PREDICCION] "&amp;IF(L19=MAX(L19,M19,N19),"LOCAL",IF(M19=MAX(L19,M19,N19),"EMPATE","VISITA")),IF(L19=MAX(L19,M19,N19),IF(Q19&gt;R19,"[ACIERTO]","[FALLO]"),IF(M19=MAX(L19,M19,N19),IF(Q19=R19,"[ACIERTO]","[FALLO]"),IF(Q19&lt;R19,"[ACIERTO]","[FALLO]")))),"[PASAR] Margen Insuf"))</f>
        <v/>
      </c>
      <c r="X19" s="6">
        <f>IFERROR(IF(U19=0,0,IF(ISNUMBER(SEARCH("[GANADA]",S19)),U19*(IF(ISNUMBER(SEARCH("LOCAL",S19)),F19,IF(ISNUMBER(SEARCH("EMPATE",S19)),G19,H19))-1),IF(ISNUMBER(SEARCH("[PERDIDA]",S19)),-U19,0))),0)+IFERROR(IF(V19=0,0,IF(ISNUMBER(SEARCH("[GANADA]",T19)),V19*(IF(ISNUMBER(SEARCH("OVER",T19)),I19,J19)-1),IF(ISNUMBER(SEARCH("[PERDIDA]",T19)),-V19,0))),0)</f>
        <v/>
      </c>
      <c r="Y19" s="6">
        <f>Y18+X19</f>
        <v/>
      </c>
      <c r="Z19" s="7">
        <f>IF(OR(Q19="",R19=""),"",(L19-IF(Q19&gt;R19,1,0))^2+(M19-IF(Q19=R19,1,0))^2+(N19-IF(Q19&lt;R19,1,0))^2)</f>
        <v/>
      </c>
      <c r="AA19" s="9" t="n">
        <v>0.5354</v>
      </c>
      <c r="AB19" s="2" t="inlineStr">
        <is>
          <t>NO</t>
        </is>
      </c>
    </row>
    <row r="20">
      <c r="A20" s="2" t="inlineStr">
        <is>
          <t>03/04/2026</t>
        </is>
      </c>
      <c r="B20" s="3" t="inlineStr">
        <is>
          <t>2026-04-03sanlorenzoestudiantesdelaplata</t>
        </is>
      </c>
      <c r="C20" s="3" t="inlineStr">
        <is>
          <t>San Lorenzo vs Estudiantes de la Plata</t>
        </is>
      </c>
      <c r="D20" s="3" t="inlineStr">
        <is>
          <t>San Lorenzo</t>
        </is>
      </c>
      <c r="E20" s="3" t="inlineStr">
        <is>
          <t>Estudiantes de la Plata</t>
        </is>
      </c>
      <c r="F20" s="4" t="n"/>
      <c r="G20" s="4" t="n"/>
      <c r="H20" s="4" t="n"/>
      <c r="I20" s="4" t="n"/>
      <c r="J20" s="4" t="n"/>
      <c r="K20" s="2" t="inlineStr">
        <is>
          <t>Argentina</t>
        </is>
      </c>
      <c r="L20" s="5" t="n">
        <v>0.3315236805621349</v>
      </c>
      <c r="M20" s="5" t="n">
        <v>0.3015636544629228</v>
      </c>
      <c r="N20" s="5" t="n">
        <v>0.3669126649749425</v>
      </c>
      <c r="O20" s="5" t="n">
        <v>0.3909271006079778</v>
      </c>
      <c r="P20" s="5" t="n">
        <v>0.6090728993920221</v>
      </c>
      <c r="Q20" s="8" t="n"/>
      <c r="R20" s="8" t="n"/>
      <c r="S20" s="3" t="inlineStr">
        <is>
          <t>[PASAR] Sin Cuotas</t>
        </is>
      </c>
      <c r="T20" s="3" t="inlineStr">
        <is>
          <t>[PASAR] Sin Cuotas</t>
        </is>
      </c>
      <c r="U20" s="6" t="n">
        <v>0</v>
      </c>
      <c r="V20" s="6" t="n">
        <v>0</v>
      </c>
      <c r="W20" s="3">
        <f>IF(L20="","",IF((MAX(L20,M20,N20)-MEDIAN(L20,M20,N20))&gt;0.05,IF(OR(Q20="",R20=""),"[PREDICCION] "&amp;IF(L20=MAX(L20,M20,N20),"LOCAL",IF(M20=MAX(L20,M20,N20),"EMPATE","VISITA")),IF(L20=MAX(L20,M20,N20),IF(Q20&gt;R20,"[ACIERTO]","[FALLO]"),IF(M20=MAX(L20,M20,N20),IF(Q20=R20,"[ACIERTO]","[FALLO]"),IF(Q20&lt;R20,"[ACIERTO]","[FALLO]")))),"[PASAR] Margen Insuf"))</f>
        <v/>
      </c>
      <c r="X20" s="6">
        <f>IFERROR(IF(U20=0,0,IF(ISNUMBER(SEARCH("[GANADA]",S20)),U20*(IF(ISNUMBER(SEARCH("LOCAL",S20)),F20,IF(ISNUMBER(SEARCH("EMPATE",S20)),G20,H20))-1),IF(ISNUMBER(SEARCH("[PERDIDA]",S20)),-U20,0))),0)+IFERROR(IF(V20=0,0,IF(ISNUMBER(SEARCH("[GANADA]",T20)),V20*(IF(ISNUMBER(SEARCH("OVER",T20)),I20,J20)-1),IF(ISNUMBER(SEARCH("[PERDIDA]",T20)),-V20,0))),0)</f>
        <v/>
      </c>
      <c r="Y20" s="6">
        <f>Y19+X20</f>
        <v/>
      </c>
      <c r="Z20" s="7">
        <f>IF(OR(Q20="",R20=""),"",(L20-IF(Q20&gt;R20,1,0))^2+(M20-IF(Q20=R20,1,0))^2+(N20-IF(Q20&lt;R20,1,0))^2)</f>
        <v/>
      </c>
      <c r="AA20" s="9" t="n">
        <v>0.6847</v>
      </c>
      <c r="AB20" s="2" t="inlineStr">
        <is>
          <t>NO</t>
        </is>
      </c>
    </row>
    <row r="21">
      <c r="A21" s="2" t="inlineStr">
        <is>
          <t>03/04/2026</t>
        </is>
      </c>
      <c r="B21" s="3" t="inlineStr">
        <is>
          <t>2026-04-03unionsantafedeportivoriestra</t>
        </is>
      </c>
      <c r="C21" s="3" t="inlineStr">
        <is>
          <t>Union (santa Fe) vs Deportivo Riestra</t>
        </is>
      </c>
      <c r="D21" s="3" t="inlineStr">
        <is>
          <t>Union (santa Fe)</t>
        </is>
      </c>
      <c r="E21" s="3" t="inlineStr">
        <is>
          <t>Deportivo Riestra</t>
        </is>
      </c>
      <c r="F21" s="4" t="n">
        <v>4.82</v>
      </c>
      <c r="G21" s="4" t="n">
        <v>3.09</v>
      </c>
      <c r="H21" s="4" t="n">
        <v>1.92</v>
      </c>
      <c r="I21" s="4" t="n"/>
      <c r="J21" s="4" t="n"/>
      <c r="K21" s="2" t="inlineStr">
        <is>
          <t>Argentina</t>
        </is>
      </c>
      <c r="L21" s="5" t="n">
        <v>0.4662242364539235</v>
      </c>
      <c r="M21" s="5" t="n">
        <v>0.2918778479052631</v>
      </c>
      <c r="N21" s="5" t="n">
        <v>0.2418979156408135</v>
      </c>
      <c r="O21" s="5" t="n">
        <v>0.3901260615981589</v>
      </c>
      <c r="P21" s="5" t="n">
        <v>0.609873938401841</v>
      </c>
      <c r="Q21" s="8" t="n"/>
      <c r="R21" s="8" t="n"/>
      <c r="S21" s="3" t="inlineStr">
        <is>
          <t>[PASAR] Info Oculta</t>
        </is>
      </c>
      <c r="T21" s="3" t="inlineStr">
        <is>
          <t>[PASAR] Sin Cuotas</t>
        </is>
      </c>
      <c r="U21" s="6" t="n">
        <v>0</v>
      </c>
      <c r="V21" s="6" t="n">
        <v>0</v>
      </c>
      <c r="W21" s="3">
        <f>IF(L21="","",IF((MAX(L21,M21,N21)-MEDIAN(L21,M21,N21))&gt;0.05,IF(OR(Q21="",R21=""),"[PREDICCION] "&amp;IF(L21=MAX(L21,M21,N21),"LOCAL",IF(M21=MAX(L21,M21,N21),"EMPATE","VISITA")),IF(L21=MAX(L21,M21,N21),IF(Q21&gt;R21,"[ACIERTO]","[FALLO]"),IF(M21=MAX(L21,M21,N21),IF(Q21=R21,"[ACIERTO]","[FALLO]"),IF(Q21&lt;R21,"[ACIERTO]","[FALLO]")))),"[PASAR] Margen Insuf"))</f>
        <v/>
      </c>
      <c r="X21" s="6">
        <f>IFERROR(IF(U21=0,0,IF(ISNUMBER(SEARCH("[GANADA]",S21)),U21*(IF(ISNUMBER(SEARCH("LOCAL",S21)),F21,IF(ISNUMBER(SEARCH("EMPATE",S21)),G21,H21))-1),IF(ISNUMBER(SEARCH("[PERDIDA]",S21)),-U21,0))),0)+IFERROR(IF(V21=0,0,IF(ISNUMBER(SEARCH("[GANADA]",T21)),V21*(IF(ISNUMBER(SEARCH("OVER",T21)),I21,J21)-1),IF(ISNUMBER(SEARCH("[PERDIDA]",T21)),-V21,0))),0)</f>
        <v/>
      </c>
      <c r="Y21" s="6">
        <f>Y20+X21</f>
        <v/>
      </c>
      <c r="Z21" s="7">
        <f>IF(OR(Q21="",R21=""),"",(L21-IF(Q21&gt;R21,1,0))^2+(M21-IF(Q21=R21,1,0))^2+(N21-IF(Q21&lt;R21,1,0))^2)</f>
        <v/>
      </c>
      <c r="AA21" s="9" t="n">
        <v>0.5639</v>
      </c>
      <c r="AB21" s="2" t="inlineStr">
        <is>
          <t>NO</t>
        </is>
      </c>
    </row>
    <row r="22">
      <c r="A22" s="2" t="inlineStr">
        <is>
          <t>04/04/2026</t>
        </is>
      </c>
      <c r="B22" s="3" t="inlineStr">
        <is>
          <t>2026-04-04genclerbirligigoztepe</t>
        </is>
      </c>
      <c r="C22" s="3" t="inlineStr">
        <is>
          <t>Genclerbirligi vs Goztepe</t>
        </is>
      </c>
      <c r="D22" s="3" t="inlineStr">
        <is>
          <t>Genclerbirligi</t>
        </is>
      </c>
      <c r="E22" s="3" t="inlineStr">
        <is>
          <t>Goztepe</t>
        </is>
      </c>
      <c r="F22" s="4" t="n">
        <v>3.14</v>
      </c>
      <c r="G22" s="4" t="n">
        <v>3.13</v>
      </c>
      <c r="H22" s="4" t="n">
        <v>2.43</v>
      </c>
      <c r="I22" s="4" t="n"/>
      <c r="J22" s="4" t="n"/>
      <c r="K22" s="2" t="inlineStr">
        <is>
          <t>Turquia</t>
        </is>
      </c>
      <c r="L22" s="5" t="n">
        <v>0.3881265244504047</v>
      </c>
      <c r="M22" s="5" t="n">
        <v>0.2639256587340179</v>
      </c>
      <c r="N22" s="5" t="n">
        <v>0.3479478168155773</v>
      </c>
      <c r="O22" s="5" t="n">
        <v>0.5285155352917529</v>
      </c>
      <c r="P22" s="5" t="n">
        <v>0.4714844647082471</v>
      </c>
      <c r="Q22" s="8" t="n"/>
      <c r="R22" s="8" t="n"/>
      <c r="S22" s="3" t="inlineStr">
        <is>
          <t>[PASAR] Margen Predictivo Insuficiente (&lt;5%)</t>
        </is>
      </c>
      <c r="T22" s="3" t="inlineStr">
        <is>
          <t>[PASAR] Sin Cuotas</t>
        </is>
      </c>
      <c r="U22" s="6" t="n">
        <v>0</v>
      </c>
      <c r="V22" s="6" t="n">
        <v>0</v>
      </c>
      <c r="W22" s="3">
        <f>IF(L22="","",IF((MAX(L22,M22,N22)-MEDIAN(L22,M22,N22))&gt;0.05,IF(OR(Q22="",R22=""),"[PREDICCION] "&amp;IF(L22=MAX(L22,M22,N22),"LOCAL",IF(M22=MAX(L22,M22,N22),"EMPATE","VISITA")),IF(L22=MAX(L22,M22,N22),IF(Q22&gt;R22,"[ACIERTO]","[FALLO]"),IF(M22=MAX(L22,M22,N22),IF(Q22=R22,"[ACIERTO]","[FALLO]"),IF(Q22&lt;R22,"[ACIERTO]","[FALLO]")))),"[PASAR] Margen Insuf"))</f>
        <v/>
      </c>
      <c r="X22" s="6">
        <f>IFERROR(IF(U22=0,0,IF(ISNUMBER(SEARCH("[GANADA]",S22)),U22*(IF(ISNUMBER(SEARCH("LOCAL",S22)),F22,IF(ISNUMBER(SEARCH("EMPATE",S22)),G22,H22))-1),IF(ISNUMBER(SEARCH("[PERDIDA]",S22)),-U22,0))),0)+IFERROR(IF(V22=0,0,IF(ISNUMBER(SEARCH("[GANADA]",T22)),V22*(IF(ISNUMBER(SEARCH("OVER",T22)),I22,J22)-1),IF(ISNUMBER(SEARCH("[PERDIDA]",T22)),-V22,0))),0)</f>
        <v/>
      </c>
      <c r="Y22" s="6">
        <f>Y21+X22</f>
        <v/>
      </c>
      <c r="Z22" s="7">
        <f>IF(OR(Q22="",R22=""),"",(L22-IF(Q22&gt;R22,1,0))^2+(M22-IF(Q22=R22,1,0))^2+(N22-IF(Q22&lt;R22,1,0))^2)</f>
        <v/>
      </c>
      <c r="AA22" s="9" t="n">
        <v>0.7967</v>
      </c>
      <c r="AB22" s="2" t="inlineStr">
        <is>
          <t>NO</t>
        </is>
      </c>
    </row>
    <row r="23">
      <c r="A23" s="2" t="inlineStr">
        <is>
          <t>04/04/2026</t>
        </is>
      </c>
      <c r="B23" s="3" t="inlineStr">
        <is>
          <t>2026-04-04kasimpasakayserispor</t>
        </is>
      </c>
      <c r="C23" s="3" t="inlineStr">
        <is>
          <t>Kasimpasa vs Kayserispor</t>
        </is>
      </c>
      <c r="D23" s="3" t="inlineStr">
        <is>
          <t>Kasimpasa</t>
        </is>
      </c>
      <c r="E23" s="3" t="inlineStr">
        <is>
          <t>Kayserispor</t>
        </is>
      </c>
      <c r="F23" s="4" t="n">
        <v>2.16</v>
      </c>
      <c r="G23" s="4" t="n">
        <v>3.44</v>
      </c>
      <c r="H23" s="4" t="n">
        <v>3.37</v>
      </c>
      <c r="I23" s="4" t="n">
        <v>1.9</v>
      </c>
      <c r="J23" s="4" t="n">
        <v>1.93</v>
      </c>
      <c r="K23" s="2" t="inlineStr">
        <is>
          <t>Turquia</t>
        </is>
      </c>
      <c r="L23" s="5" t="n">
        <v>0.4339762137504555</v>
      </c>
      <c r="M23" s="5" t="n">
        <v>0.2734478289586073</v>
      </c>
      <c r="N23" s="5" t="n">
        <v>0.2925759572909372</v>
      </c>
      <c r="O23" s="5" t="n">
        <v>0.4743906965749504</v>
      </c>
      <c r="P23" s="5" t="n">
        <v>0.5256093034250495</v>
      </c>
      <c r="Q23" s="8" t="n"/>
      <c r="R23" s="8" t="n"/>
      <c r="S23" s="3" t="inlineStr">
        <is>
          <t>[PASAR] Riesgo/Beneficio</t>
        </is>
      </c>
      <c r="T23" s="3" t="inlineStr">
        <is>
          <t>[PASAR] Margen Predictivo O/U Insuficiente (&lt;15%)</t>
        </is>
      </c>
      <c r="U23" s="6" t="n">
        <v>0</v>
      </c>
      <c r="V23" s="6" t="n">
        <v>0</v>
      </c>
      <c r="W23" s="3">
        <f>IF(L23="","",IF((MAX(L23,M23,N23)-MEDIAN(L23,M23,N23))&gt;0.05,IF(OR(Q23="",R23=""),"[PREDICCION] "&amp;IF(L23=MAX(L23,M23,N23),"LOCAL",IF(M23=MAX(L23,M23,N23),"EMPATE","VISITA")),IF(L23=MAX(L23,M23,N23),IF(Q23&gt;R23,"[ACIERTO]","[FALLO]"),IF(M23=MAX(L23,M23,N23),IF(Q23=R23,"[ACIERTO]","[FALLO]"),IF(Q23&lt;R23,"[ACIERTO]","[FALLO]")))),"[PASAR] Margen Insuf"))</f>
        <v/>
      </c>
      <c r="X23" s="6">
        <f>IFERROR(IF(U23=0,0,IF(ISNUMBER(SEARCH("[GANADA]",S23)),U23*(IF(ISNUMBER(SEARCH("LOCAL",S23)),F23,IF(ISNUMBER(SEARCH("EMPATE",S23)),G23,H23))-1),IF(ISNUMBER(SEARCH("[PERDIDA]",S23)),-U23,0))),0)+IFERROR(IF(V23=0,0,IF(ISNUMBER(SEARCH("[GANADA]",T23)),V23*(IF(ISNUMBER(SEARCH("OVER",T23)),I23,J23)-1),IF(ISNUMBER(SEARCH("[PERDIDA]",T23)),-V23,0))),0)</f>
        <v/>
      </c>
      <c r="Y23" s="6">
        <f>Y22+X23</f>
        <v/>
      </c>
      <c r="Z23" s="7">
        <f>IF(OR(Q23="",R23=""),"",(L23-IF(Q23&gt;R23,1,0))^2+(M23-IF(Q23=R23,1,0))^2+(N23-IF(Q23&lt;R23,1,0))^2)</f>
        <v/>
      </c>
      <c r="AA23" s="9" t="n">
        <v>0.7998</v>
      </c>
      <c r="AB23" s="2" t="inlineStr">
        <is>
          <t>NO</t>
        </is>
      </c>
    </row>
    <row r="24">
      <c r="A24" s="2" t="inlineStr">
        <is>
          <t>04/04/2026</t>
        </is>
      </c>
      <c r="B24" s="3" t="inlineStr">
        <is>
          <t>2026-04-04gaziantepfkalanyaspor</t>
        </is>
      </c>
      <c r="C24" s="3" t="inlineStr">
        <is>
          <t>Gaziantep FK vs Alanyaspor</t>
        </is>
      </c>
      <c r="D24" s="3" t="inlineStr">
        <is>
          <t>Gaziantep FK</t>
        </is>
      </c>
      <c r="E24" s="3" t="inlineStr">
        <is>
          <t>Alanyaspor</t>
        </is>
      </c>
      <c r="F24" s="4" t="n"/>
      <c r="G24" s="4" t="n"/>
      <c r="H24" s="4" t="n"/>
      <c r="I24" s="4" t="n"/>
      <c r="J24" s="4" t="n"/>
      <c r="K24" s="2" t="inlineStr">
        <is>
          <t>Turquia</t>
        </is>
      </c>
      <c r="L24" s="5" t="n">
        <v>0.3888866300077002</v>
      </c>
      <c r="M24" s="5" t="n">
        <v>0.2606801417071365</v>
      </c>
      <c r="N24" s="5" t="n">
        <v>0.3504332282851633</v>
      </c>
      <c r="O24" s="5" t="n">
        <v>0.5427289352337143</v>
      </c>
      <c r="P24" s="5" t="n">
        <v>0.4572710647662857</v>
      </c>
      <c r="Q24" s="8" t="n"/>
      <c r="R24" s="8" t="n"/>
      <c r="S24" s="3" t="inlineStr">
        <is>
          <t>[PASAR] Sin Cuotas</t>
        </is>
      </c>
      <c r="T24" s="3" t="inlineStr">
        <is>
          <t>[PASAR] Sin Cuotas</t>
        </is>
      </c>
      <c r="U24" s="6" t="n">
        <v>0</v>
      </c>
      <c r="V24" s="6" t="n">
        <v>0</v>
      </c>
      <c r="W24" s="3">
        <f>IF(L24="","",IF((MAX(L24,M24,N24)-MEDIAN(L24,M24,N24))&gt;0.05,IF(OR(Q24="",R24=""),"[PREDICCION] "&amp;IF(L24=MAX(L24,M24,N24),"LOCAL",IF(M24=MAX(L24,M24,N24),"EMPATE","VISITA")),IF(L24=MAX(L24,M24,N24),IF(Q24&gt;R24,"[ACIERTO]","[FALLO]"),IF(M24=MAX(L24,M24,N24),IF(Q24=R24,"[ACIERTO]","[FALLO]"),IF(Q24&lt;R24,"[ACIERTO]","[FALLO]")))),"[PASAR] Margen Insuf"))</f>
        <v/>
      </c>
      <c r="X24" s="6">
        <f>IFERROR(IF(U24=0,0,IF(ISNUMBER(SEARCH("[GANADA]",S24)),U24*(IF(ISNUMBER(SEARCH("LOCAL",S24)),F24,IF(ISNUMBER(SEARCH("EMPATE",S24)),G24,H24))-1),IF(ISNUMBER(SEARCH("[PERDIDA]",S24)),-U24,0))),0)+IFERROR(IF(V24=0,0,IF(ISNUMBER(SEARCH("[GANADA]",T24)),V24*(IF(ISNUMBER(SEARCH("OVER",T24)),I24,J24)-1),IF(ISNUMBER(SEARCH("[PERDIDA]",T24)),-V24,0))),0)</f>
        <v/>
      </c>
      <c r="Y24" s="6">
        <f>Y23+X24</f>
        <v/>
      </c>
      <c r="Z24" s="7">
        <f>IF(OR(Q24="",R24=""),"",(L24-IF(Q24&gt;R24,1,0))^2+(M24-IF(Q24=R24,1,0))^2+(N24-IF(Q24&lt;R24,1,0))^2)</f>
        <v/>
      </c>
      <c r="AA24" s="9" t="n">
        <v>0.6449</v>
      </c>
      <c r="AB24" s="2" t="inlineStr">
        <is>
          <t>NO</t>
        </is>
      </c>
    </row>
    <row r="25">
      <c r="A25" s="2" t="inlineStr">
        <is>
          <t>04/04/2026</t>
        </is>
      </c>
      <c r="B25" s="3" t="inlineStr">
        <is>
          <t>2026-04-04aldosiviestudiantesderiocuarto</t>
        </is>
      </c>
      <c r="C25" s="3" t="inlineStr">
        <is>
          <t>Aldosivi vs Estudiantes de Rio Cuarto</t>
        </is>
      </c>
      <c r="D25" s="3" t="inlineStr">
        <is>
          <t>Aldosivi</t>
        </is>
      </c>
      <c r="E25" s="3" t="inlineStr">
        <is>
          <t>Estudiantes de Rio Cuarto</t>
        </is>
      </c>
      <c r="F25" s="4" t="n">
        <v>2.14</v>
      </c>
      <c r="G25" s="4" t="n">
        <v>3.08</v>
      </c>
      <c r="H25" s="4" t="n">
        <v>3.86</v>
      </c>
      <c r="I25" s="4" t="n"/>
      <c r="J25" s="4" t="n"/>
      <c r="K25" s="2" t="inlineStr">
        <is>
          <t>Argentina</t>
        </is>
      </c>
      <c r="L25" s="5" t="n">
        <v>0.4407542424811531</v>
      </c>
      <c r="M25" s="5" t="n">
        <v>0.2851008520092421</v>
      </c>
      <c r="N25" s="5" t="n">
        <v>0.2741449055096049</v>
      </c>
      <c r="O25" s="5" t="n">
        <v>0.4312042519825969</v>
      </c>
      <c r="P25" s="5" t="n">
        <v>0.5687957480174031</v>
      </c>
      <c r="Q25" s="8" t="n"/>
      <c r="R25" s="8" t="n"/>
      <c r="S25" s="3">
        <f>IF(OR(Q25="",R25=""),"[APOSTAR] VISITA",IF(Q25&lt;R25,"[GANADA] VISITA","[PERDIDA] VISITA"))</f>
        <v/>
      </c>
      <c r="T25" s="3" t="inlineStr">
        <is>
          <t>[PASAR] Sin Cuotas</t>
        </is>
      </c>
      <c r="U25" s="6" t="n">
        <v>1017.47</v>
      </c>
      <c r="V25" s="6" t="n">
        <v>0</v>
      </c>
      <c r="W25" s="3">
        <f>IF(L25="","",IF((MAX(L25,M25,N25)-MEDIAN(L25,M25,N25))&gt;0.05,IF(OR(Q25="",R25=""),"[PREDICCION] "&amp;IF(L25=MAX(L25,M25,N25),"LOCAL",IF(M25=MAX(L25,M25,N25),"EMPATE","VISITA")),IF(L25=MAX(L25,M25,N25),IF(Q25&gt;R25,"[ACIERTO]","[FALLO]"),IF(M25=MAX(L25,M25,N25),IF(Q25=R25,"[ACIERTO]","[FALLO]"),IF(Q25&lt;R25,"[ACIERTO]","[FALLO]")))),"[PASAR] Margen Insuf"))</f>
        <v/>
      </c>
      <c r="X25" s="6">
        <f>IFERROR(IF(U25=0,0,IF(ISNUMBER(SEARCH("[GANADA]",S25)),U25*(IF(ISNUMBER(SEARCH("LOCAL",S25)),F25,IF(ISNUMBER(SEARCH("EMPATE",S25)),G25,H25))-1),IF(ISNUMBER(SEARCH("[PERDIDA]",S25)),-U25,0))),0)+IFERROR(IF(V25=0,0,IF(ISNUMBER(SEARCH("[GANADA]",T25)),V25*(IF(ISNUMBER(SEARCH("OVER",T25)),I25,J25)-1),IF(ISNUMBER(SEARCH("[PERDIDA]",T25)),-V25,0))),0)</f>
        <v/>
      </c>
      <c r="Y25" s="6">
        <f>Y24+X25</f>
        <v/>
      </c>
      <c r="Z25" s="7">
        <f>IF(OR(Q25="",R25=""),"",(L25-IF(Q25&gt;R25,1,0))^2+(M25-IF(Q25=R25,1,0))^2+(N25-IF(Q25&lt;R25,1,0))^2)</f>
        <v/>
      </c>
      <c r="AA25" s="9" t="n">
        <v>0.6484</v>
      </c>
      <c r="AB25" s="2" t="inlineStr">
        <is>
          <t>NO</t>
        </is>
      </c>
    </row>
    <row r="26">
      <c r="A26" s="2" t="inlineStr">
        <is>
          <t>04/04/2026</t>
        </is>
      </c>
      <c r="B26" s="3" t="inlineStr">
        <is>
          <t>2026-04-04trabzonsporgalatasaray</t>
        </is>
      </c>
      <c r="C26" s="3" t="inlineStr">
        <is>
          <t>Trabzonspor vs Galatasaray</t>
        </is>
      </c>
      <c r="D26" s="3" t="inlineStr">
        <is>
          <t>Trabzonspor</t>
        </is>
      </c>
      <c r="E26" s="3" t="inlineStr">
        <is>
          <t>Galatasaray</t>
        </is>
      </c>
      <c r="F26" s="4" t="n">
        <v>2.1</v>
      </c>
      <c r="G26" s="4" t="n">
        <v>3.5</v>
      </c>
      <c r="H26" s="4" t="n">
        <v>3.46</v>
      </c>
      <c r="I26" s="4" t="n"/>
      <c r="J26" s="4" t="n"/>
      <c r="K26" s="2" t="inlineStr">
        <is>
          <t>Turquia</t>
        </is>
      </c>
      <c r="L26" s="5" t="n">
        <v>0.3820489641973929</v>
      </c>
      <c r="M26" s="5" t="n">
        <v>0.2625765741645809</v>
      </c>
      <c r="N26" s="5" t="n">
        <v>0.3553744616380262</v>
      </c>
      <c r="O26" s="5" t="n">
        <v>0.5350608595088769</v>
      </c>
      <c r="P26" s="5" t="n">
        <v>0.4649391404911231</v>
      </c>
      <c r="Q26" s="8" t="n"/>
      <c r="R26" s="8" t="n"/>
      <c r="S26" s="3" t="inlineStr">
        <is>
          <t>[PASAR] Margen Predictivo Insuficiente (&lt;5%)</t>
        </is>
      </c>
      <c r="T26" s="3" t="inlineStr">
        <is>
          <t>[PASAR] Sin Cuotas</t>
        </is>
      </c>
      <c r="U26" s="6" t="n">
        <v>0</v>
      </c>
      <c r="V26" s="6" t="n">
        <v>0</v>
      </c>
      <c r="W26" s="3">
        <f>IF(L26="","",IF((MAX(L26,M26,N26)-MEDIAN(L26,M26,N26))&gt;0.05,IF(OR(Q26="",R26=""),"[PREDICCION] "&amp;IF(L26=MAX(L26,M26,N26),"LOCAL",IF(M26=MAX(L26,M26,N26),"EMPATE","VISITA")),IF(L26=MAX(L26,M26,N26),IF(Q26&gt;R26,"[ACIERTO]","[FALLO]"),IF(M26=MAX(L26,M26,N26),IF(Q26=R26,"[ACIERTO]","[FALLO]"),IF(Q26&lt;R26,"[ACIERTO]","[FALLO]")))),"[PASAR] Margen Insuf"))</f>
        <v/>
      </c>
      <c r="X26" s="6">
        <f>IFERROR(IF(U26=0,0,IF(ISNUMBER(SEARCH("[GANADA]",S26)),U26*(IF(ISNUMBER(SEARCH("LOCAL",S26)),F26,IF(ISNUMBER(SEARCH("EMPATE",S26)),G26,H26))-1),IF(ISNUMBER(SEARCH("[PERDIDA]",S26)),-U26,0))),0)+IFERROR(IF(V26=0,0,IF(ISNUMBER(SEARCH("[GANADA]",T26)),V26*(IF(ISNUMBER(SEARCH("OVER",T26)),I26,J26)-1),IF(ISNUMBER(SEARCH("[PERDIDA]",T26)),-V26,0))),0)</f>
        <v/>
      </c>
      <c r="Y26" s="6">
        <f>Y25+X26</f>
        <v/>
      </c>
      <c r="Z26" s="7">
        <f>IF(OR(Q26="",R26=""),"",(L26-IF(Q26&gt;R26,1,0))^2+(M26-IF(Q26=R26,1,0))^2+(N26-IF(Q26&lt;R26,1,0))^2)</f>
        <v/>
      </c>
      <c r="AA26" s="9" t="n">
        <v>0.7436</v>
      </c>
      <c r="AB26" s="2" t="inlineStr">
        <is>
          <t>NO</t>
        </is>
      </c>
    </row>
    <row r="27">
      <c r="A27" s="2" t="inlineStr">
        <is>
          <t>04/04/2026</t>
        </is>
      </c>
      <c r="B27" s="3" t="inlineStr">
        <is>
          <t>2026-04-04independienteracingclub</t>
        </is>
      </c>
      <c r="C27" s="3" t="inlineStr">
        <is>
          <t>Independiente vs Racing Club</t>
        </is>
      </c>
      <c r="D27" s="3" t="inlineStr">
        <is>
          <t>Independiente</t>
        </is>
      </c>
      <c r="E27" s="3" t="inlineStr">
        <is>
          <t>Racing Club</t>
        </is>
      </c>
      <c r="F27" s="4" t="n">
        <v>2.59</v>
      </c>
      <c r="G27" s="4" t="n">
        <v>3.02</v>
      </c>
      <c r="H27" s="4" t="n">
        <v>3.01</v>
      </c>
      <c r="I27" s="4" t="n"/>
      <c r="J27" s="4" t="n"/>
      <c r="K27" s="2" t="inlineStr">
        <is>
          <t>Argentina</t>
        </is>
      </c>
      <c r="L27" s="5" t="n">
        <v>0.3823687972930054</v>
      </c>
      <c r="M27" s="5" t="n">
        <v>0.2858339961324428</v>
      </c>
      <c r="N27" s="5" t="n">
        <v>0.3317972065745518</v>
      </c>
      <c r="O27" s="5" t="n">
        <v>0.4470479370050782</v>
      </c>
      <c r="P27" s="5" t="n">
        <v>0.5529520629949217</v>
      </c>
      <c r="Q27" s="8" t="n"/>
      <c r="R27" s="8" t="n"/>
      <c r="S27" s="3" t="inlineStr">
        <is>
          <t>[PASAR] Riesgo/Beneficio</t>
        </is>
      </c>
      <c r="T27" s="3" t="inlineStr">
        <is>
          <t>[PASAR] Sin Cuotas</t>
        </is>
      </c>
      <c r="U27" s="6" t="n">
        <v>0</v>
      </c>
      <c r="V27" s="6" t="n">
        <v>0</v>
      </c>
      <c r="W27" s="3">
        <f>IF(L27="","",IF((MAX(L27,M27,N27)-MEDIAN(L27,M27,N27))&gt;0.05,IF(OR(Q27="",R27=""),"[PREDICCION] "&amp;IF(L27=MAX(L27,M27,N27),"LOCAL",IF(M27=MAX(L27,M27,N27),"EMPATE","VISITA")),IF(L27=MAX(L27,M27,N27),IF(Q27&gt;R27,"[ACIERTO]","[FALLO]"),IF(M27=MAX(L27,M27,N27),IF(Q27=R27,"[ACIERTO]","[FALLO]"),IF(Q27&lt;R27,"[ACIERTO]","[FALLO]")))),"[PASAR] Margen Insuf"))</f>
        <v/>
      </c>
      <c r="X27" s="6">
        <f>IFERROR(IF(U27=0,0,IF(ISNUMBER(SEARCH("[GANADA]",S27)),U27*(IF(ISNUMBER(SEARCH("LOCAL",S27)),F27,IF(ISNUMBER(SEARCH("EMPATE",S27)),G27,H27))-1),IF(ISNUMBER(SEARCH("[PERDIDA]",S27)),-U27,0))),0)+IFERROR(IF(V27=0,0,IF(ISNUMBER(SEARCH("[GANADA]",T27)),V27*(IF(ISNUMBER(SEARCH("OVER",T27)),I27,J27)-1),IF(ISNUMBER(SEARCH("[PERDIDA]",T27)),-V27,0))),0)</f>
        <v/>
      </c>
      <c r="Y27" s="6">
        <f>Y26+X27</f>
        <v/>
      </c>
      <c r="Z27" s="7">
        <f>IF(OR(Q27="",R27=""),"",(L27-IF(Q27&gt;R27,1,0))^2+(M27-IF(Q27=R27,1,0))^2+(N27-IF(Q27&lt;R27,1,0))^2)</f>
        <v/>
      </c>
      <c r="AA27" s="9" t="n">
        <v>0.7012</v>
      </c>
      <c r="AB27" s="2" t="inlineStr">
        <is>
          <t>NO</t>
        </is>
      </c>
    </row>
    <row r="28">
      <c r="A28" s="2" t="inlineStr">
        <is>
          <t>04/04/2026</t>
        </is>
      </c>
      <c r="B28" s="3" t="inlineStr">
        <is>
          <t>2026-04-04saopaulocruzeiro</t>
        </is>
      </c>
      <c r="C28" s="3" t="inlineStr">
        <is>
          <t>Sao Paulo vs Cruzeiro</t>
        </is>
      </c>
      <c r="D28" s="3" t="inlineStr">
        <is>
          <t>Sao Paulo</t>
        </is>
      </c>
      <c r="E28" s="3" t="inlineStr">
        <is>
          <t>Cruzeiro</t>
        </is>
      </c>
      <c r="F28" s="4" t="n">
        <v>3.54</v>
      </c>
      <c r="G28" s="4" t="n">
        <v>3.21</v>
      </c>
      <c r="H28" s="4" t="n">
        <v>2.2</v>
      </c>
      <c r="I28" s="4" t="n"/>
      <c r="J28" s="4" t="n"/>
      <c r="K28" s="2" t="inlineStr">
        <is>
          <t>Brasil</t>
        </is>
      </c>
      <c r="L28" s="5" t="n">
        <v>0.4847073816690963</v>
      </c>
      <c r="M28" s="5" t="n">
        <v>0.2674332713108632</v>
      </c>
      <c r="N28" s="5" t="n">
        <v>0.2478593470200405</v>
      </c>
      <c r="O28" s="5" t="n">
        <v>0.4666575232615519</v>
      </c>
      <c r="P28" s="5" t="n">
        <v>0.533342476738448</v>
      </c>
      <c r="Q28" s="8" t="n"/>
      <c r="R28" s="8" t="n"/>
      <c r="S28" s="3" t="inlineStr">
        <is>
          <t>[PASAR] Info Oculta</t>
        </is>
      </c>
      <c r="T28" s="3" t="inlineStr">
        <is>
          <t>[PASAR] Sin Cuotas</t>
        </is>
      </c>
      <c r="U28" s="6" t="n">
        <v>0</v>
      </c>
      <c r="V28" s="6" t="n">
        <v>0</v>
      </c>
      <c r="W28" s="3">
        <f>IF(L28="","",IF((MAX(L28,M28,N28)-MEDIAN(L28,M28,N28))&gt;0.05,IF(OR(Q28="",R28=""),"[PREDICCION] "&amp;IF(L28=MAX(L28,M28,N28),"LOCAL",IF(M28=MAX(L28,M28,N28),"EMPATE","VISITA")),IF(L28=MAX(L28,M28,N28),IF(Q28&gt;R28,"[ACIERTO]","[FALLO]"),IF(M28=MAX(L28,M28,N28),IF(Q28=R28,"[ACIERTO]","[FALLO]"),IF(Q28&lt;R28,"[ACIERTO]","[FALLO]")))),"[PASAR] Margen Insuf"))</f>
        <v/>
      </c>
      <c r="X28" s="6">
        <f>IFERROR(IF(U28=0,0,IF(ISNUMBER(SEARCH("[GANADA]",S28)),U28*(IF(ISNUMBER(SEARCH("LOCAL",S28)),F28,IF(ISNUMBER(SEARCH("EMPATE",S28)),G28,H28))-1),IF(ISNUMBER(SEARCH("[PERDIDA]",S28)),-U28,0))),0)+IFERROR(IF(V28=0,0,IF(ISNUMBER(SEARCH("[GANADA]",T28)),V28*(IF(ISNUMBER(SEARCH("OVER",T28)),I28,J28)-1),IF(ISNUMBER(SEARCH("[PERDIDA]",T28)),-V28,0))),0)</f>
        <v/>
      </c>
      <c r="Y28" s="6">
        <f>Y27+X28</f>
        <v/>
      </c>
      <c r="Z28" s="7">
        <f>IF(OR(Q28="",R28=""),"",(L28-IF(Q28&gt;R28,1,0))^2+(M28-IF(Q28=R28,1,0))^2+(N28-IF(Q28&lt;R28,1,0))^2)</f>
        <v/>
      </c>
      <c r="AA28" s="9" t="n">
        <v>0.7231</v>
      </c>
      <c r="AB28" s="2" t="inlineStr">
        <is>
          <t>NO</t>
        </is>
      </c>
    </row>
    <row r="29">
      <c r="A29" s="2" t="inlineStr">
        <is>
          <t>04/04/2026</t>
        </is>
      </c>
      <c r="B29" s="3" t="inlineStr">
        <is>
          <t>2026-04-04coritibafluminense</t>
        </is>
      </c>
      <c r="C29" s="3" t="inlineStr">
        <is>
          <t>Coritiba vs Fluminense</t>
        </is>
      </c>
      <c r="D29" s="3" t="inlineStr">
        <is>
          <t>Coritiba</t>
        </is>
      </c>
      <c r="E29" s="3" t="inlineStr">
        <is>
          <t>Fluminense</t>
        </is>
      </c>
      <c r="F29" s="4" t="n">
        <v>3.28</v>
      </c>
      <c r="G29" s="4" t="n">
        <v>3.19</v>
      </c>
      <c r="H29" s="4" t="n">
        <v>2.33</v>
      </c>
      <c r="I29" s="4" t="n"/>
      <c r="J29" s="4" t="n"/>
      <c r="K29" s="2" t="inlineStr">
        <is>
          <t>Brasil</t>
        </is>
      </c>
      <c r="L29" s="5" t="n">
        <v>0.3919301488702733</v>
      </c>
      <c r="M29" s="5" t="n">
        <v>0.2514641180864754</v>
      </c>
      <c r="N29" s="5" t="n">
        <v>0.3566057330432514</v>
      </c>
      <c r="O29" s="5" t="n">
        <v>0.5798240052801538</v>
      </c>
      <c r="P29" s="5" t="n">
        <v>0.4201759947198462</v>
      </c>
      <c r="Q29" s="8" t="n"/>
      <c r="R29" s="8" t="n"/>
      <c r="S29" s="3" t="inlineStr">
        <is>
          <t>[PASAR] Margen Predictivo Insuficiente (&lt;5%)</t>
        </is>
      </c>
      <c r="T29" s="3" t="inlineStr">
        <is>
          <t>[PASAR] Sin Cuotas</t>
        </is>
      </c>
      <c r="U29" s="6" t="n">
        <v>0</v>
      </c>
      <c r="V29" s="6" t="n">
        <v>0</v>
      </c>
      <c r="W29" s="3">
        <f>IF(L29="","",IF((MAX(L29,M29,N29)-MEDIAN(L29,M29,N29))&gt;0.05,IF(OR(Q29="",R29=""),"[PREDICCION] "&amp;IF(L29=MAX(L29,M29,N29),"LOCAL",IF(M29=MAX(L29,M29,N29),"EMPATE","VISITA")),IF(L29=MAX(L29,M29,N29),IF(Q29&gt;R29,"[ACIERTO]","[FALLO]"),IF(M29=MAX(L29,M29,N29),IF(Q29=R29,"[ACIERTO]","[FALLO]"),IF(Q29&lt;R29,"[ACIERTO]","[FALLO]")))),"[PASAR] Margen Insuf"))</f>
        <v/>
      </c>
      <c r="X29" s="6">
        <f>IFERROR(IF(U29=0,0,IF(ISNUMBER(SEARCH("[GANADA]",S29)),U29*(IF(ISNUMBER(SEARCH("LOCAL",S29)),F29,IF(ISNUMBER(SEARCH("EMPATE",S29)),G29,H29))-1),IF(ISNUMBER(SEARCH("[PERDIDA]",S29)),-U29,0))),0)+IFERROR(IF(V29=0,0,IF(ISNUMBER(SEARCH("[GANADA]",T29)),V29*(IF(ISNUMBER(SEARCH("OVER",T29)),I29,J29)-1),IF(ISNUMBER(SEARCH("[PERDIDA]",T29)),-V29,0))),0)</f>
        <v/>
      </c>
      <c r="Y29" s="6">
        <f>Y28+X29</f>
        <v/>
      </c>
      <c r="Z29" s="7">
        <f>IF(OR(Q29="",R29=""),"",(L29-IF(Q29&gt;R29,1,0))^2+(M29-IF(Q29=R29,1,0))^2+(N29-IF(Q29&lt;R29,1,0))^2)</f>
        <v/>
      </c>
      <c r="AA29" s="9" t="n">
        <v>0.5956</v>
      </c>
      <c r="AB29" s="2" t="inlineStr">
        <is>
          <t>NO</t>
        </is>
      </c>
    </row>
    <row r="30">
      <c r="A30" s="2" t="inlineStr">
        <is>
          <t>04/04/2026</t>
        </is>
      </c>
      <c r="B30" s="3" t="inlineStr">
        <is>
          <t>2026-04-05rosariocentralatleticotucuman</t>
        </is>
      </c>
      <c r="C30" s="3" t="inlineStr">
        <is>
          <t>Rosario Central vs Atletico Tucuman</t>
        </is>
      </c>
      <c r="D30" s="3" t="inlineStr">
        <is>
          <t>Rosario Central</t>
        </is>
      </c>
      <c r="E30" s="3" t="inlineStr">
        <is>
          <t>Atletico Tucuman</t>
        </is>
      </c>
      <c r="F30" s="4" t="n">
        <v>6.06</v>
      </c>
      <c r="G30" s="4" t="n">
        <v>3.73</v>
      </c>
      <c r="H30" s="4" t="n">
        <v>1.61</v>
      </c>
      <c r="I30" s="4" t="n"/>
      <c r="J30" s="4" t="n"/>
      <c r="K30" s="2" t="inlineStr">
        <is>
          <t>Argentina</t>
        </is>
      </c>
      <c r="L30" s="5" t="n">
        <v>0.5138987357916165</v>
      </c>
      <c r="M30" s="5" t="n">
        <v>0.2696175070012572</v>
      </c>
      <c r="N30" s="5" t="n">
        <v>0.2164837572071264</v>
      </c>
      <c r="O30" s="5" t="n">
        <v>0.4445899234793541</v>
      </c>
      <c r="P30" s="5" t="n">
        <v>0.5554100765206459</v>
      </c>
      <c r="Q30" s="8" t="n"/>
      <c r="R30" s="8" t="n"/>
      <c r="S30" s="3" t="inlineStr">
        <is>
          <t>[PASAR] Techo Cuota</t>
        </is>
      </c>
      <c r="T30" s="3" t="inlineStr">
        <is>
          <t>[PASAR] Sin Cuotas</t>
        </is>
      </c>
      <c r="U30" s="6" t="n">
        <v>0</v>
      </c>
      <c r="V30" s="6" t="n">
        <v>0</v>
      </c>
      <c r="W30" s="3">
        <f>IF(L30="","",IF((MAX(L30,M30,N30)-MEDIAN(L30,M30,N30))&gt;0.05,IF(OR(Q30="",R30=""),"[PREDICCION] "&amp;IF(L30=MAX(L30,M30,N30),"LOCAL",IF(M30=MAX(L30,M30,N30),"EMPATE","VISITA")),IF(L30=MAX(L30,M30,N30),IF(Q30&gt;R30,"[ACIERTO]","[FALLO]"),IF(M30=MAX(L30,M30,N30),IF(Q30=R30,"[ACIERTO]","[FALLO]"),IF(Q30&lt;R30,"[ACIERTO]","[FALLO]")))),"[PASAR] Margen Insuf"))</f>
        <v/>
      </c>
      <c r="X30" s="6">
        <f>IFERROR(IF(U30=0,0,IF(ISNUMBER(SEARCH("[GANADA]",S30)),U30*(IF(ISNUMBER(SEARCH("LOCAL",S30)),F30,IF(ISNUMBER(SEARCH("EMPATE",S30)),G30,H30))-1),IF(ISNUMBER(SEARCH("[PERDIDA]",S30)),-U30,0))),0)+IFERROR(IF(V30=0,0,IF(ISNUMBER(SEARCH("[GANADA]",T30)),V30*(IF(ISNUMBER(SEARCH("OVER",T30)),I30,J30)-1),IF(ISNUMBER(SEARCH("[PERDIDA]",T30)),-V30,0))),0)</f>
        <v/>
      </c>
      <c r="Y30" s="6">
        <f>Y29+X30</f>
        <v/>
      </c>
      <c r="Z30" s="7">
        <f>IF(OR(Q30="",R30=""),"",(L30-IF(Q30&gt;R30,1,0))^2+(M30-IF(Q30=R30,1,0))^2+(N30-IF(Q30&lt;R30,1,0))^2)</f>
        <v/>
      </c>
      <c r="AA30" s="9" t="n">
        <v>0.5802</v>
      </c>
      <c r="AB30" s="2" t="inlineStr">
        <is>
          <t>NO</t>
        </is>
      </c>
    </row>
    <row r="31">
      <c r="A31" s="2" t="inlineStr">
        <is>
          <t>04/04/2026</t>
        </is>
      </c>
      <c r="B31" s="3" t="inlineStr">
        <is>
          <t>2026-04-05vascodagamabotafogo</t>
        </is>
      </c>
      <c r="C31" s="3" t="inlineStr">
        <is>
          <t>Vasco da Gama vs Botafogo</t>
        </is>
      </c>
      <c r="D31" s="3" t="inlineStr">
        <is>
          <t>Vasco da Gama</t>
        </is>
      </c>
      <c r="E31" s="3" t="inlineStr">
        <is>
          <t>Botafogo</t>
        </is>
      </c>
      <c r="F31" s="4" t="n">
        <v>3.54</v>
      </c>
      <c r="G31" s="4" t="n">
        <v>3.48</v>
      </c>
      <c r="H31" s="4" t="n">
        <v>2.09</v>
      </c>
      <c r="I31" s="4" t="n">
        <v>2</v>
      </c>
      <c r="J31" s="4" t="n">
        <v>1.84</v>
      </c>
      <c r="K31" s="2" t="inlineStr">
        <is>
          <t>Brasil</t>
        </is>
      </c>
      <c r="L31" s="5" t="n">
        <v>0.4844611933644969</v>
      </c>
      <c r="M31" s="5" t="n">
        <v>0.250257533963554</v>
      </c>
      <c r="N31" s="5" t="n">
        <v>0.265281272671949</v>
      </c>
      <c r="O31" s="5" t="n">
        <v>0.5474084443313971</v>
      </c>
      <c r="P31" s="5" t="n">
        <v>0.4525915556686029</v>
      </c>
      <c r="Q31" s="8" t="n"/>
      <c r="R31" s="8" t="n"/>
      <c r="S31" s="3" t="inlineStr">
        <is>
          <t>[PASAR] Info Oculta</t>
        </is>
      </c>
      <c r="T31" s="3" t="inlineStr">
        <is>
          <t>[PASAR] Margen Predictivo O/U Insuficiente (&lt;15%)</t>
        </is>
      </c>
      <c r="U31" s="6" t="n">
        <v>0</v>
      </c>
      <c r="V31" s="6" t="n">
        <v>0</v>
      </c>
      <c r="W31" s="3">
        <f>IF(L31="","",IF((MAX(L31,M31,N31)-MEDIAN(L31,M31,N31))&gt;0.05,IF(OR(Q31="",R31=""),"[PREDICCION] "&amp;IF(L31=MAX(L31,M31,N31),"LOCAL",IF(M31=MAX(L31,M31,N31),"EMPATE","VISITA")),IF(L31=MAX(L31,M31,N31),IF(Q31&gt;R31,"[ACIERTO]","[FALLO]"),IF(M31=MAX(L31,M31,N31),IF(Q31=R31,"[ACIERTO]","[FALLO]"),IF(Q31&lt;R31,"[ACIERTO]","[FALLO]")))),"[PASAR] Margen Insuf"))</f>
        <v/>
      </c>
      <c r="X31" s="6">
        <f>IFERROR(IF(U31=0,0,IF(ISNUMBER(SEARCH("[GANADA]",S31)),U31*(IF(ISNUMBER(SEARCH("LOCAL",S31)),F31,IF(ISNUMBER(SEARCH("EMPATE",S31)),G31,H31))-1),IF(ISNUMBER(SEARCH("[PERDIDA]",S31)),-U31,0))),0)+IFERROR(IF(V31=0,0,IF(ISNUMBER(SEARCH("[GANADA]",T31)),V31*(IF(ISNUMBER(SEARCH("OVER",T31)),I31,J31)-1),IF(ISNUMBER(SEARCH("[PERDIDA]",T31)),-V31,0))),0)</f>
        <v/>
      </c>
      <c r="Y31" s="6">
        <f>Y30+X31</f>
        <v/>
      </c>
      <c r="Z31" s="7">
        <f>IF(OR(Q31="",R31=""),"",(L31-IF(Q31&gt;R31,1,0))^2+(M31-IF(Q31=R31,1,0))^2+(N31-IF(Q31&lt;R31,1,0))^2)</f>
        <v/>
      </c>
      <c r="AA31" s="9" t="n">
        <v>0.786</v>
      </c>
      <c r="AB31" s="2" t="inlineStr">
        <is>
          <t>NO</t>
        </is>
      </c>
    </row>
    <row r="32">
      <c r="A32" s="2" t="inlineStr">
        <is>
          <t>05/04/2026</t>
        </is>
      </c>
      <c r="B32" s="3" t="inlineStr">
        <is>
          <t>2026-04-05fatihkaragumrukcaykurrizespor</t>
        </is>
      </c>
      <c r="C32" s="3" t="inlineStr">
        <is>
          <t>Fatih Karagümrük vs Caykur Rizespor</t>
        </is>
      </c>
      <c r="D32" s="3" t="inlineStr">
        <is>
          <t>Fatih Karagümrük</t>
        </is>
      </c>
      <c r="E32" s="3" t="inlineStr">
        <is>
          <t>Caykur Rizespor</t>
        </is>
      </c>
      <c r="F32" s="4" t="n">
        <v>2.92</v>
      </c>
      <c r="G32" s="4" t="n">
        <v>3.32</v>
      </c>
      <c r="H32" s="4" t="n">
        <v>2.46</v>
      </c>
      <c r="I32" s="4" t="n">
        <v>1.87</v>
      </c>
      <c r="J32" s="4" t="n">
        <v>1.97</v>
      </c>
      <c r="K32" s="2" t="inlineStr">
        <is>
          <t>Turquia</t>
        </is>
      </c>
      <c r="L32" s="5" t="n">
        <v>0.3514426200719207</v>
      </c>
      <c r="M32" s="5" t="n">
        <v>0.2716075812871424</v>
      </c>
      <c r="N32" s="5" t="n">
        <v>0.376949798640937</v>
      </c>
      <c r="O32" s="5" t="n">
        <v>0.4967726530136669</v>
      </c>
      <c r="P32" s="5" t="n">
        <v>0.5032273469863331</v>
      </c>
      <c r="Q32" s="8" t="n"/>
      <c r="R32" s="8" t="n"/>
      <c r="S32" s="3" t="inlineStr">
        <is>
          <t>[PASAR] Margen Predictivo Insuficiente (&lt;5%)</t>
        </is>
      </c>
      <c r="T32" s="3" t="inlineStr">
        <is>
          <t>[PASAR] Margen Predictivo O/U Insuficiente (&lt;15%)</t>
        </is>
      </c>
      <c r="U32" s="6" t="n">
        <v>0</v>
      </c>
      <c r="V32" s="6" t="n">
        <v>0</v>
      </c>
      <c r="W32" s="3">
        <f>IF(L32="","",IF((MAX(L32,M32,N32)-MEDIAN(L32,M32,N32))&gt;0.05,IF(OR(Q32="",R32=""),"[PREDICCION] "&amp;IF(L32=MAX(L32,M32,N32),"LOCAL",IF(M32=MAX(L32,M32,N32),"EMPATE","VISITA")),IF(L32=MAX(L32,M32,N32),IF(Q32&gt;R32,"[ACIERTO]","[FALLO]"),IF(M32=MAX(L32,M32,N32),IF(Q32=R32,"[ACIERTO]","[FALLO]"),IF(Q32&lt;R32,"[ACIERTO]","[FALLO]")))),"[PASAR] Margen Insuf"))</f>
        <v/>
      </c>
      <c r="X32" s="6">
        <f>IFERROR(IF(U32=0,0,IF(ISNUMBER(SEARCH("[GANADA]",S32)),U32*(IF(ISNUMBER(SEARCH("LOCAL",S32)),F32,IF(ISNUMBER(SEARCH("EMPATE",S32)),G32,H32))-1),IF(ISNUMBER(SEARCH("[PERDIDA]",S32)),-U32,0))),0)+IFERROR(IF(V32=0,0,IF(ISNUMBER(SEARCH("[GANADA]",T32)),V32*(IF(ISNUMBER(SEARCH("OVER",T32)),I32,J32)-1),IF(ISNUMBER(SEARCH("[PERDIDA]",T32)),-V32,0))),0)</f>
        <v/>
      </c>
      <c r="Y32" s="6">
        <f>Y31+X32</f>
        <v/>
      </c>
      <c r="Z32" s="7">
        <f>IF(OR(Q32="",R32=""),"",(L32-IF(Q32&gt;R32,1,0))^2+(M32-IF(Q32=R32,1,0))^2+(N32-IF(Q32&lt;R32,1,0))^2)</f>
        <v/>
      </c>
      <c r="AA32" s="9" t="n">
        <v>0.7704</v>
      </c>
      <c r="AB32" s="2" t="inlineStr">
        <is>
          <t>NO</t>
        </is>
      </c>
    </row>
    <row r="33">
      <c r="A33" s="2" t="inlineStr">
        <is>
          <t>05/04/2026</t>
        </is>
      </c>
      <c r="B33" s="3" t="inlineStr">
        <is>
          <t>2026-04-05samsunsporkonyaspor</t>
        </is>
      </c>
      <c r="C33" s="3" t="inlineStr">
        <is>
          <t>Samsunspor vs Konyaspor</t>
        </is>
      </c>
      <c r="D33" s="3" t="inlineStr">
        <is>
          <t>Samsunspor</t>
        </is>
      </c>
      <c r="E33" s="3" t="inlineStr">
        <is>
          <t>Konyaspor</t>
        </is>
      </c>
      <c r="F33" s="4" t="n"/>
      <c r="G33" s="4" t="n"/>
      <c r="H33" s="4" t="n"/>
      <c r="I33" s="4" t="n"/>
      <c r="J33" s="4" t="n"/>
      <c r="K33" s="2" t="inlineStr">
        <is>
          <t>Turquia</t>
        </is>
      </c>
      <c r="L33" s="5" t="n">
        <v>0.4326940218702164</v>
      </c>
      <c r="M33" s="5" t="n">
        <v>0.2741415535192428</v>
      </c>
      <c r="N33" s="5" t="n">
        <v>0.2931644246105408</v>
      </c>
      <c r="O33" s="5" t="n">
        <v>0.4719878585254011</v>
      </c>
      <c r="P33" s="5" t="n">
        <v>0.5280121414745987</v>
      </c>
      <c r="Q33" s="8" t="n"/>
      <c r="R33" s="8" t="n"/>
      <c r="S33" s="3" t="inlineStr">
        <is>
          <t>[PASAR] Sin Cuotas</t>
        </is>
      </c>
      <c r="T33" s="3" t="inlineStr">
        <is>
          <t>[PASAR] Sin Cuotas</t>
        </is>
      </c>
      <c r="U33" s="6" t="n">
        <v>0</v>
      </c>
      <c r="V33" s="6" t="n">
        <v>0</v>
      </c>
      <c r="W33" s="3">
        <f>IF(L33="","",IF((MAX(L33,M33,N33)-MEDIAN(L33,M33,N33))&gt;0.05,IF(OR(Q33="",R33=""),"[PREDICCION] "&amp;IF(L33=MAX(L33,M33,N33),"LOCAL",IF(M33=MAX(L33,M33,N33),"EMPATE","VISITA")),IF(L33=MAX(L33,M33,N33),IF(Q33&gt;R33,"[ACIERTO]","[FALLO]"),IF(M33=MAX(L33,M33,N33),IF(Q33=R33,"[ACIERTO]","[FALLO]"),IF(Q33&lt;R33,"[ACIERTO]","[FALLO]")))),"[PASAR] Margen Insuf"))</f>
        <v/>
      </c>
      <c r="X33" s="6">
        <f>IFERROR(IF(U33=0,0,IF(ISNUMBER(SEARCH("[GANADA]",S33)),U33*(IF(ISNUMBER(SEARCH("LOCAL",S33)),F33,IF(ISNUMBER(SEARCH("EMPATE",S33)),G33,H33))-1),IF(ISNUMBER(SEARCH("[PERDIDA]",S33)),-U33,0))),0)+IFERROR(IF(V33=0,0,IF(ISNUMBER(SEARCH("[GANADA]",T33)),V33*(IF(ISNUMBER(SEARCH("OVER",T33)),I33,J33)-1),IF(ISNUMBER(SEARCH("[PERDIDA]",T33)),-V33,0))),0)</f>
        <v/>
      </c>
      <c r="Y33" s="6">
        <f>Y32+X33</f>
        <v/>
      </c>
      <c r="Z33" s="7">
        <f>IF(OR(Q33="",R33=""),"",(L33-IF(Q33&gt;R33,1,0))^2+(M33-IF(Q33=R33,1,0))^2+(N33-IF(Q33&lt;R33,1,0))^2)</f>
        <v/>
      </c>
      <c r="AA33" s="9" t="n">
        <v>0.8228</v>
      </c>
      <c r="AB33" s="2" t="inlineStr">
        <is>
          <t>NO</t>
        </is>
      </c>
    </row>
    <row r="34">
      <c r="A34" s="2" t="inlineStr">
        <is>
          <t>05/04/2026</t>
        </is>
      </c>
      <c r="B34" s="3" t="inlineStr">
        <is>
          <t>2026-04-05antalyasporeyupspor</t>
        </is>
      </c>
      <c r="C34" s="3" t="inlineStr">
        <is>
          <t>Antalyaspor vs Eyupspor</t>
        </is>
      </c>
      <c r="D34" s="3" t="inlineStr">
        <is>
          <t>Antalyaspor</t>
        </is>
      </c>
      <c r="E34" s="3" t="inlineStr">
        <is>
          <t>Eyupspor</t>
        </is>
      </c>
      <c r="F34" s="4" t="n">
        <v>2.16</v>
      </c>
      <c r="G34" s="4" t="n">
        <v>2.94</v>
      </c>
      <c r="H34" s="4" t="n">
        <v>4.04</v>
      </c>
      <c r="I34" s="4" t="n"/>
      <c r="J34" s="4" t="n"/>
      <c r="K34" s="2" t="inlineStr">
        <is>
          <t>Turquia</t>
        </is>
      </c>
      <c r="L34" s="5" t="n">
        <v>0.3774842620479749</v>
      </c>
      <c r="M34" s="5" t="n">
        <v>0.2650645959520047</v>
      </c>
      <c r="N34" s="5" t="n">
        <v>0.3574511420000204</v>
      </c>
      <c r="O34" s="5" t="n">
        <v>0.5245637627586317</v>
      </c>
      <c r="P34" s="5" t="n">
        <v>0.4754362372413684</v>
      </c>
      <c r="Q34" s="8" t="n"/>
      <c r="R34" s="8" t="n"/>
      <c r="S34" s="3" t="inlineStr">
        <is>
          <t>[PASAR] Margen Predictivo Insuficiente (&lt;5%)</t>
        </is>
      </c>
      <c r="T34" s="3" t="inlineStr">
        <is>
          <t>[PASAR] Sin Cuotas</t>
        </is>
      </c>
      <c r="U34" s="6" t="n">
        <v>0</v>
      </c>
      <c r="V34" s="6" t="n">
        <v>0</v>
      </c>
      <c r="W34" s="3">
        <f>IF(L34="","",IF((MAX(L34,M34,N34)-MEDIAN(L34,M34,N34))&gt;0.05,IF(OR(Q34="",R34=""),"[PREDICCION] "&amp;IF(L34=MAX(L34,M34,N34),"LOCAL",IF(M34=MAX(L34,M34,N34),"EMPATE","VISITA")),IF(L34=MAX(L34,M34,N34),IF(Q34&gt;R34,"[ACIERTO]","[FALLO]"),IF(M34=MAX(L34,M34,N34),IF(Q34=R34,"[ACIERTO]","[FALLO]"),IF(Q34&lt;R34,"[ACIERTO]","[FALLO]")))),"[PASAR] Margen Insuf"))</f>
        <v/>
      </c>
      <c r="X34" s="6">
        <f>IFERROR(IF(U34=0,0,IF(ISNUMBER(SEARCH("[GANADA]",S34)),U34*(IF(ISNUMBER(SEARCH("LOCAL",S34)),F34,IF(ISNUMBER(SEARCH("EMPATE",S34)),G34,H34))-1),IF(ISNUMBER(SEARCH("[PERDIDA]",S34)),-U34,0))),0)+IFERROR(IF(V34=0,0,IF(ISNUMBER(SEARCH("[GANADA]",T34)),V34*(IF(ISNUMBER(SEARCH("OVER",T34)),I34,J34)-1),IF(ISNUMBER(SEARCH("[PERDIDA]",T34)),-V34,0))),0)</f>
        <v/>
      </c>
      <c r="Y34" s="6">
        <f>Y33+X34</f>
        <v/>
      </c>
      <c r="Z34" s="7">
        <f>IF(OR(Q34="",R34=""),"",(L34-IF(Q34&gt;R34,1,0))^2+(M34-IF(Q34=R34,1,0))^2+(N34-IF(Q34&lt;R34,1,0))^2)</f>
        <v/>
      </c>
      <c r="AA34" s="9" t="n">
        <v>0.797</v>
      </c>
      <c r="AB34" s="2" t="inlineStr">
        <is>
          <t>NO</t>
        </is>
      </c>
    </row>
    <row r="35">
      <c r="A35" s="2" t="inlineStr">
        <is>
          <t>05/04/2026</t>
        </is>
      </c>
      <c r="B35" s="3" t="inlineStr">
        <is>
          <t>2026-04-05fenerbahcebesiktas</t>
        </is>
      </c>
      <c r="C35" s="3" t="inlineStr">
        <is>
          <t>Fenerbahce vs Besiktas</t>
        </is>
      </c>
      <c r="D35" s="3" t="inlineStr">
        <is>
          <t>Fenerbahce</t>
        </is>
      </c>
      <c r="E35" s="3" t="inlineStr">
        <is>
          <t>Besiktas</t>
        </is>
      </c>
      <c r="F35" s="4" t="n">
        <v>3.5</v>
      </c>
      <c r="G35" s="4" t="n">
        <v>3.7</v>
      </c>
      <c r="H35" s="4" t="n">
        <v>2.02</v>
      </c>
      <c r="I35" s="4" t="n"/>
      <c r="J35" s="4" t="n"/>
      <c r="K35" s="2" t="inlineStr">
        <is>
          <t>Turquia</t>
        </is>
      </c>
      <c r="L35" s="5" t="n">
        <v>0.4306682642088859</v>
      </c>
      <c r="M35" s="5" t="n">
        <v>0.2475750063177246</v>
      </c>
      <c r="N35" s="5" t="n">
        <v>0.3217567294733895</v>
      </c>
      <c r="O35" s="5" t="n">
        <v>0.5933963385823751</v>
      </c>
      <c r="P35" s="5" t="n">
        <v>0.4066036614176248</v>
      </c>
      <c r="Q35" s="8" t="n"/>
      <c r="R35" s="8" t="n"/>
      <c r="S35" s="3">
        <f>IF(OR(Q35="",R35=""),"[APOSTAR] LOCAL",IF(Q35&gt;R35,"[GANADA] LOCAL","[PERDIDA] LOCAL"))</f>
        <v/>
      </c>
      <c r="T35" s="3" t="inlineStr">
        <is>
          <t>[PASAR] Sin Cuotas</t>
        </is>
      </c>
      <c r="U35" s="6" t="n">
        <v>2500</v>
      </c>
      <c r="V35" s="6" t="n">
        <v>0</v>
      </c>
      <c r="W35" s="3">
        <f>IF(L35="","",IF((MAX(L35,M35,N35)-MEDIAN(L35,M35,N35))&gt;0.05,IF(OR(Q35="",R35=""),"[PREDICCION] "&amp;IF(L35=MAX(L35,M35,N35),"LOCAL",IF(M35=MAX(L35,M35,N35),"EMPATE","VISITA")),IF(L35=MAX(L35,M35,N35),IF(Q35&gt;R35,"[ACIERTO]","[FALLO]"),IF(M35=MAX(L35,M35,N35),IF(Q35=R35,"[ACIERTO]","[FALLO]"),IF(Q35&lt;R35,"[ACIERTO]","[FALLO]")))),"[PASAR] Margen Insuf"))</f>
        <v/>
      </c>
      <c r="X35" s="6">
        <f>IFERROR(IF(U35=0,0,IF(ISNUMBER(SEARCH("[GANADA]",S35)),U35*(IF(ISNUMBER(SEARCH("LOCAL",S35)),F35,IF(ISNUMBER(SEARCH("EMPATE",S35)),G35,H35))-1),IF(ISNUMBER(SEARCH("[PERDIDA]",S35)),-U35,0))),0)+IFERROR(IF(V35=0,0,IF(ISNUMBER(SEARCH("[GANADA]",T35)),V35*(IF(ISNUMBER(SEARCH("OVER",T35)),I35,J35)-1),IF(ISNUMBER(SEARCH("[PERDIDA]",T35)),-V35,0))),0)</f>
        <v/>
      </c>
      <c r="Y35" s="6">
        <f>Y34+X35</f>
        <v/>
      </c>
      <c r="Z35" s="7">
        <f>IF(OR(Q35="",R35=""),"",(L35-IF(Q35&gt;R35,1,0))^2+(M35-IF(Q35=R35,1,0))^2+(N35-IF(Q35&lt;R35,1,0))^2)</f>
        <v/>
      </c>
      <c r="AA35" s="9" t="n">
        <v>0.7782</v>
      </c>
      <c r="AB35" s="2" t="inlineStr">
        <is>
          <t>NO</t>
        </is>
      </c>
    </row>
    <row r="36">
      <c r="A36" s="2" t="inlineStr">
        <is>
          <t>05/04/2026</t>
        </is>
      </c>
      <c r="B36" s="3" t="inlineStr">
        <is>
          <t>2026-04-05gimnasialaplatahuracan</t>
        </is>
      </c>
      <c r="C36" s="3" t="inlineStr">
        <is>
          <t>Gimnasia la Plata vs Huracan</t>
        </is>
      </c>
      <c r="D36" s="3" t="inlineStr">
        <is>
          <t>Gimnasia la Plata</t>
        </is>
      </c>
      <c r="E36" s="3" t="inlineStr">
        <is>
          <t>Huracan</t>
        </is>
      </c>
      <c r="F36" s="4" t="n"/>
      <c r="G36" s="4" t="n"/>
      <c r="H36" s="4" t="n"/>
      <c r="I36" s="4" t="n"/>
      <c r="J36" s="4" t="n"/>
      <c r="K36" s="2" t="inlineStr">
        <is>
          <t>Argentina</t>
        </is>
      </c>
      <c r="L36" s="5" t="n">
        <v>0.368873229450139</v>
      </c>
      <c r="M36" s="5" t="n">
        <v>0.2961950847840223</v>
      </c>
      <c r="N36" s="5" t="n">
        <v>0.3349316857658389</v>
      </c>
      <c r="O36" s="5" t="n">
        <v>0.4097861749290452</v>
      </c>
      <c r="P36" s="5" t="n">
        <v>0.5902138250709548</v>
      </c>
      <c r="Q36" s="8" t="n"/>
      <c r="R36" s="8" t="n"/>
      <c r="S36" s="3" t="inlineStr">
        <is>
          <t>[PASAR] Sin Cuotas</t>
        </is>
      </c>
      <c r="T36" s="3" t="inlineStr">
        <is>
          <t>[PASAR] Sin Cuotas</t>
        </is>
      </c>
      <c r="U36" s="6" t="n">
        <v>0</v>
      </c>
      <c r="V36" s="6" t="n">
        <v>0</v>
      </c>
      <c r="W36" s="3">
        <f>IF(L36="","",IF((MAX(L36,M36,N36)-MEDIAN(L36,M36,N36))&gt;0.05,IF(OR(Q36="",R36=""),"[PREDICCION] "&amp;IF(L36=MAX(L36,M36,N36),"LOCAL",IF(M36=MAX(L36,M36,N36),"EMPATE","VISITA")),IF(L36=MAX(L36,M36,N36),IF(Q36&gt;R36,"[ACIERTO]","[FALLO]"),IF(M36=MAX(L36,M36,N36),IF(Q36=R36,"[ACIERTO]","[FALLO]"),IF(Q36&lt;R36,"[ACIERTO]","[FALLO]")))),"[PASAR] Margen Insuf"))</f>
        <v/>
      </c>
      <c r="X36" s="6">
        <f>IFERROR(IF(U36=0,0,IF(ISNUMBER(SEARCH("[GANADA]",S36)),U36*(IF(ISNUMBER(SEARCH("LOCAL",S36)),F36,IF(ISNUMBER(SEARCH("EMPATE",S36)),G36,H36))-1),IF(ISNUMBER(SEARCH("[PERDIDA]",S36)),-U36,0))),0)+IFERROR(IF(V36=0,0,IF(ISNUMBER(SEARCH("[GANADA]",T36)),V36*(IF(ISNUMBER(SEARCH("OVER",T36)),I36,J36)-1),IF(ISNUMBER(SEARCH("[PERDIDA]",T36)),-V36,0))),0)</f>
        <v/>
      </c>
      <c r="Y36" s="6">
        <f>Y35+X36</f>
        <v/>
      </c>
      <c r="Z36" s="7">
        <f>IF(OR(Q36="",R36=""),"",(L36-IF(Q36&gt;R36,1,0))^2+(M36-IF(Q36=R36,1,0))^2+(N36-IF(Q36&lt;R36,1,0))^2)</f>
        <v/>
      </c>
      <c r="AA36" s="9" t="n">
        <v>0.6372</v>
      </c>
      <c r="AB36" s="2" t="inlineStr">
        <is>
          <t>NO</t>
        </is>
      </c>
    </row>
    <row r="37">
      <c r="A37" s="2" t="inlineStr">
        <is>
          <t>05/04/2026</t>
        </is>
      </c>
      <c r="B37" s="3" t="inlineStr">
        <is>
          <t>2026-04-05chapecoensevitoria</t>
        </is>
      </c>
      <c r="C37" s="3" t="inlineStr">
        <is>
          <t>Chapecoense vs Vitoria</t>
        </is>
      </c>
      <c r="D37" s="3" t="inlineStr">
        <is>
          <t>Chapecoense</t>
        </is>
      </c>
      <c r="E37" s="3" t="inlineStr">
        <is>
          <t>Vitoria</t>
        </is>
      </c>
      <c r="F37" s="4" t="n"/>
      <c r="G37" s="4" t="n"/>
      <c r="H37" s="4" t="n"/>
      <c r="I37" s="4" t="n"/>
      <c r="J37" s="4" t="n"/>
      <c r="K37" s="2" t="inlineStr">
        <is>
          <t>Brasil</t>
        </is>
      </c>
      <c r="L37" s="5" t="n">
        <v>0.4825786156537761</v>
      </c>
      <c r="M37" s="5" t="n">
        <v>0.2367691964448078</v>
      </c>
      <c r="N37" s="5" t="n">
        <v>0.2806521879014161</v>
      </c>
      <c r="O37" s="5" t="n">
        <v>0.6164228481620946</v>
      </c>
      <c r="P37" s="5" t="n">
        <v>0.3835771518379054</v>
      </c>
      <c r="Q37" s="8" t="n"/>
      <c r="R37" s="8" t="n"/>
      <c r="S37" s="3" t="inlineStr">
        <is>
          <t>[PASAR] Sin Cuotas</t>
        </is>
      </c>
      <c r="T37" s="3" t="inlineStr">
        <is>
          <t>[PASAR] Sin Cuotas</t>
        </is>
      </c>
      <c r="U37" s="6" t="n">
        <v>0</v>
      </c>
      <c r="V37" s="6" t="n">
        <v>0</v>
      </c>
      <c r="W37" s="3">
        <f>IF(L37="","",IF((MAX(L37,M37,N37)-MEDIAN(L37,M37,N37))&gt;0.05,IF(OR(Q37="",R37=""),"[PREDICCION] "&amp;IF(L37=MAX(L37,M37,N37),"LOCAL",IF(M37=MAX(L37,M37,N37),"EMPATE","VISITA")),IF(L37=MAX(L37,M37,N37),IF(Q37&gt;R37,"[ACIERTO]","[FALLO]"),IF(M37=MAX(L37,M37,N37),IF(Q37=R37,"[ACIERTO]","[FALLO]"),IF(Q37&lt;R37,"[ACIERTO]","[FALLO]")))),"[PASAR] Margen Insuf"))</f>
        <v/>
      </c>
      <c r="X37" s="6">
        <f>IFERROR(IF(U37=0,0,IF(ISNUMBER(SEARCH("[GANADA]",S37)),U37*(IF(ISNUMBER(SEARCH("LOCAL",S37)),F37,IF(ISNUMBER(SEARCH("EMPATE",S37)),G37,H37))-1),IF(ISNUMBER(SEARCH("[PERDIDA]",S37)),-U37,0))),0)+IFERROR(IF(V37=0,0,IF(ISNUMBER(SEARCH("[GANADA]",T37)),V37*(IF(ISNUMBER(SEARCH("OVER",T37)),I37,J37)-1),IF(ISNUMBER(SEARCH("[PERDIDA]",T37)),-V37,0))),0)</f>
        <v/>
      </c>
      <c r="Y37" s="6">
        <f>Y36+X37</f>
        <v/>
      </c>
      <c r="Z37" s="7">
        <f>IF(OR(Q37="",R37=""),"",(L37-IF(Q37&gt;R37,1,0))^2+(M37-IF(Q37=R37,1,0))^2+(N37-IF(Q37&lt;R37,1,0))^2)</f>
        <v/>
      </c>
      <c r="AA37" s="9" t="n">
        <v>0.7333</v>
      </c>
      <c r="AB37" s="2" t="inlineStr">
        <is>
          <t>NO</t>
        </is>
      </c>
    </row>
    <row r="38">
      <c r="A38" s="2" t="inlineStr">
        <is>
          <t>05/04/2026</t>
        </is>
      </c>
      <c r="B38" s="3" t="inlineStr">
        <is>
          <t>2026-04-05atleticomgathleticoparanaense</t>
        </is>
      </c>
      <c r="C38" s="3" t="inlineStr">
        <is>
          <t>Atlético-mg vs Athletico Paranaense</t>
        </is>
      </c>
      <c r="D38" s="3" t="inlineStr">
        <is>
          <t>Atlético-mg</t>
        </is>
      </c>
      <c r="E38" s="3" t="inlineStr">
        <is>
          <t>Athletico Paranaense</t>
        </is>
      </c>
      <c r="F38" s="4" t="n"/>
      <c r="G38" s="4" t="n"/>
      <c r="H38" s="4" t="n"/>
      <c r="I38" s="4" t="n"/>
      <c r="J38" s="4" t="n"/>
      <c r="K38" s="2" t="inlineStr">
        <is>
          <t>Brasil</t>
        </is>
      </c>
      <c r="L38" s="5" t="n">
        <v>0.4615128324473665</v>
      </c>
      <c r="M38" s="5" t="n">
        <v>0.236508850278938</v>
      </c>
      <c r="N38" s="5" t="n">
        <v>0.3019783172736955</v>
      </c>
      <c r="O38" s="5" t="n">
        <v>0.6302198486764455</v>
      </c>
      <c r="P38" s="5" t="n">
        <v>0.3697801513235544</v>
      </c>
      <c r="Q38" s="8" t="n"/>
      <c r="R38" s="8" t="n"/>
      <c r="S38" s="3" t="inlineStr">
        <is>
          <t>[PASAR] Sin Cuotas</t>
        </is>
      </c>
      <c r="T38" s="3" t="inlineStr">
        <is>
          <t>[PASAR] Sin Cuotas</t>
        </is>
      </c>
      <c r="U38" s="6" t="n">
        <v>0</v>
      </c>
      <c r="V38" s="6" t="n">
        <v>0</v>
      </c>
      <c r="W38" s="3">
        <f>IF(L38="","",IF((MAX(L38,M38,N38)-MEDIAN(L38,M38,N38))&gt;0.05,IF(OR(Q38="",R38=""),"[PREDICCION] "&amp;IF(L38=MAX(L38,M38,N38),"LOCAL",IF(M38=MAX(L38,M38,N38),"EMPATE","VISITA")),IF(L38=MAX(L38,M38,N38),IF(Q38&gt;R38,"[ACIERTO]","[FALLO]"),IF(M38=MAX(L38,M38,N38),IF(Q38=R38,"[ACIERTO]","[FALLO]"),IF(Q38&lt;R38,"[ACIERTO]","[FALLO]")))),"[PASAR] Margen Insuf"))</f>
        <v/>
      </c>
      <c r="X38" s="6">
        <f>IFERROR(IF(U38=0,0,IF(ISNUMBER(SEARCH("[GANADA]",S38)),U38*(IF(ISNUMBER(SEARCH("LOCAL",S38)),F38,IF(ISNUMBER(SEARCH("EMPATE",S38)),G38,H38))-1),IF(ISNUMBER(SEARCH("[PERDIDA]",S38)),-U38,0))),0)+IFERROR(IF(V38=0,0,IF(ISNUMBER(SEARCH("[GANADA]",T38)),V38*(IF(ISNUMBER(SEARCH("OVER",T38)),I38,J38)-1),IF(ISNUMBER(SEARCH("[PERDIDA]",T38)),-V38,0))),0)</f>
        <v/>
      </c>
      <c r="Y38" s="6">
        <f>Y37+X38</f>
        <v/>
      </c>
      <c r="Z38" s="7">
        <f>IF(OR(Q38="",R38=""),"",(L38-IF(Q38&gt;R38,1,0))^2+(M38-IF(Q38=R38,1,0))^2+(N38-IF(Q38&lt;R38,1,0))^2)</f>
        <v/>
      </c>
      <c r="AA38" s="9" t="n">
        <v>0.9826</v>
      </c>
      <c r="AB38" s="2" t="inlineStr">
        <is>
          <t>NO</t>
        </is>
      </c>
    </row>
    <row r="39">
      <c r="A39" s="2" t="inlineStr">
        <is>
          <t>05/04/2026</t>
        </is>
      </c>
      <c r="B39" s="3" t="inlineStr">
        <is>
          <t>2026-04-05flamengosantos</t>
        </is>
      </c>
      <c r="C39" s="3" t="inlineStr">
        <is>
          <t>Flamengo vs Santos</t>
        </is>
      </c>
      <c r="D39" s="3" t="inlineStr">
        <is>
          <t>Flamengo</t>
        </is>
      </c>
      <c r="E39" s="3" t="inlineStr">
        <is>
          <t>Santos</t>
        </is>
      </c>
      <c r="F39" s="4" t="n"/>
      <c r="G39" s="4" t="n"/>
      <c r="H39" s="4" t="n"/>
      <c r="I39" s="4" t="n"/>
      <c r="J39" s="4" t="n"/>
      <c r="K39" s="2" t="inlineStr">
        <is>
          <t>Brasil</t>
        </is>
      </c>
      <c r="L39" s="5" t="n">
        <v>0.5662712540782335</v>
      </c>
      <c r="M39" s="5" t="n">
        <v>0.2381668467185218</v>
      </c>
      <c r="N39" s="5" t="n">
        <v>0.1955618992032447</v>
      </c>
      <c r="O39" s="5" t="n">
        <v>0.5267138998639872</v>
      </c>
      <c r="P39" s="5" t="n">
        <v>0.4732861001360128</v>
      </c>
      <c r="Q39" s="8" t="n"/>
      <c r="R39" s="8" t="n"/>
      <c r="S39" s="3" t="inlineStr">
        <is>
          <t>[PASAR] Sin Cuotas</t>
        </is>
      </c>
      <c r="T39" s="3" t="inlineStr">
        <is>
          <t>[PASAR] Sin Cuotas</t>
        </is>
      </c>
      <c r="U39" s="6" t="n">
        <v>0</v>
      </c>
      <c r="V39" s="6" t="n">
        <v>0</v>
      </c>
      <c r="W39" s="3">
        <f>IF(L39="","",IF((MAX(L39,M39,N39)-MEDIAN(L39,M39,N39))&gt;0.05,IF(OR(Q39="",R39=""),"[PREDICCION] "&amp;IF(L39=MAX(L39,M39,N39),"LOCAL",IF(M39=MAX(L39,M39,N39),"EMPATE","VISITA")),IF(L39=MAX(L39,M39,N39),IF(Q39&gt;R39,"[ACIERTO]","[FALLO]"),IF(M39=MAX(L39,M39,N39),IF(Q39=R39,"[ACIERTO]","[FALLO]"),IF(Q39&lt;R39,"[ACIERTO]","[FALLO]")))),"[PASAR] Margen Insuf"))</f>
        <v/>
      </c>
      <c r="X39" s="6">
        <f>IFERROR(IF(U39=0,0,IF(ISNUMBER(SEARCH("[GANADA]",S39)),U39*(IF(ISNUMBER(SEARCH("LOCAL",S39)),F39,IF(ISNUMBER(SEARCH("EMPATE",S39)),G39,H39))-1),IF(ISNUMBER(SEARCH("[PERDIDA]",S39)),-U39,0))),0)+IFERROR(IF(V39=0,0,IF(ISNUMBER(SEARCH("[GANADA]",T39)),V39*(IF(ISNUMBER(SEARCH("OVER",T39)),I39,J39)-1),IF(ISNUMBER(SEARCH("[PERDIDA]",T39)),-V39,0))),0)</f>
        <v/>
      </c>
      <c r="Y39" s="6">
        <f>Y38+X39</f>
        <v/>
      </c>
      <c r="Z39" s="7">
        <f>IF(OR(Q39="",R39=""),"",(L39-IF(Q39&gt;R39,1,0))^2+(M39-IF(Q39=R39,1,0))^2+(N39-IF(Q39&lt;R39,1,0))^2)</f>
        <v/>
      </c>
      <c r="AA39" s="9" t="n">
        <v>0.8604000000000001</v>
      </c>
      <c r="AB39" s="2" t="inlineStr">
        <is>
          <t>NO</t>
        </is>
      </c>
    </row>
    <row r="40">
      <c r="A40" s="2" t="inlineStr">
        <is>
          <t>05/04/2026</t>
        </is>
      </c>
      <c r="B40" s="3" t="inlineStr">
        <is>
          <t>2026-04-05riverplatebelgranocordoba</t>
        </is>
      </c>
      <c r="C40" s="3" t="inlineStr">
        <is>
          <t>River Plate vs Belgrano (cordoba)</t>
        </is>
      </c>
      <c r="D40" s="3" t="inlineStr">
        <is>
          <t>River Plate</t>
        </is>
      </c>
      <c r="E40" s="3" t="inlineStr">
        <is>
          <t>Belgrano (cordoba)</t>
        </is>
      </c>
      <c r="F40" s="4" t="n">
        <v>6.75</v>
      </c>
      <c r="G40" s="4" t="n">
        <v>3.87</v>
      </c>
      <c r="H40" s="4" t="n">
        <v>1.54</v>
      </c>
      <c r="I40" s="4" t="n"/>
      <c r="J40" s="4" t="n"/>
      <c r="K40" s="2" t="inlineStr">
        <is>
          <t>Argentina</t>
        </is>
      </c>
      <c r="L40" s="5" t="n">
        <v>0.5182926127492579</v>
      </c>
      <c r="M40" s="5" t="n">
        <v>0.2600060064497515</v>
      </c>
      <c r="N40" s="5" t="n">
        <v>0.2217013808009906</v>
      </c>
      <c r="O40" s="5" t="n">
        <v>0.4844492602992937</v>
      </c>
      <c r="P40" s="5" t="n">
        <v>0.5155507397007064</v>
      </c>
      <c r="Q40" s="8" t="n"/>
      <c r="R40" s="8" t="n"/>
      <c r="S40" s="3" t="inlineStr">
        <is>
          <t>[PASAR] Techo Cuota</t>
        </is>
      </c>
      <c r="T40" s="3" t="inlineStr">
        <is>
          <t>[PASAR] Sin Cuotas</t>
        </is>
      </c>
      <c r="U40" s="6" t="n">
        <v>0</v>
      </c>
      <c r="V40" s="6" t="n">
        <v>0</v>
      </c>
      <c r="W40" s="3">
        <f>IF(L40="","",IF((MAX(L40,M40,N40)-MEDIAN(L40,M40,N40))&gt;0.05,IF(OR(Q40="",R40=""),"[PREDICCION] "&amp;IF(L40=MAX(L40,M40,N40),"LOCAL",IF(M40=MAX(L40,M40,N40),"EMPATE","VISITA")),IF(L40=MAX(L40,M40,N40),IF(Q40&gt;R40,"[ACIERTO]","[FALLO]"),IF(M40=MAX(L40,M40,N40),IF(Q40=R40,"[ACIERTO]","[FALLO]"),IF(Q40&lt;R40,"[ACIERTO]","[FALLO]")))),"[PASAR] Margen Insuf"))</f>
        <v/>
      </c>
      <c r="X40" s="6">
        <f>IFERROR(IF(U40=0,0,IF(ISNUMBER(SEARCH("[GANADA]",S40)),U40*(IF(ISNUMBER(SEARCH("LOCAL",S40)),F40,IF(ISNUMBER(SEARCH("EMPATE",S40)),G40,H40))-1),IF(ISNUMBER(SEARCH("[PERDIDA]",S40)),-U40,0))),0)+IFERROR(IF(V40=0,0,IF(ISNUMBER(SEARCH("[GANADA]",T40)),V40*(IF(ISNUMBER(SEARCH("OVER",T40)),I40,J40)-1),IF(ISNUMBER(SEARCH("[PERDIDA]",T40)),-V40,0))),0)</f>
        <v/>
      </c>
      <c r="Y40" s="6">
        <f>Y39+X40</f>
        <v/>
      </c>
      <c r="Z40" s="7">
        <f>IF(OR(Q40="",R40=""),"",(L40-IF(Q40&gt;R40,1,0))^2+(M40-IF(Q40=R40,1,0))^2+(N40-IF(Q40&lt;R40,1,0))^2)</f>
        <v/>
      </c>
      <c r="AA40" s="9" t="n">
        <v>0.7229</v>
      </c>
      <c r="AB40" s="2" t="inlineStr">
        <is>
          <t>NO</t>
        </is>
      </c>
    </row>
    <row r="41">
      <c r="A41" s="2" t="inlineStr">
        <is>
          <t>05/04/2026</t>
        </is>
      </c>
      <c r="B41" s="3" t="inlineStr">
        <is>
          <t>2026-04-05bahiapalmeiras</t>
        </is>
      </c>
      <c r="C41" s="3" t="inlineStr">
        <is>
          <t>Bahia vs Palmeiras</t>
        </is>
      </c>
      <c r="D41" s="3" t="inlineStr">
        <is>
          <t>Bahia</t>
        </is>
      </c>
      <c r="E41" s="3" t="inlineStr">
        <is>
          <t>Palmeiras</t>
        </is>
      </c>
      <c r="F41" s="4" t="n"/>
      <c r="G41" s="4" t="n"/>
      <c r="H41" s="4" t="n"/>
      <c r="I41" s="4" t="n"/>
      <c r="J41" s="4" t="n"/>
      <c r="K41" s="2" t="inlineStr">
        <is>
          <t>Brasil</t>
        </is>
      </c>
      <c r="L41" s="5" t="n">
        <v>0.4215300795038821</v>
      </c>
      <c r="M41" s="5" t="n">
        <v>0.2398108567261798</v>
      </c>
      <c r="N41" s="5" t="n">
        <v>0.3386590637699382</v>
      </c>
      <c r="O41" s="5" t="n">
        <v>0.6295043800536333</v>
      </c>
      <c r="P41" s="5" t="n">
        <v>0.3704956199463667</v>
      </c>
      <c r="Q41" s="8" t="n"/>
      <c r="R41" s="8" t="n"/>
      <c r="S41" s="3" t="inlineStr">
        <is>
          <t>[PASAR] Sin Cuotas</t>
        </is>
      </c>
      <c r="T41" s="3" t="inlineStr">
        <is>
          <t>[PASAR] Sin Cuotas</t>
        </is>
      </c>
      <c r="U41" s="6" t="n">
        <v>0</v>
      </c>
      <c r="V41" s="6" t="n">
        <v>0</v>
      </c>
      <c r="W41" s="3">
        <f>IF(L41="","",IF((MAX(L41,M41,N41)-MEDIAN(L41,M41,N41))&gt;0.05,IF(OR(Q41="",R41=""),"[PREDICCION] "&amp;IF(L41=MAX(L41,M41,N41),"LOCAL",IF(M41=MAX(L41,M41,N41),"EMPATE","VISITA")),IF(L41=MAX(L41,M41,N41),IF(Q41&gt;R41,"[ACIERTO]","[FALLO]"),IF(M41=MAX(L41,M41,N41),IF(Q41=R41,"[ACIERTO]","[FALLO]"),IF(Q41&lt;R41,"[ACIERTO]","[FALLO]")))),"[PASAR] Margen Insuf"))</f>
        <v/>
      </c>
      <c r="X41" s="6">
        <f>IFERROR(IF(U41=0,0,IF(ISNUMBER(SEARCH("[GANADA]",S41)),U41*(IF(ISNUMBER(SEARCH("LOCAL",S41)),F41,IF(ISNUMBER(SEARCH("EMPATE",S41)),G41,H41))-1),IF(ISNUMBER(SEARCH("[PERDIDA]",S41)),-U41,0))),0)+IFERROR(IF(V41=0,0,IF(ISNUMBER(SEARCH("[GANADA]",T41)),V41*(IF(ISNUMBER(SEARCH("OVER",T41)),I41,J41)-1),IF(ISNUMBER(SEARCH("[PERDIDA]",T41)),-V41,0))),0)</f>
        <v/>
      </c>
      <c r="Y41" s="6">
        <f>Y40+X41</f>
        <v/>
      </c>
      <c r="Z41" s="7">
        <f>IF(OR(Q41="",R41=""),"",(L41-IF(Q41&gt;R41,1,0))^2+(M41-IF(Q41=R41,1,0))^2+(N41-IF(Q41&lt;R41,1,0))^2)</f>
        <v/>
      </c>
      <c r="AA41" s="9" t="n">
        <v>0.7536</v>
      </c>
      <c r="AB41" s="2" t="inlineStr">
        <is>
          <t>NO</t>
        </is>
      </c>
    </row>
    <row r="42">
      <c r="A42" s="2" t="inlineStr">
        <is>
          <t>05/04/2026</t>
        </is>
      </c>
      <c r="B42" s="3" t="inlineStr">
        <is>
          <t>2026-04-05corinthiansinternacional</t>
        </is>
      </c>
      <c r="C42" s="3" t="inlineStr">
        <is>
          <t>Corinthians vs Internacional</t>
        </is>
      </c>
      <c r="D42" s="3" t="inlineStr">
        <is>
          <t>Corinthians</t>
        </is>
      </c>
      <c r="E42" s="3" t="inlineStr">
        <is>
          <t>Internacional</t>
        </is>
      </c>
      <c r="F42" s="4" t="n">
        <v>2.06</v>
      </c>
      <c r="G42" s="4" t="n">
        <v>3.26</v>
      </c>
      <c r="H42" s="4" t="n">
        <v>3.89</v>
      </c>
      <c r="I42" s="4" t="n"/>
      <c r="J42" s="4" t="n"/>
      <c r="K42" s="2" t="inlineStr">
        <is>
          <t>Brasil</t>
        </is>
      </c>
      <c r="L42" s="5" t="n">
        <v>0.4518731620512668</v>
      </c>
      <c r="M42" s="5" t="n">
        <v>0.2698114537779331</v>
      </c>
      <c r="N42" s="5" t="n">
        <v>0.2783153841708002</v>
      </c>
      <c r="O42" s="5" t="n">
        <v>0.477166307368663</v>
      </c>
      <c r="P42" s="5" t="n">
        <v>0.5228336926313369</v>
      </c>
      <c r="Q42" s="8" t="n"/>
      <c r="R42" s="8" t="n"/>
      <c r="S42" s="3">
        <f>IF(OR(Q42="",R42=""),"[APOSTAR] VISITA",IF(Q42&lt;R42,"[GANADA] VISITA","[PERDIDA] VISITA"))</f>
        <v/>
      </c>
      <c r="T42" s="3" t="inlineStr">
        <is>
          <t>[PASAR] Sin Cuotas</t>
        </is>
      </c>
      <c r="U42" s="6" t="n">
        <v>1429.88</v>
      </c>
      <c r="V42" s="6" t="n">
        <v>0</v>
      </c>
      <c r="W42" s="3">
        <f>IF(L42="","",IF((MAX(L42,M42,N42)-MEDIAN(L42,M42,N42))&gt;0.05,IF(OR(Q42="",R42=""),"[PREDICCION] "&amp;IF(L42=MAX(L42,M42,N42),"LOCAL",IF(M42=MAX(L42,M42,N42),"EMPATE","VISITA")),IF(L42=MAX(L42,M42,N42),IF(Q42&gt;R42,"[ACIERTO]","[FALLO]"),IF(M42=MAX(L42,M42,N42),IF(Q42=R42,"[ACIERTO]","[FALLO]"),IF(Q42&lt;R42,"[ACIERTO]","[FALLO]")))),"[PASAR] Margen Insuf"))</f>
        <v/>
      </c>
      <c r="X42" s="6">
        <f>IFERROR(IF(U42=0,0,IF(ISNUMBER(SEARCH("[GANADA]",S42)),U42*(IF(ISNUMBER(SEARCH("LOCAL",S42)),F42,IF(ISNUMBER(SEARCH("EMPATE",S42)),G42,H42))-1),IF(ISNUMBER(SEARCH("[PERDIDA]",S42)),-U42,0))),0)+IFERROR(IF(V42=0,0,IF(ISNUMBER(SEARCH("[GANADA]",T42)),V42*(IF(ISNUMBER(SEARCH("OVER",T42)),I42,J42)-1),IF(ISNUMBER(SEARCH("[PERDIDA]",T42)),-V42,0))),0)</f>
        <v/>
      </c>
      <c r="Y42" s="6">
        <f>Y41+X42</f>
        <v/>
      </c>
      <c r="Z42" s="7">
        <f>IF(OR(Q42="",R42=""),"",(L42-IF(Q42&gt;R42,1,0))^2+(M42-IF(Q42=R42,1,0))^2+(N42-IF(Q42&lt;R42,1,0))^2)</f>
        <v/>
      </c>
      <c r="AA42" s="9" t="n">
        <v>0.6796</v>
      </c>
      <c r="AB42" s="2" t="inlineStr">
        <is>
          <t>NO</t>
        </is>
      </c>
    </row>
    <row r="43">
      <c r="A43" s="2" t="inlineStr">
        <is>
          <t>05/04/2026</t>
        </is>
      </c>
      <c r="B43" s="3" t="inlineStr">
        <is>
          <t>2026-04-05mirassolredbullbragantino</t>
        </is>
      </c>
      <c r="C43" s="3" t="inlineStr">
        <is>
          <t>Mirassol vs Red Bull Bragantino</t>
        </is>
      </c>
      <c r="D43" s="3" t="inlineStr">
        <is>
          <t>Mirassol</t>
        </is>
      </c>
      <c r="E43" s="3" t="inlineStr">
        <is>
          <t>Red Bull Bragantino</t>
        </is>
      </c>
      <c r="F43" s="4" t="n"/>
      <c r="G43" s="4" t="n"/>
      <c r="H43" s="4" t="n"/>
      <c r="I43" s="4" t="n"/>
      <c r="J43" s="4" t="n"/>
      <c r="K43" s="2" t="inlineStr">
        <is>
          <t>Brasil</t>
        </is>
      </c>
      <c r="L43" s="5" t="n">
        <v>0.5492190367975108</v>
      </c>
      <c r="M43" s="5" t="n">
        <v>0.2320064086298784</v>
      </c>
      <c r="N43" s="5" t="n">
        <v>0.2187745545726109</v>
      </c>
      <c r="O43" s="5" t="n">
        <v>0.5810405925258193</v>
      </c>
      <c r="P43" s="5" t="n">
        <v>0.4189594074741808</v>
      </c>
      <c r="Q43" s="8" t="n"/>
      <c r="R43" s="8" t="n"/>
      <c r="S43" s="3" t="inlineStr">
        <is>
          <t>[PASAR] Sin Cuotas</t>
        </is>
      </c>
      <c r="T43" s="3" t="inlineStr">
        <is>
          <t>[PASAR] Sin Cuotas</t>
        </is>
      </c>
      <c r="U43" s="6" t="n">
        <v>0</v>
      </c>
      <c r="V43" s="6" t="n">
        <v>0</v>
      </c>
      <c r="W43" s="3">
        <f>IF(L43="","",IF((MAX(L43,M43,N43)-MEDIAN(L43,M43,N43))&gt;0.05,IF(OR(Q43="",R43=""),"[PREDICCION] "&amp;IF(L43=MAX(L43,M43,N43),"LOCAL",IF(M43=MAX(L43,M43,N43),"EMPATE","VISITA")),IF(L43=MAX(L43,M43,N43),IF(Q43&gt;R43,"[ACIERTO]","[FALLO]"),IF(M43=MAX(L43,M43,N43),IF(Q43=R43,"[ACIERTO]","[FALLO]"),IF(Q43&lt;R43,"[ACIERTO]","[FALLO]")))),"[PASAR] Margen Insuf"))</f>
        <v/>
      </c>
      <c r="X43" s="6">
        <f>IFERROR(IF(U43=0,0,IF(ISNUMBER(SEARCH("[GANADA]",S43)),U43*(IF(ISNUMBER(SEARCH("LOCAL",S43)),F43,IF(ISNUMBER(SEARCH("EMPATE",S43)),G43,H43))-1),IF(ISNUMBER(SEARCH("[PERDIDA]",S43)),-U43,0))),0)+IFERROR(IF(V43=0,0,IF(ISNUMBER(SEARCH("[GANADA]",T43)),V43*(IF(ISNUMBER(SEARCH("OVER",T43)),I43,J43)-1),IF(ISNUMBER(SEARCH("[PERDIDA]",T43)),-V43,0))),0)</f>
        <v/>
      </c>
      <c r="Y43" s="6">
        <f>Y42+X43</f>
        <v/>
      </c>
      <c r="Z43" s="7">
        <f>IF(OR(Q43="",R43=""),"",(L43-IF(Q43&gt;R43,1,0))^2+(M43-IF(Q43=R43,1,0))^2+(N43-IF(Q43&lt;R43,1,0))^2)</f>
        <v/>
      </c>
      <c r="AA43" s="9" t="n">
        <v>0.7882</v>
      </c>
      <c r="AB43" s="2" t="inlineStr">
        <is>
          <t>NO</t>
        </is>
      </c>
    </row>
    <row r="44">
      <c r="A44" s="2" t="inlineStr">
        <is>
          <t>05/04/2026</t>
        </is>
      </c>
      <c r="B44" s="3" t="inlineStr">
        <is>
          <t>2026-04-05centralcordobasantiagodelesteronewellsoldboys</t>
        </is>
      </c>
      <c r="C44" s="3" t="inlineStr">
        <is>
          <t>Central Córdoba (santiago del Estero) vs Newell's Old Boys</t>
        </is>
      </c>
      <c r="D44" s="3" t="inlineStr">
        <is>
          <t>Central Córdoba (santiago del Estero)</t>
        </is>
      </c>
      <c r="E44" s="3" t="inlineStr">
        <is>
          <t>Newell's Old Boys</t>
        </is>
      </c>
      <c r="F44" s="4" t="n"/>
      <c r="G44" s="4" t="n"/>
      <c r="H44" s="4" t="n"/>
      <c r="I44" s="4" t="n"/>
      <c r="J44" s="4" t="n"/>
      <c r="K44" s="2" t="inlineStr">
        <is>
          <t>Argentina</t>
        </is>
      </c>
      <c r="L44" s="5" t="n">
        <v>0.5153241999647814</v>
      </c>
      <c r="M44" s="5" t="n">
        <v>0.2689372011435175</v>
      </c>
      <c r="N44" s="5" t="n">
        <v>0.2157385988917011</v>
      </c>
      <c r="O44" s="5" t="n">
        <v>0.446270691195238</v>
      </c>
      <c r="P44" s="5" t="n">
        <v>0.553729308804762</v>
      </c>
      <c r="Q44" s="8" t="n"/>
      <c r="R44" s="8" t="n"/>
      <c r="S44" s="3" t="inlineStr">
        <is>
          <t>[PASAR] Sin Cuotas</t>
        </is>
      </c>
      <c r="T44" s="3" t="inlineStr">
        <is>
          <t>[PASAR] Sin Cuotas</t>
        </is>
      </c>
      <c r="U44" s="6" t="n">
        <v>0</v>
      </c>
      <c r="V44" s="6" t="n">
        <v>0</v>
      </c>
      <c r="W44" s="3">
        <f>IF(L44="","",IF((MAX(L44,M44,N44)-MEDIAN(L44,M44,N44))&gt;0.05,IF(OR(Q44="",R44=""),"[PREDICCION] "&amp;IF(L44=MAX(L44,M44,N44),"LOCAL",IF(M44=MAX(L44,M44,N44),"EMPATE","VISITA")),IF(L44=MAX(L44,M44,N44),IF(Q44&gt;R44,"[ACIERTO]","[FALLO]"),IF(M44=MAX(L44,M44,N44),IF(Q44=R44,"[ACIERTO]","[FALLO]"),IF(Q44&lt;R44,"[ACIERTO]","[FALLO]")))),"[PASAR] Margen Insuf"))</f>
        <v/>
      </c>
      <c r="X44" s="6">
        <f>IFERROR(IF(U44=0,0,IF(ISNUMBER(SEARCH("[GANADA]",S44)),U44*(IF(ISNUMBER(SEARCH("LOCAL",S44)),F44,IF(ISNUMBER(SEARCH("EMPATE",S44)),G44,H44))-1),IF(ISNUMBER(SEARCH("[PERDIDA]",S44)),-U44,0))),0)+IFERROR(IF(V44=0,0,IF(ISNUMBER(SEARCH("[GANADA]",T44)),V44*(IF(ISNUMBER(SEARCH("OVER",T44)),I44,J44)-1),IF(ISNUMBER(SEARCH("[PERDIDA]",T44)),-V44,0))),0)</f>
        <v/>
      </c>
      <c r="Y44" s="6">
        <f>Y43+X44</f>
        <v/>
      </c>
      <c r="Z44" s="7">
        <f>IF(OR(Q44="",R44=""),"",(L44-IF(Q44&gt;R44,1,0))^2+(M44-IF(Q44=R44,1,0))^2+(N44-IF(Q44&lt;R44,1,0))^2)</f>
        <v/>
      </c>
      <c r="AA44" s="9" t="n">
        <v>0.7146</v>
      </c>
      <c r="AB44" s="2" t="inlineStr">
        <is>
          <t>NO</t>
        </is>
      </c>
    </row>
    <row r="45">
      <c r="A45" s="2" t="inlineStr">
        <is>
          <t>05/04/2026</t>
        </is>
      </c>
      <c r="B45" s="3" t="inlineStr">
        <is>
          <t>2026-04-05gremioremo</t>
        </is>
      </c>
      <c r="C45" s="3" t="inlineStr">
        <is>
          <t>Gremio vs Remo</t>
        </is>
      </c>
      <c r="D45" s="3" t="inlineStr">
        <is>
          <t>Gremio</t>
        </is>
      </c>
      <c r="E45" s="3" t="inlineStr">
        <is>
          <t>Remo</t>
        </is>
      </c>
      <c r="F45" s="4" t="n"/>
      <c r="G45" s="4" t="n"/>
      <c r="H45" s="4" t="n"/>
      <c r="I45" s="4" t="n"/>
      <c r="J45" s="4" t="n"/>
      <c r="K45" s="2" t="inlineStr">
        <is>
          <t>Brasil</t>
        </is>
      </c>
      <c r="L45" s="5" t="n">
        <v>0.5088312851447669</v>
      </c>
      <c r="M45" s="5" t="n">
        <v>0.2477182384864072</v>
      </c>
      <c r="N45" s="5" t="n">
        <v>0.2434504763688258</v>
      </c>
      <c r="O45" s="5" t="n">
        <v>0.540373561034338</v>
      </c>
      <c r="P45" s="5" t="n">
        <v>0.459626438965662</v>
      </c>
      <c r="Q45" s="8" t="n"/>
      <c r="R45" s="8" t="n"/>
      <c r="S45" s="3" t="inlineStr">
        <is>
          <t>[PASAR] Sin Cuotas</t>
        </is>
      </c>
      <c r="T45" s="3" t="inlineStr">
        <is>
          <t>[PASAR] Sin Cuotas</t>
        </is>
      </c>
      <c r="U45" s="6" t="n">
        <v>0</v>
      </c>
      <c r="V45" s="6" t="n">
        <v>0</v>
      </c>
      <c r="W45" s="3">
        <f>IF(L45="","",IF((MAX(L45,M45,N45)-MEDIAN(L45,M45,N45))&gt;0.05,IF(OR(Q45="",R45=""),"[PREDICCION] "&amp;IF(L45=MAX(L45,M45,N45),"LOCAL",IF(M45=MAX(L45,M45,N45),"EMPATE","VISITA")),IF(L45=MAX(L45,M45,N45),IF(Q45&gt;R45,"[ACIERTO]","[FALLO]"),IF(M45=MAX(L45,M45,N45),IF(Q45=R45,"[ACIERTO]","[FALLO]"),IF(Q45&lt;R45,"[ACIERTO]","[FALLO]")))),"[PASAR] Margen Insuf"))</f>
        <v/>
      </c>
      <c r="X45" s="6">
        <f>IFERROR(IF(U45=0,0,IF(ISNUMBER(SEARCH("[GANADA]",S45)),U45*(IF(ISNUMBER(SEARCH("LOCAL",S45)),F45,IF(ISNUMBER(SEARCH("EMPATE",S45)),G45,H45))-1),IF(ISNUMBER(SEARCH("[PERDIDA]",S45)),-U45,0))),0)+IFERROR(IF(V45=0,0,IF(ISNUMBER(SEARCH("[GANADA]",T45)),V45*(IF(ISNUMBER(SEARCH("OVER",T45)),I45,J45)-1),IF(ISNUMBER(SEARCH("[PERDIDA]",T45)),-V45,0))),0)</f>
        <v/>
      </c>
      <c r="Y45" s="6">
        <f>Y44+X45</f>
        <v/>
      </c>
      <c r="Z45" s="7">
        <f>IF(OR(Q45="",R45=""),"",(L45-IF(Q45&gt;R45,1,0))^2+(M45-IF(Q45=R45,1,0))^2+(N45-IF(Q45&lt;R45,1,0))^2)</f>
        <v/>
      </c>
      <c r="AA45" s="9" t="n">
        <v>0.6657999999999999</v>
      </c>
      <c r="AB45" s="2" t="inlineStr">
        <is>
          <t>NO</t>
        </is>
      </c>
    </row>
    <row r="46">
      <c r="A46" s="2" t="inlineStr">
        <is>
          <t>06/04/2026</t>
        </is>
      </c>
      <c r="B46" s="3" t="inlineStr">
        <is>
          <t>2026-04-06valerengavikingfk</t>
        </is>
      </c>
      <c r="C46" s="3" t="inlineStr">
        <is>
          <t>Valerenga vs Viking fk</t>
        </is>
      </c>
      <c r="D46" s="3" t="inlineStr">
        <is>
          <t>Valerenga</t>
        </is>
      </c>
      <c r="E46" s="3" t="inlineStr">
        <is>
          <t>Viking fk</t>
        </is>
      </c>
      <c r="F46" s="4" t="n">
        <v>2.16</v>
      </c>
      <c r="G46" s="4" t="n">
        <v>3.92</v>
      </c>
      <c r="H46" s="4" t="n">
        <v>3.03</v>
      </c>
      <c r="I46" s="4" t="n"/>
      <c r="J46" s="4" t="n"/>
      <c r="K46" s="2" t="inlineStr">
        <is>
          <t>Noruega</t>
        </is>
      </c>
      <c r="L46" s="5" t="n">
        <v>0.3658204311866388</v>
      </c>
      <c r="M46" s="5" t="n">
        <v>0.2461491157187746</v>
      </c>
      <c r="N46" s="5" t="n">
        <v>0.3880304530945866</v>
      </c>
      <c r="O46" s="5" t="n">
        <v>0.5914288125286316</v>
      </c>
      <c r="P46" s="5" t="n">
        <v>0.4085711874713684</v>
      </c>
      <c r="Q46" s="8" t="n"/>
      <c r="R46" s="8" t="n"/>
      <c r="S46" s="3" t="inlineStr">
        <is>
          <t>[PASAR] Margen Predictivo Insuficiente (&lt;5%)</t>
        </is>
      </c>
      <c r="T46" s="3" t="inlineStr">
        <is>
          <t>[PASAR] Sin Cuotas</t>
        </is>
      </c>
      <c r="U46" s="6" t="n">
        <v>0</v>
      </c>
      <c r="V46" s="6" t="n">
        <v>0</v>
      </c>
      <c r="W46" s="3">
        <f>IF(L46="","",IF((MAX(L46,M46,N46)-MEDIAN(L46,M46,N46))&gt;0.05,IF(OR(Q46="",R46=""),"[PREDICCION] "&amp;IF(L46=MAX(L46,M46,N46),"LOCAL",IF(M46=MAX(L46,M46,N46),"EMPATE","VISITA")),IF(L46=MAX(L46,M46,N46),IF(Q46&gt;R46,"[ACIERTO]","[FALLO]"),IF(M46=MAX(L46,M46,N46),IF(Q46=R46,"[ACIERTO]","[FALLO]"),IF(Q46&lt;R46,"[ACIERTO]","[FALLO]")))),"[PASAR] Margen Insuf"))</f>
        <v/>
      </c>
      <c r="X46" s="6">
        <f>IFERROR(IF(U46=0,0,IF(ISNUMBER(SEARCH("[GANADA]",S46)),U46*(IF(ISNUMBER(SEARCH("LOCAL",S46)),F46,IF(ISNUMBER(SEARCH("EMPATE",S46)),G46,H46))-1),IF(ISNUMBER(SEARCH("[PERDIDA]",S46)),-U46,0))),0)+IFERROR(IF(V46=0,0,IF(ISNUMBER(SEARCH("[GANADA]",T46)),V46*(IF(ISNUMBER(SEARCH("OVER",T46)),I46,J46)-1),IF(ISNUMBER(SEARCH("[PERDIDA]",T46)),-V46,0))),0)</f>
        <v/>
      </c>
      <c r="Y46" s="6">
        <f>Y45+X46</f>
        <v/>
      </c>
      <c r="Z46" s="7">
        <f>IF(OR(Q46="",R46=""),"",(L46-IF(Q46&gt;R46,1,0))^2+(M46-IF(Q46=R46,1,0))^2+(N46-IF(Q46&lt;R46,1,0))^2)</f>
        <v/>
      </c>
      <c r="AA46" s="9" t="n">
        <v>0.6494</v>
      </c>
      <c r="AB46" s="2" t="inlineStr">
        <is>
          <t>NO</t>
        </is>
      </c>
    </row>
    <row r="47">
      <c r="A47" s="2" t="inlineStr">
        <is>
          <t>06/04/2026</t>
        </is>
      </c>
      <c r="B47" s="3" t="inlineStr">
        <is>
          <t>2026-04-06hamkamskbrann</t>
        </is>
      </c>
      <c r="C47" s="3" t="inlineStr">
        <is>
          <t>Hamkam vs Sk Brann</t>
        </is>
      </c>
      <c r="D47" s="3" t="inlineStr">
        <is>
          <t>Hamkam</t>
        </is>
      </c>
      <c r="E47" s="3" t="inlineStr">
        <is>
          <t>Sk Brann</t>
        </is>
      </c>
      <c r="F47" s="4" t="n">
        <v>3.5</v>
      </c>
      <c r="G47" s="4" t="n">
        <v>3.65</v>
      </c>
      <c r="H47" s="4" t="n">
        <v>2.04</v>
      </c>
      <c r="I47" s="4" t="n"/>
      <c r="J47" s="4" t="n"/>
      <c r="K47" s="2" t="inlineStr">
        <is>
          <t>Noruega</t>
        </is>
      </c>
      <c r="L47" s="5" t="n">
        <v>0.4486757801788941</v>
      </c>
      <c r="M47" s="5" t="n">
        <v>0.2371454964032732</v>
      </c>
      <c r="N47" s="5" t="n">
        <v>0.3141787234178327</v>
      </c>
      <c r="O47" s="5" t="n">
        <v>0.6200891137750755</v>
      </c>
      <c r="P47" s="5" t="n">
        <v>0.3799108862249245</v>
      </c>
      <c r="Q47" s="8" t="n"/>
      <c r="R47" s="8" t="n"/>
      <c r="S47" s="3">
        <f>IF(OR(Q47="",R47=""),"[APOSTAR] LOCAL",IF(Q47&gt;R47,"[GANADA] LOCAL","[PERDIDA] LOCAL"))</f>
        <v/>
      </c>
      <c r="T47" s="3" t="inlineStr">
        <is>
          <t>[PASAR] Sin Cuotas</t>
        </is>
      </c>
      <c r="U47" s="6" t="n">
        <v>1443.38</v>
      </c>
      <c r="V47" s="6" t="n">
        <v>0</v>
      </c>
      <c r="W47" s="3">
        <f>IF(L47="","",IF((MAX(L47,M47,N47)-MEDIAN(L47,M47,N47))&gt;0.05,IF(OR(Q47="",R47=""),"[PREDICCION] "&amp;IF(L47=MAX(L47,M47,N47),"LOCAL",IF(M47=MAX(L47,M47,N47),"EMPATE","VISITA")),IF(L47=MAX(L47,M47,N47),IF(Q47&gt;R47,"[ACIERTO]","[FALLO]"),IF(M47=MAX(L47,M47,N47),IF(Q47=R47,"[ACIERTO]","[FALLO]"),IF(Q47&lt;R47,"[ACIERTO]","[FALLO]")))),"[PASAR] Margen Insuf"))</f>
        <v/>
      </c>
      <c r="X47" s="6">
        <f>IFERROR(IF(U47=0,0,IF(ISNUMBER(SEARCH("[GANADA]",S47)),U47*(IF(ISNUMBER(SEARCH("LOCAL",S47)),F47,IF(ISNUMBER(SEARCH("EMPATE",S47)),G47,H47))-1),IF(ISNUMBER(SEARCH("[PERDIDA]",S47)),-U47,0))),0)+IFERROR(IF(V47=0,0,IF(ISNUMBER(SEARCH("[GANADA]",T47)),V47*(IF(ISNUMBER(SEARCH("OVER",T47)),I47,J47)-1),IF(ISNUMBER(SEARCH("[PERDIDA]",T47)),-V47,0))),0)</f>
        <v/>
      </c>
      <c r="Y47" s="6">
        <f>Y46+X47</f>
        <v/>
      </c>
      <c r="Z47" s="7">
        <f>IF(OR(Q47="",R47=""),"",(L47-IF(Q47&gt;R47,1,0))^2+(M47-IF(Q47=R47,1,0))^2+(N47-IF(Q47&lt;R47,1,0))^2)</f>
        <v/>
      </c>
      <c r="AA47" s="9" t="n">
        <v>0.9265</v>
      </c>
      <c r="AB47" s="2" t="inlineStr">
        <is>
          <t>NO</t>
        </is>
      </c>
    </row>
    <row r="48">
      <c r="A48" s="2" t="inlineStr">
        <is>
          <t>06/04/2026</t>
        </is>
      </c>
      <c r="B48" s="3" t="inlineStr">
        <is>
          <t>2026-04-06kristiansundbkbodoglimt</t>
        </is>
      </c>
      <c r="C48" s="3" t="inlineStr">
        <is>
          <t>Kristiansund bk vs Bodo/glimt</t>
        </is>
      </c>
      <c r="D48" s="3" t="inlineStr">
        <is>
          <t>Kristiansund bk</t>
        </is>
      </c>
      <c r="E48" s="3" t="inlineStr">
        <is>
          <t>Bodo/glimt</t>
        </is>
      </c>
      <c r="F48" s="4" t="n">
        <v>1.29</v>
      </c>
      <c r="G48" s="4" t="n">
        <v>6.43</v>
      </c>
      <c r="H48" s="4" t="n">
        <v>7.83</v>
      </c>
      <c r="I48" s="4" t="n"/>
      <c r="J48" s="4" t="n"/>
      <c r="K48" s="2" t="inlineStr">
        <is>
          <t>Noruega</t>
        </is>
      </c>
      <c r="L48" s="5" t="n">
        <v>0.2685554359060944</v>
      </c>
      <c r="M48" s="5" t="n">
        <v>0.2382308588689295</v>
      </c>
      <c r="N48" s="5" t="n">
        <v>0.4932137052249761</v>
      </c>
      <c r="O48" s="5" t="n">
        <v>0.5879103320327207</v>
      </c>
      <c r="P48" s="5" t="n">
        <v>0.4120896679672794</v>
      </c>
      <c r="Q48" s="8" t="n"/>
      <c r="R48" s="8" t="n"/>
      <c r="S48" s="3" t="inlineStr">
        <is>
          <t>[PASAR] Techo Cuota</t>
        </is>
      </c>
      <c r="T48" s="3" t="inlineStr">
        <is>
          <t>[PASAR] Sin Cuotas</t>
        </is>
      </c>
      <c r="U48" s="6" t="n">
        <v>0</v>
      </c>
      <c r="V48" s="6" t="n">
        <v>0</v>
      </c>
      <c r="W48" s="3">
        <f>IF(L48="","",IF((MAX(L48,M48,N48)-MEDIAN(L48,M48,N48))&gt;0.05,IF(OR(Q48="",R48=""),"[PREDICCION] "&amp;IF(L48=MAX(L48,M48,N48),"LOCAL",IF(M48=MAX(L48,M48,N48),"EMPATE","VISITA")),IF(L48=MAX(L48,M48,N48),IF(Q48&gt;R48,"[ACIERTO]","[FALLO]"),IF(M48=MAX(L48,M48,N48),IF(Q48=R48,"[ACIERTO]","[FALLO]"),IF(Q48&lt;R48,"[ACIERTO]","[FALLO]")))),"[PASAR] Margen Insuf"))</f>
        <v/>
      </c>
      <c r="X48" s="6">
        <f>IFERROR(IF(U48=0,0,IF(ISNUMBER(SEARCH("[GANADA]",S48)),U48*(IF(ISNUMBER(SEARCH("LOCAL",S48)),F48,IF(ISNUMBER(SEARCH("EMPATE",S48)),G48,H48))-1),IF(ISNUMBER(SEARCH("[PERDIDA]",S48)),-U48,0))),0)+IFERROR(IF(V48=0,0,IF(ISNUMBER(SEARCH("[GANADA]",T48)),V48*(IF(ISNUMBER(SEARCH("OVER",T48)),I48,J48)-1),IF(ISNUMBER(SEARCH("[PERDIDA]",T48)),-V48,0))),0)</f>
        <v/>
      </c>
      <c r="Y48" s="6">
        <f>Y47+X48</f>
        <v/>
      </c>
      <c r="Z48" s="7">
        <f>IF(OR(Q48="",R48=""),"",(L48-IF(Q48&gt;R48,1,0))^2+(M48-IF(Q48=R48,1,0))^2+(N48-IF(Q48&lt;R48,1,0))^2)</f>
        <v/>
      </c>
      <c r="AA48" s="9" t="n">
        <v>0.7848000000000001</v>
      </c>
      <c r="AB48" s="2" t="inlineStr">
        <is>
          <t>NO</t>
        </is>
      </c>
    </row>
    <row r="49">
      <c r="A49" s="2" t="inlineStr">
        <is>
          <t>06/04/2026</t>
        </is>
      </c>
      <c r="B49" s="3" t="inlineStr">
        <is>
          <t>2026-04-06moldelillestrom</t>
        </is>
      </c>
      <c r="C49" s="3" t="inlineStr">
        <is>
          <t>Molde vs Lillestrom</t>
        </is>
      </c>
      <c r="D49" s="3" t="inlineStr">
        <is>
          <t>Molde</t>
        </is>
      </c>
      <c r="E49" s="3" t="inlineStr">
        <is>
          <t>Lillestrom</t>
        </is>
      </c>
      <c r="F49" s="4" t="n">
        <v>3.2</v>
      </c>
      <c r="G49" s="4" t="n">
        <v>3.8</v>
      </c>
      <c r="H49" s="4" t="n">
        <v>2.11</v>
      </c>
      <c r="I49" s="4" t="n"/>
      <c r="J49" s="4" t="n"/>
      <c r="K49" s="2" t="inlineStr">
        <is>
          <t>Noruega</t>
        </is>
      </c>
      <c r="L49" s="5" t="n">
        <v>0.4566563276940353</v>
      </c>
      <c r="M49" s="5" t="n">
        <v>0.2465314821330628</v>
      </c>
      <c r="N49" s="5" t="n">
        <v>0.2968121901729019</v>
      </c>
      <c r="O49" s="5" t="n">
        <v>0.5692579408856451</v>
      </c>
      <c r="P49" s="5" t="n">
        <v>0.4307420591143548</v>
      </c>
      <c r="Q49" s="8" t="n"/>
      <c r="R49" s="8" t="n"/>
      <c r="S49" s="3">
        <f>IF(OR(Q49="",R49=""),"[APOSTAR] LOCAL",IF(Q49&gt;R49,"[GANADA] LOCAL","[PERDIDA] LOCAL"))</f>
        <v/>
      </c>
      <c r="T49" s="3" t="inlineStr">
        <is>
          <t>[PASAR] Sin Cuotas</t>
        </is>
      </c>
      <c r="U49" s="6" t="n">
        <v>1443.38</v>
      </c>
      <c r="V49" s="6" t="n">
        <v>0</v>
      </c>
      <c r="W49" s="3">
        <f>IF(L49="","",IF((MAX(L49,M49,N49)-MEDIAN(L49,M49,N49))&gt;0.05,IF(OR(Q49="",R49=""),"[PREDICCION] "&amp;IF(L49=MAX(L49,M49,N49),"LOCAL",IF(M49=MAX(L49,M49,N49),"EMPATE","VISITA")),IF(L49=MAX(L49,M49,N49),IF(Q49&gt;R49,"[ACIERTO]","[FALLO]"),IF(M49=MAX(L49,M49,N49),IF(Q49=R49,"[ACIERTO]","[FALLO]"),IF(Q49&lt;R49,"[ACIERTO]","[FALLO]")))),"[PASAR] Margen Insuf"))</f>
        <v/>
      </c>
      <c r="X49" s="6">
        <f>IFERROR(IF(U49=0,0,IF(ISNUMBER(SEARCH("[GANADA]",S49)),U49*(IF(ISNUMBER(SEARCH("LOCAL",S49)),F49,IF(ISNUMBER(SEARCH("EMPATE",S49)),G49,H49))-1),IF(ISNUMBER(SEARCH("[PERDIDA]",S49)),-U49,0))),0)+IFERROR(IF(V49=0,0,IF(ISNUMBER(SEARCH("[GANADA]",T49)),V49*(IF(ISNUMBER(SEARCH("OVER",T49)),I49,J49)-1),IF(ISNUMBER(SEARCH("[PERDIDA]",T49)),-V49,0))),0)</f>
        <v/>
      </c>
      <c r="Y49" s="6">
        <f>Y48+X49</f>
        <v/>
      </c>
      <c r="Z49" s="7">
        <f>IF(OR(Q49="",R49=""),"",(L49-IF(Q49&gt;R49,1,0))^2+(M49-IF(Q49=R49,1,0))^2+(N49-IF(Q49&lt;R49,1,0))^2)</f>
        <v/>
      </c>
      <c r="AA49" s="9" t="n">
        <v>0.6857</v>
      </c>
      <c r="AB49" s="2" t="inlineStr">
        <is>
          <t>NO</t>
        </is>
      </c>
    </row>
    <row r="50">
      <c r="A50" s="2" t="inlineStr">
        <is>
          <t>06/04/2026</t>
        </is>
      </c>
      <c r="B50" s="3" t="inlineStr">
        <is>
          <t>2026-04-06sarpsborgfkikstart</t>
        </is>
      </c>
      <c r="C50" s="3" t="inlineStr">
        <is>
          <t>Sarpsborg fk vs Ik Start</t>
        </is>
      </c>
      <c r="D50" s="3" t="inlineStr">
        <is>
          <t>Sarpsborg fk</t>
        </is>
      </c>
      <c r="E50" s="3" t="inlineStr">
        <is>
          <t>Ik Start</t>
        </is>
      </c>
      <c r="F50" s="4" t="n">
        <v>4.34</v>
      </c>
      <c r="G50" s="4" t="n">
        <v>4.1</v>
      </c>
      <c r="H50" s="4" t="n">
        <v>1.74</v>
      </c>
      <c r="I50" s="4" t="n"/>
      <c r="J50" s="4" t="n"/>
      <c r="K50" s="2" t="inlineStr">
        <is>
          <t>Noruega</t>
        </is>
      </c>
      <c r="L50" s="5" t="n">
        <v>0.3429638610175831</v>
      </c>
      <c r="M50" s="5" t="n">
        <v>0.2489684277026439</v>
      </c>
      <c r="N50" s="5" t="n">
        <v>0.408067711279773</v>
      </c>
      <c r="O50" s="5" t="n">
        <v>0.5752361140664245</v>
      </c>
      <c r="P50" s="5" t="n">
        <v>0.4247638859335756</v>
      </c>
      <c r="Q50" s="8" t="n"/>
      <c r="R50" s="8" t="n"/>
      <c r="S50" s="3">
        <f>IF(OR(Q50="",R50=""),"[APOSTAR] LOCAL",IF(Q50&gt;R50,"[GANADA] LOCAL","[PERDIDA] LOCAL"))</f>
        <v/>
      </c>
      <c r="T50" s="3" t="inlineStr">
        <is>
          <t>[PASAR] Sin Cuotas</t>
        </is>
      </c>
      <c r="U50" s="6" t="n">
        <v>1443.38</v>
      </c>
      <c r="V50" s="6" t="n">
        <v>0</v>
      </c>
      <c r="W50" s="3">
        <f>IF(L50="","",IF((MAX(L50,M50,N50)-MEDIAN(L50,M50,N50))&gt;0.05,IF(OR(Q50="",R50=""),"[PREDICCION] "&amp;IF(L50=MAX(L50,M50,N50),"LOCAL",IF(M50=MAX(L50,M50,N50),"EMPATE","VISITA")),IF(L50=MAX(L50,M50,N50),IF(Q50&gt;R50,"[ACIERTO]","[FALLO]"),IF(M50=MAX(L50,M50,N50),IF(Q50=R50,"[ACIERTO]","[FALLO]"),IF(Q50&lt;R50,"[ACIERTO]","[FALLO]")))),"[PASAR] Margen Insuf"))</f>
        <v/>
      </c>
      <c r="X50" s="6">
        <f>IFERROR(IF(U50=0,0,IF(ISNUMBER(SEARCH("[GANADA]",S50)),U50*(IF(ISNUMBER(SEARCH("LOCAL",S50)),F50,IF(ISNUMBER(SEARCH("EMPATE",S50)),G50,H50))-1),IF(ISNUMBER(SEARCH("[PERDIDA]",S50)),-U50,0))),0)+IFERROR(IF(V50=0,0,IF(ISNUMBER(SEARCH("[GANADA]",T50)),V50*(IF(ISNUMBER(SEARCH("OVER",T50)),I50,J50)-1),IF(ISNUMBER(SEARCH("[PERDIDA]",T50)),-V50,0))),0)</f>
        <v/>
      </c>
      <c r="Y50" s="6">
        <f>Y49+X50</f>
        <v/>
      </c>
      <c r="Z50" s="7">
        <f>IF(OR(Q50="",R50=""),"",(L50-IF(Q50&gt;R50,1,0))^2+(M50-IF(Q50=R50,1,0))^2+(N50-IF(Q50&lt;R50,1,0))^2)</f>
        <v/>
      </c>
      <c r="AA50" s="9" t="n">
        <v>0.6021</v>
      </c>
      <c r="AB50" s="2" t="inlineStr">
        <is>
          <t>NO</t>
        </is>
      </c>
    </row>
    <row r="51">
      <c r="A51" s="2" t="inlineStr">
        <is>
          <t>06/04/2026</t>
        </is>
      </c>
      <c r="B51" s="3" t="inlineStr">
        <is>
          <t>2026-04-06kocaelisporistanbulbasaksehir</t>
        </is>
      </c>
      <c r="C51" s="3" t="inlineStr">
        <is>
          <t>Kocaelispor vs Istanbul Basaksehir</t>
        </is>
      </c>
      <c r="D51" s="3" t="inlineStr">
        <is>
          <t>Kocaelispor</t>
        </is>
      </c>
      <c r="E51" s="3" t="inlineStr">
        <is>
          <t>Istanbul Basaksehir</t>
        </is>
      </c>
      <c r="F51" s="4" t="n"/>
      <c r="G51" s="4" t="n"/>
      <c r="H51" s="4" t="n"/>
      <c r="I51" s="4" t="n"/>
      <c r="J51" s="4" t="n"/>
      <c r="K51" s="2" t="inlineStr">
        <is>
          <t>Turquia</t>
        </is>
      </c>
      <c r="L51" s="5" t="n">
        <v>0.3333326837740704</v>
      </c>
      <c r="M51" s="5" t="n">
        <v>0.2768377365086844</v>
      </c>
      <c r="N51" s="5" t="n">
        <v>0.3898295797172452</v>
      </c>
      <c r="O51" s="5" t="n">
        <v>0.4735064796585714</v>
      </c>
      <c r="P51" s="5" t="n">
        <v>0.5264935203414286</v>
      </c>
      <c r="Q51" s="8" t="n"/>
      <c r="R51" s="8" t="n"/>
      <c r="S51" s="3" t="inlineStr">
        <is>
          <t>[PASAR] Sin Cuotas</t>
        </is>
      </c>
      <c r="T51" s="3" t="inlineStr">
        <is>
          <t>[PASAR] Sin Cuotas</t>
        </is>
      </c>
      <c r="U51" s="6" t="n">
        <v>0</v>
      </c>
      <c r="V51" s="6" t="n">
        <v>0</v>
      </c>
      <c r="W51" s="3">
        <f>IF(L51="","",IF((MAX(L51,M51,N51)-MEDIAN(L51,M51,N51))&gt;0.05,IF(OR(Q51="",R51=""),"[PREDICCION] "&amp;IF(L51=MAX(L51,M51,N51),"LOCAL",IF(M51=MAX(L51,M51,N51),"EMPATE","VISITA")),IF(L51=MAX(L51,M51,N51),IF(Q51&gt;R51,"[ACIERTO]","[FALLO]"),IF(M51=MAX(L51,M51,N51),IF(Q51=R51,"[ACIERTO]","[FALLO]"),IF(Q51&lt;R51,"[ACIERTO]","[FALLO]")))),"[PASAR] Margen Insuf"))</f>
        <v/>
      </c>
      <c r="X51" s="6">
        <f>IFERROR(IF(U51=0,0,IF(ISNUMBER(SEARCH("[GANADA]",S51)),U51*(IF(ISNUMBER(SEARCH("LOCAL",S51)),F51,IF(ISNUMBER(SEARCH("EMPATE",S51)),G51,H51))-1),IF(ISNUMBER(SEARCH("[PERDIDA]",S51)),-U51,0))),0)+IFERROR(IF(V51=0,0,IF(ISNUMBER(SEARCH("[GANADA]",T51)),V51*(IF(ISNUMBER(SEARCH("OVER",T51)),I51,J51)-1),IF(ISNUMBER(SEARCH("[PERDIDA]",T51)),-V51,0))),0)</f>
        <v/>
      </c>
      <c r="Y51" s="6">
        <f>Y50+X51</f>
        <v/>
      </c>
      <c r="Z51" s="7">
        <f>IF(OR(Q51="",R51=""),"",(L51-IF(Q51&gt;R51,1,0))^2+(M51-IF(Q51=R51,1,0))^2+(N51-IF(Q51&lt;R51,1,0))^2)</f>
        <v/>
      </c>
      <c r="AA51" s="9" t="n">
        <v>0.781</v>
      </c>
      <c r="AB51" s="2" t="inlineStr">
        <is>
          <t>NO</t>
        </is>
      </c>
    </row>
    <row r="52">
      <c r="A52" s="2" t="inlineStr">
        <is>
          <t>06/04/2026</t>
        </is>
      </c>
      <c r="B52" s="3" t="inlineStr">
        <is>
          <t>2026-04-06tromsorosenborg</t>
        </is>
      </c>
      <c r="C52" s="3" t="inlineStr">
        <is>
          <t>Tromso vs Rosenborg</t>
        </is>
      </c>
      <c r="D52" s="3" t="inlineStr">
        <is>
          <t>Tromso</t>
        </is>
      </c>
      <c r="E52" s="3" t="inlineStr">
        <is>
          <t>Rosenborg</t>
        </is>
      </c>
      <c r="F52" s="4" t="n">
        <v>5.46</v>
      </c>
      <c r="G52" s="4" t="n">
        <v>4.19</v>
      </c>
      <c r="H52" s="4" t="n">
        <v>1.59</v>
      </c>
      <c r="I52" s="4" t="n"/>
      <c r="J52" s="4" t="n"/>
      <c r="K52" s="2" t="inlineStr">
        <is>
          <t>Noruega</t>
        </is>
      </c>
      <c r="L52" s="5" t="n">
        <v>0.5867408979515054</v>
      </c>
      <c r="M52" s="5" t="n">
        <v>0.2264337983858185</v>
      </c>
      <c r="N52" s="5" t="n">
        <v>0.186825303662676</v>
      </c>
      <c r="O52" s="5" t="n">
        <v>0.5490319188063115</v>
      </c>
      <c r="P52" s="5" t="n">
        <v>0.4509680811936885</v>
      </c>
      <c r="Q52" s="8" t="n"/>
      <c r="R52" s="8" t="n"/>
      <c r="S52" s="3" t="inlineStr">
        <is>
          <t>[PASAR] Techo Cuota</t>
        </is>
      </c>
      <c r="T52" s="3" t="inlineStr">
        <is>
          <t>[PASAR] Sin Cuotas</t>
        </is>
      </c>
      <c r="U52" s="6" t="n">
        <v>0</v>
      </c>
      <c r="V52" s="6" t="n">
        <v>0</v>
      </c>
      <c r="W52" s="3">
        <f>IF(L52="","",IF((MAX(L52,M52,N52)-MEDIAN(L52,M52,N52))&gt;0.05,IF(OR(Q52="",R52=""),"[PREDICCION] "&amp;IF(L52=MAX(L52,M52,N52),"LOCAL",IF(M52=MAX(L52,M52,N52),"EMPATE","VISITA")),IF(L52=MAX(L52,M52,N52),IF(Q52&gt;R52,"[ACIERTO]","[FALLO]"),IF(M52=MAX(L52,M52,N52),IF(Q52=R52,"[ACIERTO]","[FALLO]"),IF(Q52&lt;R52,"[ACIERTO]","[FALLO]")))),"[PASAR] Margen Insuf"))</f>
        <v/>
      </c>
      <c r="X52" s="6">
        <f>IFERROR(IF(U52=0,0,IF(ISNUMBER(SEARCH("[GANADA]",S52)),U52*(IF(ISNUMBER(SEARCH("LOCAL",S52)),F52,IF(ISNUMBER(SEARCH("EMPATE",S52)),G52,H52))-1),IF(ISNUMBER(SEARCH("[PERDIDA]",S52)),-U52,0))),0)+IFERROR(IF(V52=0,0,IF(ISNUMBER(SEARCH("[GANADA]",T52)),V52*(IF(ISNUMBER(SEARCH("OVER",T52)),I52,J52)-1),IF(ISNUMBER(SEARCH("[PERDIDA]",T52)),-V52,0))),0)</f>
        <v/>
      </c>
      <c r="Y52" s="6">
        <f>Y51+X52</f>
        <v/>
      </c>
      <c r="Z52" s="7">
        <f>IF(OR(Q52="",R52=""),"",(L52-IF(Q52&gt;R52,1,0))^2+(M52-IF(Q52=R52,1,0))^2+(N52-IF(Q52&lt;R52,1,0))^2)</f>
        <v/>
      </c>
      <c r="AA52" s="9" t="n">
        <v>0.9676</v>
      </c>
      <c r="AB52" s="2" t="inlineStr">
        <is>
          <t>NO</t>
        </is>
      </c>
    </row>
    <row r="53">
      <c r="A53" s="2" t="inlineStr">
        <is>
          <t>06/04/2026</t>
        </is>
      </c>
      <c r="B53" s="3" t="inlineStr">
        <is>
          <t>2026-04-06argentinosjuniorsbanfield</t>
        </is>
      </c>
      <c r="C53" s="3" t="inlineStr">
        <is>
          <t>Argentinos Juniors vs Banfield</t>
        </is>
      </c>
      <c r="D53" s="3" t="inlineStr">
        <is>
          <t>Argentinos Juniors</t>
        </is>
      </c>
      <c r="E53" s="3" t="inlineStr">
        <is>
          <t>Banfield</t>
        </is>
      </c>
      <c r="F53" s="4" t="n">
        <v>1.51</v>
      </c>
      <c r="G53" s="4" t="n">
        <v>3.93</v>
      </c>
      <c r="H53" s="4" t="n">
        <v>7.18</v>
      </c>
      <c r="I53" s="4" t="n"/>
      <c r="J53" s="4" t="n"/>
      <c r="K53" s="2" t="inlineStr">
        <is>
          <t>Argentina</t>
        </is>
      </c>
      <c r="L53" s="5" t="n">
        <v>0.5563249880525862</v>
      </c>
      <c r="M53" s="5" t="n">
        <v>0.2584460255401417</v>
      </c>
      <c r="N53" s="5" t="n">
        <v>0.1852289864072721</v>
      </c>
      <c r="O53" s="5" t="n">
        <v>0.4497533845612681</v>
      </c>
      <c r="P53" s="5" t="n">
        <v>0.5502466154387319</v>
      </c>
      <c r="Q53" s="8" t="n"/>
      <c r="R53" s="8" t="n"/>
      <c r="S53" s="3" t="inlineStr">
        <is>
          <t>[PASAR] Riesgo/Beneficio</t>
        </is>
      </c>
      <c r="T53" s="3" t="inlineStr">
        <is>
          <t>[PASAR] Sin Cuotas</t>
        </is>
      </c>
      <c r="U53" s="6" t="n">
        <v>0</v>
      </c>
      <c r="V53" s="6" t="n">
        <v>0</v>
      </c>
      <c r="W53" s="3">
        <f>IF(L53="","",IF((MAX(L53,M53,N53)-MEDIAN(L53,M53,N53))&gt;0.05,IF(OR(Q53="",R53=""),"[PREDICCION] "&amp;IF(L53=MAX(L53,M53,N53),"LOCAL",IF(M53=MAX(L53,M53,N53),"EMPATE","VISITA")),IF(L53=MAX(L53,M53,N53),IF(Q53&gt;R53,"[ACIERTO]","[FALLO]"),IF(M53=MAX(L53,M53,N53),IF(Q53=R53,"[ACIERTO]","[FALLO]"),IF(Q53&lt;R53,"[ACIERTO]","[FALLO]")))),"[PASAR] Margen Insuf"))</f>
        <v/>
      </c>
      <c r="X53" s="6">
        <f>IFERROR(IF(U53=0,0,IF(ISNUMBER(SEARCH("[GANADA]",S53)),U53*(IF(ISNUMBER(SEARCH("LOCAL",S53)),F53,IF(ISNUMBER(SEARCH("EMPATE",S53)),G53,H53))-1),IF(ISNUMBER(SEARCH("[PERDIDA]",S53)),-U53,0))),0)+IFERROR(IF(V53=0,0,IF(ISNUMBER(SEARCH("[GANADA]",T53)),V53*(IF(ISNUMBER(SEARCH("OVER",T53)),I53,J53)-1),IF(ISNUMBER(SEARCH("[PERDIDA]",T53)),-V53,0))),0)</f>
        <v/>
      </c>
      <c r="Y53" s="6">
        <f>Y52+X53</f>
        <v/>
      </c>
      <c r="Z53" s="7">
        <f>IF(OR(Q53="",R53=""),"",(L53-IF(Q53&gt;R53,1,0))^2+(M53-IF(Q53=R53,1,0))^2+(N53-IF(Q53&lt;R53,1,0))^2)</f>
        <v/>
      </c>
      <c r="AA53" s="9" t="n">
        <v>0.6284</v>
      </c>
      <c r="AB53" s="2" t="inlineStr">
        <is>
          <t>NO</t>
        </is>
      </c>
    </row>
    <row r="54">
      <c r="A54" s="2" t="inlineStr">
        <is>
          <t>06/04/2026</t>
        </is>
      </c>
      <c r="B54" s="3" t="inlineStr">
        <is>
          <t>2026-04-07institutocordobadefensayjusticia</t>
        </is>
      </c>
      <c r="C54" s="3" t="inlineStr">
        <is>
          <t>Instituto (córdoba) vs Defensa y Justicia</t>
        </is>
      </c>
      <c r="D54" s="3" t="inlineStr">
        <is>
          <t>Instituto (córdoba)</t>
        </is>
      </c>
      <c r="E54" s="3" t="inlineStr">
        <is>
          <t>Defensa y Justicia</t>
        </is>
      </c>
      <c r="F54" s="4" t="n">
        <v>4.17</v>
      </c>
      <c r="G54" s="4" t="n">
        <v>3.2</v>
      </c>
      <c r="H54" s="4" t="n">
        <v>2</v>
      </c>
      <c r="I54" s="4" t="n"/>
      <c r="J54" s="4" t="n"/>
      <c r="K54" s="2" t="inlineStr">
        <is>
          <t>Argentina</t>
        </is>
      </c>
      <c r="L54" s="5" t="n">
        <v>0.3887437560472388</v>
      </c>
      <c r="M54" s="5" t="n">
        <v>0.2863879108252462</v>
      </c>
      <c r="N54" s="5" t="n">
        <v>0.3248683331275151</v>
      </c>
      <c r="O54" s="5" t="n">
        <v>0.4438155267438119</v>
      </c>
      <c r="P54" s="5" t="n">
        <v>0.5561844732561881</v>
      </c>
      <c r="Q54" s="8" t="n"/>
      <c r="R54" s="8" t="n"/>
      <c r="S54" s="3">
        <f>IF(OR(Q54="",R54=""),"[APOSTAR] LOCAL",IF(Q54&gt;R54,"[GANADA] LOCAL","[PERDIDA] LOCAL"))</f>
        <v/>
      </c>
      <c r="T54" s="3" t="inlineStr">
        <is>
          <t>[PASAR] Sin Cuotas</t>
        </is>
      </c>
      <c r="U54" s="6" t="n">
        <v>2500</v>
      </c>
      <c r="V54" s="6" t="n">
        <v>0</v>
      </c>
      <c r="W54" s="3">
        <f>IF(L54="","",IF((MAX(L54,M54,N54)-MEDIAN(L54,M54,N54))&gt;0.05,IF(OR(Q54="",R54=""),"[PREDICCION] "&amp;IF(L54=MAX(L54,M54,N54),"LOCAL",IF(M54=MAX(L54,M54,N54),"EMPATE","VISITA")),IF(L54=MAX(L54,M54,N54),IF(Q54&gt;R54,"[ACIERTO]","[FALLO]"),IF(M54=MAX(L54,M54,N54),IF(Q54=R54,"[ACIERTO]","[FALLO]"),IF(Q54&lt;R54,"[ACIERTO]","[FALLO]")))),"[PASAR] Margen Insuf"))</f>
        <v/>
      </c>
      <c r="X54" s="6">
        <f>IFERROR(IF(U54=0,0,IF(ISNUMBER(SEARCH("[GANADA]",S54)),U54*(IF(ISNUMBER(SEARCH("LOCAL",S54)),F54,IF(ISNUMBER(SEARCH("EMPATE",S54)),G54,H54))-1),IF(ISNUMBER(SEARCH("[PERDIDA]",S54)),-U54,0))),0)+IFERROR(IF(V54=0,0,IF(ISNUMBER(SEARCH("[GANADA]",T54)),V54*(IF(ISNUMBER(SEARCH("OVER",T54)),I54,J54)-1),IF(ISNUMBER(SEARCH("[PERDIDA]",T54)),-V54,0))),0)</f>
        <v/>
      </c>
      <c r="Y54" s="6">
        <f>Y53+X54</f>
        <v/>
      </c>
      <c r="Z54" s="7">
        <f>IF(OR(Q54="",R54=""),"",(L54-IF(Q54&gt;R54,1,0))^2+(M54-IF(Q54=R54,1,0))^2+(N54-IF(Q54&lt;R54,1,0))^2)</f>
        <v/>
      </c>
      <c r="AA54" s="9" t="n">
        <v>0.6891</v>
      </c>
      <c r="AB54" s="2" t="inlineStr">
        <is>
          <t>NO</t>
        </is>
      </c>
    </row>
    <row r="55">
      <c r="A55" s="2" t="inlineStr">
        <is>
          <t>07/04/2026</t>
        </is>
      </c>
      <c r="B55" s="3" t="inlineStr">
        <is>
          <t>2026-04-07aalesundfredrikstad</t>
        </is>
      </c>
      <c r="C55" s="3" t="inlineStr">
        <is>
          <t>Aalesund vs Fredrikstad</t>
        </is>
      </c>
      <c r="D55" s="3" t="inlineStr">
        <is>
          <t>Aalesund</t>
        </is>
      </c>
      <c r="E55" s="3" t="inlineStr">
        <is>
          <t>Fredrikstad</t>
        </is>
      </c>
      <c r="F55" s="4" t="n">
        <v>2.86</v>
      </c>
      <c r="G55" s="4" t="n">
        <v>3.74</v>
      </c>
      <c r="H55" s="4" t="n">
        <v>2.32</v>
      </c>
      <c r="I55" s="4" t="n">
        <v>1.82</v>
      </c>
      <c r="J55" s="4" t="n">
        <v>2.03</v>
      </c>
      <c r="K55" s="2" t="inlineStr">
        <is>
          <t>Noruega</t>
        </is>
      </c>
      <c r="L55" s="5" t="n">
        <v>0.4192423319145392</v>
      </c>
      <c r="M55" s="5" t="n">
        <v>0.2544728671319984</v>
      </c>
      <c r="N55" s="5" t="n">
        <v>0.3262848009534624</v>
      </c>
      <c r="O55" s="5" t="n">
        <v>0.5464765093450419</v>
      </c>
      <c r="P55" s="5" t="n">
        <v>0.4535234906549582</v>
      </c>
      <c r="Q55" s="8" t="n"/>
      <c r="R55" s="8" t="n"/>
      <c r="S55" s="3">
        <f>IF(OR(Q55="",R55=""),"[APOSTAR] LOCAL",IF(Q55&gt;R55,"[GANADA] LOCAL","[PERDIDA] LOCAL"))</f>
        <v/>
      </c>
      <c r="T55" s="3" t="inlineStr">
        <is>
          <t>[PASAR] Margen Predictivo O/U Insuficiente (&lt;15%)</t>
        </is>
      </c>
      <c r="U55" s="6" t="n">
        <v>2500</v>
      </c>
      <c r="V55" s="6" t="n">
        <v>0</v>
      </c>
      <c r="W55" s="3">
        <f>IF(L55="","",IF((MAX(L55,M55,N55)-MEDIAN(L55,M55,N55))&gt;0.05,IF(OR(Q55="",R55=""),"[PREDICCION] "&amp;IF(L55=MAX(L55,M55,N55),"LOCAL",IF(M55=MAX(L55,M55,N55),"EMPATE","VISITA")),IF(L55=MAX(L55,M55,N55),IF(Q55&gt;R55,"[ACIERTO]","[FALLO]"),IF(M55=MAX(L55,M55,N55),IF(Q55=R55,"[ACIERTO]","[FALLO]"),IF(Q55&lt;R55,"[ACIERTO]","[FALLO]")))),"[PASAR] Margen Insuf"))</f>
        <v/>
      </c>
      <c r="X55" s="6">
        <f>IFERROR(IF(U55=0,0,IF(ISNUMBER(SEARCH("[GANADA]",S55)),U55*(IF(ISNUMBER(SEARCH("LOCAL",S55)),F55,IF(ISNUMBER(SEARCH("EMPATE",S55)),G55,H55))-1),IF(ISNUMBER(SEARCH("[PERDIDA]",S55)),-U55,0))),0)+IFERROR(IF(V55=0,0,IF(ISNUMBER(SEARCH("[GANADA]",T55)),V55*(IF(ISNUMBER(SEARCH("OVER",T55)),I55,J55)-1),IF(ISNUMBER(SEARCH("[PERDIDA]",T55)),-V55,0))),0)</f>
        <v/>
      </c>
      <c r="Y55" s="6">
        <f>Y54+X55</f>
        <v/>
      </c>
      <c r="Z55" s="7">
        <f>IF(OR(Q55="",R55=""),"",(L55-IF(Q55&gt;R55,1,0))^2+(M55-IF(Q55=R55,1,0))^2+(N55-IF(Q55&lt;R55,1,0))^2)</f>
        <v/>
      </c>
      <c r="AA55" s="9" t="n">
        <v>0.7564</v>
      </c>
      <c r="AB55" s="2" t="inlineStr">
        <is>
          <t>NO</t>
        </is>
      </c>
    </row>
    <row r="56">
      <c r="A56" s="2" t="inlineStr">
        <is>
          <t>07/04/2026</t>
        </is>
      </c>
      <c r="B56" s="3" t="inlineStr">
        <is>
          <t>2026-04-07kfumoslosandefjord</t>
        </is>
      </c>
      <c r="C56" s="3" t="inlineStr">
        <is>
          <t>Kfum Oslo vs Sandefjord</t>
        </is>
      </c>
      <c r="D56" s="3" t="inlineStr">
        <is>
          <t>Kfum Oslo</t>
        </is>
      </c>
      <c r="E56" s="3" t="inlineStr">
        <is>
          <t>Sandefjord</t>
        </is>
      </c>
      <c r="F56" s="4" t="n"/>
      <c r="G56" s="4" t="n"/>
      <c r="H56" s="4" t="n"/>
      <c r="I56" s="4" t="n"/>
      <c r="J56" s="4" t="n"/>
      <c r="K56" s="2" t="inlineStr">
        <is>
          <t>Noruega</t>
        </is>
      </c>
      <c r="L56" s="5" t="n">
        <v>0.374715855945916</v>
      </c>
      <c r="M56" s="5" t="n">
        <v>0.247074795734283</v>
      </c>
      <c r="N56" s="5" t="n">
        <v>0.378209348319801</v>
      </c>
      <c r="O56" s="5" t="n">
        <v>0.5874735724854936</v>
      </c>
      <c r="P56" s="5" t="n">
        <v>0.4125264275145064</v>
      </c>
      <c r="Q56" s="8" t="n"/>
      <c r="R56" s="8" t="n"/>
      <c r="S56" s="3" t="inlineStr">
        <is>
          <t>[PASAR] Sin Cuotas</t>
        </is>
      </c>
      <c r="T56" s="3" t="inlineStr">
        <is>
          <t>[PASAR] Sin Cuotas</t>
        </is>
      </c>
      <c r="U56" s="6" t="n">
        <v>0</v>
      </c>
      <c r="V56" s="6" t="n">
        <v>0</v>
      </c>
      <c r="W56" s="3">
        <f>IF(L56="","",IF((MAX(L56,M56,N56)-MEDIAN(L56,M56,N56))&gt;0.05,IF(OR(Q56="",R56=""),"[PREDICCION] "&amp;IF(L56=MAX(L56,M56,N56),"LOCAL",IF(M56=MAX(L56,M56,N56),"EMPATE","VISITA")),IF(L56=MAX(L56,M56,N56),IF(Q56&gt;R56,"[ACIERTO]","[FALLO]"),IF(M56=MAX(L56,M56,N56),IF(Q56=R56,"[ACIERTO]","[FALLO]"),IF(Q56&lt;R56,"[ACIERTO]","[FALLO]")))),"[PASAR] Margen Insuf"))</f>
        <v/>
      </c>
      <c r="X56" s="6">
        <f>IFERROR(IF(U56=0,0,IF(ISNUMBER(SEARCH("[GANADA]",S56)),U56*(IF(ISNUMBER(SEARCH("LOCAL",S56)),F56,IF(ISNUMBER(SEARCH("EMPATE",S56)),G56,H56))-1),IF(ISNUMBER(SEARCH("[PERDIDA]",S56)),-U56,0))),0)+IFERROR(IF(V56=0,0,IF(ISNUMBER(SEARCH("[GANADA]",T56)),V56*(IF(ISNUMBER(SEARCH("OVER",T56)),I56,J56)-1),IF(ISNUMBER(SEARCH("[PERDIDA]",T56)),-V56,0))),0)</f>
        <v/>
      </c>
      <c r="Y56" s="6">
        <f>Y55+X56</f>
        <v/>
      </c>
      <c r="Z56" s="7">
        <f>IF(OR(Q56="",R56=""),"",(L56-IF(Q56&gt;R56,1,0))^2+(M56-IF(Q56=R56,1,0))^2+(N56-IF(Q56&lt;R56,1,0))^2)</f>
        <v/>
      </c>
      <c r="AA56" s="9" t="n">
        <v>0.9097</v>
      </c>
      <c r="AB56" s="2" t="inlineStr">
        <is>
          <t>NO</t>
        </is>
      </c>
    </row>
    <row r="57">
      <c r="A57" s="2" t="inlineStr">
        <is>
          <t>16/03/2026</t>
        </is>
      </c>
      <c r="B57" s="3" t="inlineStr">
        <is>
          <t>2026-03-16aldosivihuracan</t>
        </is>
      </c>
      <c r="C57" s="3" t="inlineStr">
        <is>
          <t>Aldosivi vs Huracan</t>
        </is>
      </c>
      <c r="D57" s="3" t="inlineStr">
        <is>
          <t>Aldosivi</t>
        </is>
      </c>
      <c r="E57" s="3" t="inlineStr">
        <is>
          <t>Huracan</t>
        </is>
      </c>
      <c r="F57" s="4" t="n">
        <v>4.25</v>
      </c>
      <c r="G57" s="4" t="n">
        <v>1.81</v>
      </c>
      <c r="H57" s="4" t="n">
        <v>3.45</v>
      </c>
      <c r="I57" s="4" t="n"/>
      <c r="J57" s="4" t="n"/>
      <c r="K57" s="2" t="inlineStr">
        <is>
          <t>Argentina</t>
        </is>
      </c>
      <c r="L57" s="5" t="n">
        <v>0.3864179443481534</v>
      </c>
      <c r="M57" s="5" t="n">
        <v>0.303050845004054</v>
      </c>
      <c r="N57" s="5" t="n">
        <v>0.3105312106477927</v>
      </c>
      <c r="O57" s="5" t="n">
        <v>0.3827775037433976</v>
      </c>
      <c r="P57" s="5" t="n">
        <v>0.6172224962566024</v>
      </c>
      <c r="Q57" s="2" t="n">
        <v>0</v>
      </c>
      <c r="R57" s="2" t="n">
        <v>0</v>
      </c>
      <c r="S57" s="3">
        <f>IF(OR(Q57="",R57=""),"[APOSTAR] LOCAL",IF(Q57&gt;R57,"[GANADA] LOCAL","[PERDIDA] LOCAL"))</f>
        <v/>
      </c>
      <c r="T57" s="3" t="inlineStr">
        <is>
          <t>[PASAR] Sin Cuotas</t>
        </is>
      </c>
      <c r="U57" s="6" t="n">
        <v>2500</v>
      </c>
      <c r="V57" s="6" t="n">
        <v>0</v>
      </c>
      <c r="W57" s="3">
        <f>IF(L57="","",IF((MAX(L57,M57,N57)-MEDIAN(L57,M57,N57))&gt;0.05,IF(OR(Q57="",R57=""),"[PREDICCION] "&amp;IF(L57=MAX(L57,M57,N57),"LOCAL",IF(M57=MAX(L57,M57,N57),"EMPATE","VISITA")),IF(L57=MAX(L57,M57,N57),IF(Q57&gt;R57,"[ACIERTO]","[FALLO]"),IF(M57=MAX(L57,M57,N57),IF(Q57=R57,"[ACIERTO]","[FALLO]"),IF(Q57&lt;R57,"[ACIERTO]","[FALLO]")))),"[PASAR] Margen Insuf"))</f>
        <v/>
      </c>
      <c r="X57" s="6">
        <f>IFERROR(IF(U57=0,0,IF(ISNUMBER(SEARCH("[GANADA]",S57)),U57*(IF(ISNUMBER(SEARCH("LOCAL",S57)),F57,IF(ISNUMBER(SEARCH("EMPATE",S57)),G57,H57))-1),IF(ISNUMBER(SEARCH("[PERDIDA]",S57)),-U57,0))),0)+IFERROR(IF(V57=0,0,IF(ISNUMBER(SEARCH("[GANADA]",T57)),V57*(IF(ISNUMBER(SEARCH("OVER",T57)),I57,J57)-1),IF(ISNUMBER(SEARCH("[PERDIDA]",T57)),-V57,0))),0)</f>
        <v/>
      </c>
      <c r="Y57" s="6">
        <f>Y56+X57</f>
        <v/>
      </c>
      <c r="Z57" s="7">
        <f>IF(OR(Q57="",R57=""),"",(L57-IF(Q57&gt;R57,1,0))^2+(M57-IF(Q57=R57,1,0))^2+(N57-IF(Q57&lt;R57,1,0))^2)</f>
        <v/>
      </c>
      <c r="AA57" s="9" t="n">
        <v>0.6575</v>
      </c>
      <c r="AB57" s="2" t="inlineStr">
        <is>
          <t>NO</t>
        </is>
      </c>
    </row>
    <row r="58">
      <c r="A58" s="2" t="inlineStr">
        <is>
          <t>16/03/2026</t>
        </is>
      </c>
      <c r="B58" s="3" t="inlineStr">
        <is>
          <t>2026-03-16barracascentralatleticotucuman</t>
        </is>
      </c>
      <c r="C58" s="3" t="inlineStr">
        <is>
          <t>Barracas Central vs Atletico Tucuman</t>
        </is>
      </c>
      <c r="D58" s="3" t="inlineStr">
        <is>
          <t>Barracas Central</t>
        </is>
      </c>
      <c r="E58" s="3" t="inlineStr">
        <is>
          <t>Atletico Tucuman</t>
        </is>
      </c>
      <c r="F58" s="4" t="n">
        <v>1.36</v>
      </c>
      <c r="G58" s="4" t="n">
        <v>3.75</v>
      </c>
      <c r="H58" s="4" t="n">
        <v>13</v>
      </c>
      <c r="I58" s="4" t="n"/>
      <c r="J58" s="4" t="n"/>
      <c r="K58" s="2" t="inlineStr">
        <is>
          <t>Argentina</t>
        </is>
      </c>
      <c r="L58" s="5" t="n">
        <v>0.4500720537697648</v>
      </c>
      <c r="M58" s="5" t="n">
        <v>0.2693229327779936</v>
      </c>
      <c r="N58" s="5" t="n">
        <v>0.2806050134522416</v>
      </c>
      <c r="O58" s="5" t="n">
        <v>0.4929297172735446</v>
      </c>
      <c r="P58" s="5" t="n">
        <v>0.5070702827264553</v>
      </c>
      <c r="Q58" s="2" t="n">
        <v>2</v>
      </c>
      <c r="R58" s="2" t="n">
        <v>1</v>
      </c>
      <c r="S58" s="3" t="inlineStr">
        <is>
          <t>[PASAR] Riesgo/Beneficio</t>
        </is>
      </c>
      <c r="T58" s="3" t="inlineStr">
        <is>
          <t>[PASAR] Sin Cuotas</t>
        </is>
      </c>
      <c r="U58" s="6" t="n">
        <v>0</v>
      </c>
      <c r="V58" s="6" t="n">
        <v>0</v>
      </c>
      <c r="W58" s="3">
        <f>IF(L58="","",IF((MAX(L58,M58,N58)-MEDIAN(L58,M58,N58))&gt;0.05,IF(OR(Q58="",R58=""),"[PREDICCION] "&amp;IF(L58=MAX(L58,M58,N58),"LOCAL",IF(M58=MAX(L58,M58,N58),"EMPATE","VISITA")),IF(L58=MAX(L58,M58,N58),IF(Q58&gt;R58,"[ACIERTO]","[FALLO]"),IF(M58=MAX(L58,M58,N58),IF(Q58=R58,"[ACIERTO]","[FALLO]"),IF(Q58&lt;R58,"[ACIERTO]","[FALLO]")))),"[PASAR] Margen Insuf"))</f>
        <v/>
      </c>
      <c r="X58" s="6">
        <f>IFERROR(IF(U58=0,0,IF(ISNUMBER(SEARCH("[GANADA]",S58)),U58*(IF(ISNUMBER(SEARCH("LOCAL",S58)),F58,IF(ISNUMBER(SEARCH("EMPATE",S58)),G58,H58))-1),IF(ISNUMBER(SEARCH("[PERDIDA]",S58)),-U58,0))),0)+IFERROR(IF(V58=0,0,IF(ISNUMBER(SEARCH("[GANADA]",T58)),V58*(IF(ISNUMBER(SEARCH("OVER",T58)),I58,J58)-1),IF(ISNUMBER(SEARCH("[PERDIDA]",T58)),-V58,0))),0)</f>
        <v/>
      </c>
      <c r="Y58" s="6">
        <f>Y57+X58</f>
        <v/>
      </c>
      <c r="Z58" s="7">
        <f>IF(OR(Q58="",R58=""),"",(L58-IF(Q58&gt;R58,1,0))^2+(M58-IF(Q58=R58,1,0))^2+(N58-IF(Q58&lt;R58,1,0))^2)</f>
        <v/>
      </c>
      <c r="AA58" s="9" t="n">
        <v>0.5392</v>
      </c>
      <c r="AB58" s="2" t="inlineStr">
        <is>
          <t>NO</t>
        </is>
      </c>
    </row>
    <row r="59">
      <c r="A59" s="2" t="inlineStr">
        <is>
          <t>16/03/2026</t>
        </is>
      </c>
      <c r="B59" s="3" t="inlineStr">
        <is>
          <t>2026-03-16brentfordwolverhamptonwanderers</t>
        </is>
      </c>
      <c r="C59" s="3" t="inlineStr">
        <is>
          <t>Brentford vs Wolverhampton Wanderers</t>
        </is>
      </c>
      <c r="D59" s="3" t="inlineStr">
        <is>
          <t>Brentford</t>
        </is>
      </c>
      <c r="E59" s="3" t="inlineStr">
        <is>
          <t>Wolverhampton Wanderers</t>
        </is>
      </c>
      <c r="F59" s="4" t="n">
        <v>1.55</v>
      </c>
      <c r="G59" s="4" t="n">
        <v>4.55</v>
      </c>
      <c r="H59" s="4" t="n">
        <v>5.9</v>
      </c>
      <c r="I59" s="4" t="n">
        <v>1.65</v>
      </c>
      <c r="J59" s="4" t="n">
        <v>2.25</v>
      </c>
      <c r="K59" s="2" t="inlineStr">
        <is>
          <t>Inglaterra</t>
        </is>
      </c>
      <c r="L59" s="5" t="n">
        <v>0.434312261576528</v>
      </c>
      <c r="M59" s="5" t="n">
        <v>0.2744559912783204</v>
      </c>
      <c r="N59" s="5" t="n">
        <v>0.2912317471451517</v>
      </c>
      <c r="O59" s="5" t="n">
        <v>0.4665313709826981</v>
      </c>
      <c r="P59" s="5" t="n">
        <v>0.5334686290173019</v>
      </c>
      <c r="Q59" s="2" t="n">
        <v>2</v>
      </c>
      <c r="R59" s="2" t="n">
        <v>2</v>
      </c>
      <c r="S59" s="3" t="inlineStr">
        <is>
          <t>[PASAR] Riesgo/Beneficio</t>
        </is>
      </c>
      <c r="T59" s="3" t="inlineStr">
        <is>
          <t>[PASAR] Margen Predictivo O/U Insuficiente (&lt;15%)</t>
        </is>
      </c>
      <c r="U59" s="6" t="n">
        <v>0</v>
      </c>
      <c r="V59" s="6" t="n">
        <v>0</v>
      </c>
      <c r="W59" s="3">
        <f>IF(L59="","",IF((MAX(L59,M59,N59)-MEDIAN(L59,M59,N59))&gt;0.05,IF(OR(Q59="",R59=""),"[PREDICCION] "&amp;IF(L59=MAX(L59,M59,N59),"LOCAL",IF(M59=MAX(L59,M59,N59),"EMPATE","VISITA")),IF(L59=MAX(L59,M59,N59),IF(Q59&gt;R59,"[ACIERTO]","[FALLO]"),IF(M59=MAX(L59,M59,N59),IF(Q59=R59,"[ACIERTO]","[FALLO]"),IF(Q59&lt;R59,"[ACIERTO]","[FALLO]")))),"[PASAR] Margen Insuf"))</f>
        <v/>
      </c>
      <c r="X59" s="6">
        <f>IFERROR(IF(U59=0,0,IF(ISNUMBER(SEARCH("[GANADA]",S59)),U59*(IF(ISNUMBER(SEARCH("LOCAL",S59)),F59,IF(ISNUMBER(SEARCH("EMPATE",S59)),G59,H59))-1),IF(ISNUMBER(SEARCH("[PERDIDA]",S59)),-U59,0))),0)+IFERROR(IF(V59=0,0,IF(ISNUMBER(SEARCH("[GANADA]",T59)),V59*(IF(ISNUMBER(SEARCH("OVER",T59)),I59,J59)-1),IF(ISNUMBER(SEARCH("[PERDIDA]",T59)),-V59,0))),0)</f>
        <v/>
      </c>
      <c r="Y59" s="6">
        <f>Y58+X59</f>
        <v/>
      </c>
      <c r="Z59" s="7">
        <f>IF(OR(Q59="",R59=""),"",(L59-IF(Q59&gt;R59,1,0))^2+(M59-IF(Q59=R59,1,0))^2+(N59-IF(Q59&lt;R59,1,0))^2)</f>
        <v/>
      </c>
      <c r="AA59" s="9" t="n">
        <v>0.696</v>
      </c>
      <c r="AB59" s="2" t="inlineStr">
        <is>
          <t>NO</t>
        </is>
      </c>
    </row>
    <row r="60">
      <c r="A60" s="2" t="inlineStr">
        <is>
          <t>16/03/2026</t>
        </is>
      </c>
      <c r="B60" s="3" t="inlineStr">
        <is>
          <t>2026-03-16chapecoensegremio</t>
        </is>
      </c>
      <c r="C60" s="3" t="inlineStr">
        <is>
          <t>Chapecoense vs Gremio</t>
        </is>
      </c>
      <c r="D60" s="3" t="inlineStr">
        <is>
          <t>Chapecoense</t>
        </is>
      </c>
      <c r="E60" s="3" t="inlineStr">
        <is>
          <t>Gremio</t>
        </is>
      </c>
      <c r="F60" s="4" t="n">
        <v>2.75</v>
      </c>
      <c r="G60" s="4" t="n">
        <v>3.3</v>
      </c>
      <c r="H60" s="4" t="n">
        <v>2.3</v>
      </c>
      <c r="I60" s="4" t="n">
        <v>1.92</v>
      </c>
      <c r="J60" s="4" t="n">
        <v>1.93</v>
      </c>
      <c r="K60" s="2" t="inlineStr">
        <is>
          <t>Brasil</t>
        </is>
      </c>
      <c r="L60" s="5" t="n">
        <v>0.4295731250919343</v>
      </c>
      <c r="M60" s="5" t="n">
        <v>0.2599375122363087</v>
      </c>
      <c r="N60" s="5" t="n">
        <v>0.3104893626717569</v>
      </c>
      <c r="O60" s="5" t="n">
        <v>0.5316155383602498</v>
      </c>
      <c r="P60" s="5" t="n">
        <v>0.4683844616397502</v>
      </c>
      <c r="Q60" s="2" t="n">
        <v>1</v>
      </c>
      <c r="R60" s="2" t="n">
        <v>1</v>
      </c>
      <c r="S60" s="3">
        <f>IF(OR(Q60="",R60=""),"[APOSTAR] LOCAL",IF(Q60&gt;R60,"[GANADA] LOCAL","[PERDIDA] LOCAL"))</f>
        <v/>
      </c>
      <c r="T60" s="3" t="inlineStr">
        <is>
          <t>[PASAR] Margen Predictivo O/U Insuficiente (&lt;15%)</t>
        </is>
      </c>
      <c r="U60" s="6" t="n">
        <v>2500</v>
      </c>
      <c r="V60" s="6" t="n">
        <v>0</v>
      </c>
      <c r="W60" s="3">
        <f>IF(L60="","",IF((MAX(L60,M60,N60)-MEDIAN(L60,M60,N60))&gt;0.05,IF(OR(Q60="",R60=""),"[PREDICCION] "&amp;IF(L60=MAX(L60,M60,N60),"LOCAL",IF(M60=MAX(L60,M60,N60),"EMPATE","VISITA")),IF(L60=MAX(L60,M60,N60),IF(Q60&gt;R60,"[ACIERTO]","[FALLO]"),IF(M60=MAX(L60,M60,N60),IF(Q60=R60,"[ACIERTO]","[FALLO]"),IF(Q60&lt;R60,"[ACIERTO]","[FALLO]")))),"[PASAR] Margen Insuf"))</f>
        <v/>
      </c>
      <c r="X60" s="6">
        <f>IFERROR(IF(U60=0,0,IF(ISNUMBER(SEARCH("[GANADA]",S60)),U60*(IF(ISNUMBER(SEARCH("LOCAL",S60)),F60,IF(ISNUMBER(SEARCH("EMPATE",S60)),G60,H60))-1),IF(ISNUMBER(SEARCH("[PERDIDA]",S60)),-U60,0))),0)+IFERROR(IF(V60=0,0,IF(ISNUMBER(SEARCH("[GANADA]",T60)),V60*(IF(ISNUMBER(SEARCH("OVER",T60)),I60,J60)-1),IF(ISNUMBER(SEARCH("[PERDIDA]",T60)),-V60,0))),0)</f>
        <v/>
      </c>
      <c r="Y60" s="6">
        <f>Y59+X60</f>
        <v/>
      </c>
      <c r="Z60" s="7">
        <f>IF(OR(Q60="",R60=""),"",(L60-IF(Q60&gt;R60,1,0))^2+(M60-IF(Q60=R60,1,0))^2+(N60-IF(Q60&lt;R60,1,0))^2)</f>
        <v/>
      </c>
      <c r="AA60" s="9" t="n">
        <v>0.7038</v>
      </c>
      <c r="AB60" s="2" t="inlineStr">
        <is>
          <t>NO</t>
        </is>
      </c>
    </row>
    <row r="61">
      <c r="A61" s="2" t="inlineStr">
        <is>
          <t>16/03/2026</t>
        </is>
      </c>
      <c r="B61" s="3" t="inlineStr">
        <is>
          <t>2026-03-16institutodecordobaindependiente</t>
        </is>
      </c>
      <c r="C61" s="3" t="inlineStr">
        <is>
          <t>Instituto de Cordoba vs Independiente</t>
        </is>
      </c>
      <c r="D61" s="3" t="inlineStr">
        <is>
          <t>Instituto de Cordoba</t>
        </is>
      </c>
      <c r="E61" s="3" t="inlineStr">
        <is>
          <t>Independiente</t>
        </is>
      </c>
      <c r="F61" s="4" t="n">
        <v>2.63</v>
      </c>
      <c r="G61" s="4" t="n">
        <v>3</v>
      </c>
      <c r="H61" s="4" t="n">
        <v>2.85</v>
      </c>
      <c r="I61" s="4" t="n">
        <v>2.68</v>
      </c>
      <c r="J61" s="4" t="n">
        <v>1.46</v>
      </c>
      <c r="K61" s="2" t="inlineStr">
        <is>
          <t>Argentina</t>
        </is>
      </c>
      <c r="L61" s="5" t="n">
        <v>0.377288837429773</v>
      </c>
      <c r="M61" s="5" t="n">
        <v>0.2980806198714058</v>
      </c>
      <c r="N61" s="5" t="n">
        <v>0.3246305426988211</v>
      </c>
      <c r="O61" s="5" t="n">
        <v>0.4019708307918866</v>
      </c>
      <c r="P61" s="5" t="n">
        <v>0.5980291692081136</v>
      </c>
      <c r="Q61" s="2" t="n">
        <v>2</v>
      </c>
      <c r="R61" s="2" t="n">
        <v>1</v>
      </c>
      <c r="S61" s="3" t="inlineStr">
        <is>
          <t>[PASAR] Riesgo/Beneficio</t>
        </is>
      </c>
      <c r="T61" s="3" t="inlineStr">
        <is>
          <t>[PASAR] Sin Valor</t>
        </is>
      </c>
      <c r="U61" s="6" t="n">
        <v>0</v>
      </c>
      <c r="V61" s="6" t="n">
        <v>0</v>
      </c>
      <c r="W61" s="3">
        <f>IF(L61="","",IF((MAX(L61,M61,N61)-MEDIAN(L61,M61,N61))&gt;0.05,IF(OR(Q61="",R61=""),"[PREDICCION] "&amp;IF(L61=MAX(L61,M61,N61),"LOCAL",IF(M61=MAX(L61,M61,N61),"EMPATE","VISITA")),IF(L61=MAX(L61,M61,N61),IF(Q61&gt;R61,"[ACIERTO]","[FALLO]"),IF(M61=MAX(L61,M61,N61),IF(Q61=R61,"[ACIERTO]","[FALLO]"),IF(Q61&lt;R61,"[ACIERTO]","[FALLO]")))),"[PASAR] Margen Insuf"))</f>
        <v/>
      </c>
      <c r="X61" s="6">
        <f>IFERROR(IF(U61=0,0,IF(ISNUMBER(SEARCH("[GANADA]",S61)),U61*(IF(ISNUMBER(SEARCH("LOCAL",S61)),F61,IF(ISNUMBER(SEARCH("EMPATE",S61)),G61,H61))-1),IF(ISNUMBER(SEARCH("[PERDIDA]",S61)),-U61,0))),0)+IFERROR(IF(V61=0,0,IF(ISNUMBER(SEARCH("[GANADA]",T61)),V61*(IF(ISNUMBER(SEARCH("OVER",T61)),I61,J61)-1),IF(ISNUMBER(SEARCH("[PERDIDA]",T61)),-V61,0))),0)</f>
        <v/>
      </c>
      <c r="Y61" s="6">
        <f>Y60+X61</f>
        <v/>
      </c>
      <c r="Z61" s="7">
        <f>IF(OR(Q61="",R61=""),"",(L61-IF(Q61&gt;R61,1,0))^2+(M61-IF(Q61=R61,1,0))^2+(N61-IF(Q61&lt;R61,1,0))^2)</f>
        <v/>
      </c>
      <c r="AA61" s="9" t="n">
        <v>0.546</v>
      </c>
      <c r="AB61" s="2" t="inlineStr">
        <is>
          <t>NO</t>
        </is>
      </c>
    </row>
    <row r="62">
      <c r="A62" s="2" t="inlineStr">
        <is>
          <t>16/03/2026</t>
        </is>
      </c>
      <c r="B62" s="3" t="inlineStr">
        <is>
          <t>2026-03-16racingclubestudiantesderiocuarto</t>
        </is>
      </c>
      <c r="C62" s="3" t="inlineStr">
        <is>
          <t>Racing Club vs Estudiantes de Rio Cuarto</t>
        </is>
      </c>
      <c r="D62" s="3" t="inlineStr">
        <is>
          <t>Racing Club</t>
        </is>
      </c>
      <c r="E62" s="3" t="inlineStr">
        <is>
          <t>Estudiantes de Rio Cuarto</t>
        </is>
      </c>
      <c r="F62" s="4" t="n">
        <v>1.42</v>
      </c>
      <c r="G62" s="4" t="n">
        <v>4.2</v>
      </c>
      <c r="H62" s="4" t="n">
        <v>8.5</v>
      </c>
      <c r="I62" s="4" t="n">
        <v>2.2</v>
      </c>
      <c r="J62" s="4" t="n">
        <v>1.63</v>
      </c>
      <c r="K62" s="2" t="inlineStr">
        <is>
          <t>Argentina</t>
        </is>
      </c>
      <c r="L62" s="5" t="n">
        <v>0.4563156581351917</v>
      </c>
      <c r="M62" s="5" t="n">
        <v>0.2839916294069637</v>
      </c>
      <c r="N62" s="5" t="n">
        <v>0.2596927124578446</v>
      </c>
      <c r="O62" s="5" t="n">
        <v>0.4272824863232347</v>
      </c>
      <c r="P62" s="5" t="n">
        <v>0.5727175136767653</v>
      </c>
      <c r="Q62" s="2" t="n">
        <v>2</v>
      </c>
      <c r="R62" s="2" t="n">
        <v>0</v>
      </c>
      <c r="S62" s="3" t="inlineStr">
        <is>
          <t>[PASAR] Riesgo/Beneficio</t>
        </is>
      </c>
      <c r="T62" s="3" t="inlineStr">
        <is>
          <t>[PASAR] Margen Predictivo O/U Insuficiente (&lt;15%)</t>
        </is>
      </c>
      <c r="U62" s="6" t="n">
        <v>0</v>
      </c>
      <c r="V62" s="6" t="n">
        <v>0</v>
      </c>
      <c r="W62" s="3">
        <f>IF(L62="","",IF((MAX(L62,M62,N62)-MEDIAN(L62,M62,N62))&gt;0.05,IF(OR(Q62="",R62=""),"[PREDICCION] "&amp;IF(L62=MAX(L62,M62,N62),"LOCAL",IF(M62=MAX(L62,M62,N62),"EMPATE","VISITA")),IF(L62=MAX(L62,M62,N62),IF(Q62&gt;R62,"[ACIERTO]","[FALLO]"),IF(M62=MAX(L62,M62,N62),IF(Q62=R62,"[ACIERTO]","[FALLO]"),IF(Q62&lt;R62,"[ACIERTO]","[FALLO]")))),"[PASAR] Margen Insuf"))</f>
        <v/>
      </c>
      <c r="X62" s="6">
        <f>IFERROR(IF(U62=0,0,IF(ISNUMBER(SEARCH("[GANADA]",S62)),U62*(IF(ISNUMBER(SEARCH("LOCAL",S62)),F62,IF(ISNUMBER(SEARCH("EMPATE",S62)),G62,H62))-1),IF(ISNUMBER(SEARCH("[PERDIDA]",S62)),-U62,0))),0)+IFERROR(IF(V62=0,0,IF(ISNUMBER(SEARCH("[GANADA]",T62)),V62*(IF(ISNUMBER(SEARCH("OVER",T62)),I62,J62)-1),IF(ISNUMBER(SEARCH("[PERDIDA]",T62)),-V62,0))),0)</f>
        <v/>
      </c>
      <c r="Y62" s="6">
        <f>Y61+X62</f>
        <v/>
      </c>
      <c r="Z62" s="7">
        <f>IF(OR(Q62="",R62=""),"",(L62-IF(Q62&gt;R62,1,0))^2+(M62-IF(Q62=R62,1,0))^2+(N62-IF(Q62&lt;R62,1,0))^2)</f>
        <v/>
      </c>
      <c r="AA62" s="9" t="n">
        <v>0.5891999999999999</v>
      </c>
      <c r="AB62" s="2" t="inlineStr">
        <is>
          <t>NO</t>
        </is>
      </c>
    </row>
    <row r="63">
      <c r="A63" s="2" t="inlineStr">
        <is>
          <t>16/03/2026</t>
        </is>
      </c>
      <c r="B63" s="3" t="inlineStr">
        <is>
          <t>2026-03-16sanlorenzodefensayjusticia</t>
        </is>
      </c>
      <c r="C63" s="3" t="inlineStr">
        <is>
          <t>San Lorenzo vs Defensa y Justicia</t>
        </is>
      </c>
      <c r="D63" s="3" t="inlineStr">
        <is>
          <t>San Lorenzo</t>
        </is>
      </c>
      <c r="E63" s="3" t="inlineStr">
        <is>
          <t>Defensa y Justicia</t>
        </is>
      </c>
      <c r="F63" s="4" t="n">
        <v>2.2</v>
      </c>
      <c r="G63" s="4" t="n">
        <v>2.95</v>
      </c>
      <c r="H63" s="4" t="n">
        <v>3.7</v>
      </c>
      <c r="I63" s="4" t="n">
        <v>2.95</v>
      </c>
      <c r="J63" s="4" t="n">
        <v>1.39</v>
      </c>
      <c r="K63" s="2" t="inlineStr">
        <is>
          <t>Argentina</t>
        </is>
      </c>
      <c r="L63" s="5" t="n">
        <v>0.3798101478736508</v>
      </c>
      <c r="M63" s="5" t="n">
        <v>0.284835825702062</v>
      </c>
      <c r="N63" s="5" t="n">
        <v>0.3353540264242872</v>
      </c>
      <c r="O63" s="5" t="n">
        <v>0.4513030188855334</v>
      </c>
      <c r="P63" s="5" t="n">
        <v>0.5486969811144666</v>
      </c>
      <c r="Q63" s="2" t="n">
        <v>2</v>
      </c>
      <c r="R63" s="2" t="n">
        <v>5</v>
      </c>
      <c r="S63" s="3" t="inlineStr">
        <is>
          <t>[PASAR] Margen Predictivo Insuficiente (&lt;5%)</t>
        </is>
      </c>
      <c r="T63" s="3" t="inlineStr">
        <is>
          <t>[PASAR] Margen Predictivo O/U Insuficiente (&lt;15%)</t>
        </is>
      </c>
      <c r="U63" s="6" t="n">
        <v>0</v>
      </c>
      <c r="V63" s="6" t="n">
        <v>0</v>
      </c>
      <c r="W63" s="3">
        <f>IF(L63="","",IF((MAX(L63,M63,N63)-MEDIAN(L63,M63,N63))&gt;0.05,IF(OR(Q63="",R63=""),"[PREDICCION] "&amp;IF(L63=MAX(L63,M63,N63),"LOCAL",IF(M63=MAX(L63,M63,N63),"EMPATE","VISITA")),IF(L63=MAX(L63,M63,N63),IF(Q63&gt;R63,"[ACIERTO]","[FALLO]"),IF(M63=MAX(L63,M63,N63),IF(Q63=R63,"[ACIERTO]","[FALLO]"),IF(Q63&lt;R63,"[ACIERTO]","[FALLO]")))),"[PASAR] Margen Insuf"))</f>
        <v/>
      </c>
      <c r="X63" s="6">
        <f>IFERROR(IF(U63=0,0,IF(ISNUMBER(SEARCH("[GANADA]",S63)),U63*(IF(ISNUMBER(SEARCH("LOCAL",S63)),F63,IF(ISNUMBER(SEARCH("EMPATE",S63)),G63,H63))-1),IF(ISNUMBER(SEARCH("[PERDIDA]",S63)),-U63,0))),0)+IFERROR(IF(V63=0,0,IF(ISNUMBER(SEARCH("[GANADA]",T63)),V63*(IF(ISNUMBER(SEARCH("OVER",T63)),I63,J63)-1),IF(ISNUMBER(SEARCH("[PERDIDA]",T63)),-V63,0))),0)</f>
        <v/>
      </c>
      <c r="Y63" s="6">
        <f>Y62+X63</f>
        <v/>
      </c>
      <c r="Z63" s="7">
        <f>IF(OR(Q63="",R63=""),"",(L63-IF(Q63&gt;R63,1,0))^2+(M63-IF(Q63=R63,1,0))^2+(N63-IF(Q63&lt;R63,1,0))^2)</f>
        <v/>
      </c>
      <c r="AA63" s="9" t="n">
        <v>0.7539</v>
      </c>
      <c r="AB63" s="2" t="inlineStr">
        <is>
          <t>NO</t>
        </is>
      </c>
    </row>
    <row r="64">
      <c r="A64" s="2" t="inlineStr">
        <is>
          <t>17/03/2026</t>
        </is>
      </c>
      <c r="B64" s="3" t="inlineStr">
        <is>
          <t>2026-03-17centralcordobadeportivoriestra</t>
        </is>
      </c>
      <c r="C64" s="3" t="inlineStr">
        <is>
          <t>Central Cordoba vs Deportivo Riestra</t>
        </is>
      </c>
      <c r="D64" s="3" t="inlineStr">
        <is>
          <t>Central Cordoba</t>
        </is>
      </c>
      <c r="E64" s="3" t="inlineStr">
        <is>
          <t>Deportivo Riestra</t>
        </is>
      </c>
      <c r="F64" s="4" t="n">
        <v>2.9</v>
      </c>
      <c r="G64" s="4" t="n">
        <v>2.6</v>
      </c>
      <c r="H64" s="4" t="n">
        <v>3.05</v>
      </c>
      <c r="I64" s="4" t="n">
        <v>3.7</v>
      </c>
      <c r="J64" s="4" t="n">
        <v>1.27</v>
      </c>
      <c r="K64" s="2" t="inlineStr">
        <is>
          <t>Argentina</t>
        </is>
      </c>
      <c r="L64" s="5" t="n">
        <v>0.4063884922897517</v>
      </c>
      <c r="M64" s="5" t="n">
        <v>0.2827599516416504</v>
      </c>
      <c r="N64" s="5" t="n">
        <v>0.310851556068598</v>
      </c>
      <c r="O64" s="5" t="n">
        <v>0.454003578194566</v>
      </c>
      <c r="P64" s="5" t="n">
        <v>0.545996421805434</v>
      </c>
      <c r="Q64" s="2" t="n">
        <v>1</v>
      </c>
      <c r="R64" s="2" t="n">
        <v>0</v>
      </c>
      <c r="S64" s="3">
        <f>IF(OR(Q64="",R64=""),"[APOSTAR] LOCAL",IF(Q64&gt;R64,"[GANADA] LOCAL","[PERDIDA] LOCAL"))</f>
        <v/>
      </c>
      <c r="T64" s="3" t="inlineStr">
        <is>
          <t>[PASAR] Margen Predictivo O/U Insuficiente (&lt;15%)</t>
        </is>
      </c>
      <c r="U64" s="6" t="n">
        <v>1767.77</v>
      </c>
      <c r="V64" s="6" t="n">
        <v>0</v>
      </c>
      <c r="W64" s="3">
        <f>IF(L64="","",IF((MAX(L64,M64,N64)-MEDIAN(L64,M64,N64))&gt;0.05,IF(OR(Q64="",R64=""),"[PREDICCION] "&amp;IF(L64=MAX(L64,M64,N64),"LOCAL",IF(M64=MAX(L64,M64,N64),"EMPATE","VISITA")),IF(L64=MAX(L64,M64,N64),IF(Q64&gt;R64,"[ACIERTO]","[FALLO]"),IF(M64=MAX(L64,M64,N64),IF(Q64=R64,"[ACIERTO]","[FALLO]"),IF(Q64&lt;R64,"[ACIERTO]","[FALLO]")))),"[PASAR] Margen Insuf"))</f>
        <v/>
      </c>
      <c r="X64" s="6">
        <f>IFERROR(IF(U64=0,0,IF(ISNUMBER(SEARCH("[GANADA]",S64)),U64*(IF(ISNUMBER(SEARCH("LOCAL",S64)),F64,IF(ISNUMBER(SEARCH("EMPATE",S64)),G64,H64))-1),IF(ISNUMBER(SEARCH("[PERDIDA]",S64)),-U64,0))),0)+IFERROR(IF(V64=0,0,IF(ISNUMBER(SEARCH("[GANADA]",T64)),V64*(IF(ISNUMBER(SEARCH("OVER",T64)),I64,J64)-1),IF(ISNUMBER(SEARCH("[PERDIDA]",T64)),-V64,0))),0)</f>
        <v/>
      </c>
      <c r="Y64" s="6">
        <f>Y63+X64</f>
        <v/>
      </c>
      <c r="Z64" s="7">
        <f>IF(OR(Q64="",R64=""),"",(L64-IF(Q64&gt;R64,1,0))^2+(M64-IF(Q64=R64,1,0))^2+(N64-IF(Q64&lt;R64,1,0))^2)</f>
        <v/>
      </c>
      <c r="AA64" s="9" t="n">
        <v>0.3842</v>
      </c>
      <c r="AB64" s="2" t="inlineStr">
        <is>
          <t>NO</t>
        </is>
      </c>
    </row>
    <row r="65">
      <c r="A65" s="2" t="inlineStr">
        <is>
          <t>17/03/2026</t>
        </is>
      </c>
      <c r="B65" s="3" t="inlineStr">
        <is>
          <t>2026-03-17gimnasiamendozaestudiantes</t>
        </is>
      </c>
      <c r="C65" s="3" t="inlineStr">
        <is>
          <t>Gimnasia Mendoza vs Estudiantes</t>
        </is>
      </c>
      <c r="D65" s="3" t="inlineStr">
        <is>
          <t>Gimnasia Mendoza</t>
        </is>
      </c>
      <c r="E65" s="3" t="inlineStr">
        <is>
          <t>Estudiantes</t>
        </is>
      </c>
      <c r="F65" s="4" t="n">
        <v>3.6</v>
      </c>
      <c r="G65" s="4" t="n">
        <v>2.85</v>
      </c>
      <c r="H65" s="4" t="n">
        <v>2.32</v>
      </c>
      <c r="I65" s="4" t="n">
        <v>3.15</v>
      </c>
      <c r="J65" s="4" t="n">
        <v>1.35</v>
      </c>
      <c r="K65" s="2" t="inlineStr">
        <is>
          <t>Argentina</t>
        </is>
      </c>
      <c r="L65" s="5" t="n">
        <v>0.3251002399993821</v>
      </c>
      <c r="M65" s="5" t="n">
        <v>0.2955070897291267</v>
      </c>
      <c r="N65" s="5" t="n">
        <v>0.3793926702714912</v>
      </c>
      <c r="O65" s="5" t="n">
        <v>0.4109755725200972</v>
      </c>
      <c r="P65" s="5" t="n">
        <v>0.5890244274799028</v>
      </c>
      <c r="Q65" s="2" t="n">
        <v>1</v>
      </c>
      <c r="R65" s="2" t="n">
        <v>2</v>
      </c>
      <c r="S65" s="3">
        <f>IF(OR(Q65="",R65=""),"[APOSTAR] LOCAL",IF(Q65&gt;R65,"[GANADA] LOCAL","[PERDIDA] LOCAL"))</f>
        <v/>
      </c>
      <c r="T65" s="3" t="inlineStr">
        <is>
          <t>[PASAR] Sin Valor</t>
        </is>
      </c>
      <c r="U65" s="6" t="n">
        <v>1767.77</v>
      </c>
      <c r="V65" s="6" t="n">
        <v>0</v>
      </c>
      <c r="W65" s="3">
        <f>IF(L65="","",IF((MAX(L65,M65,N65)-MEDIAN(L65,M65,N65))&gt;0.05,IF(OR(Q65="",R65=""),"[PREDICCION] "&amp;IF(L65=MAX(L65,M65,N65),"LOCAL",IF(M65=MAX(L65,M65,N65),"EMPATE","VISITA")),IF(L65=MAX(L65,M65,N65),IF(Q65&gt;R65,"[ACIERTO]","[FALLO]"),IF(M65=MAX(L65,M65,N65),IF(Q65=R65,"[ACIERTO]","[FALLO]"),IF(Q65&lt;R65,"[ACIERTO]","[FALLO]")))),"[PASAR] Margen Insuf"))</f>
        <v/>
      </c>
      <c r="X65" s="6">
        <f>IFERROR(IF(U65=0,0,IF(ISNUMBER(SEARCH("[GANADA]",S65)),U65*(IF(ISNUMBER(SEARCH("LOCAL",S65)),F65,IF(ISNUMBER(SEARCH("EMPATE",S65)),G65,H65))-1),IF(ISNUMBER(SEARCH("[PERDIDA]",S65)),-U65,0))),0)+IFERROR(IF(V65=0,0,IF(ISNUMBER(SEARCH("[GANADA]",T65)),V65*(IF(ISNUMBER(SEARCH("OVER",T65)),I65,J65)-1),IF(ISNUMBER(SEARCH("[PERDIDA]",T65)),-V65,0))),0)</f>
        <v/>
      </c>
      <c r="Y65" s="6">
        <f>Y64+X65</f>
        <v/>
      </c>
      <c r="Z65" s="7">
        <f>IF(OR(Q65="",R65=""),"",(L65-IF(Q65&gt;R65,1,0))^2+(M65-IF(Q65=R65,1,0))^2+(N65-IF(Q65&lt;R65,1,0))^2)</f>
        <v/>
      </c>
      <c r="AA65" s="9" t="n">
        <v>0.5361</v>
      </c>
      <c r="AB65" s="2" t="inlineStr">
        <is>
          <t>NO</t>
        </is>
      </c>
    </row>
    <row r="66">
      <c r="A66" s="2" t="inlineStr">
        <is>
          <t>17/03/2026</t>
        </is>
      </c>
      <c r="B66" s="3" t="inlineStr">
        <is>
          <t>2026-03-17lanusnewells</t>
        </is>
      </c>
      <c r="C66" s="3" t="inlineStr">
        <is>
          <t>Lanus vs Newells</t>
        </is>
      </c>
      <c r="D66" s="3" t="inlineStr">
        <is>
          <t>Lanus</t>
        </is>
      </c>
      <c r="E66" s="3" t="inlineStr">
        <is>
          <t>Newells</t>
        </is>
      </c>
      <c r="F66" s="4" t="n">
        <v>1.75</v>
      </c>
      <c r="G66" s="4" t="n">
        <v>3.45</v>
      </c>
      <c r="H66" s="4" t="n">
        <v>5.1</v>
      </c>
      <c r="I66" s="4" t="n">
        <v>2.3</v>
      </c>
      <c r="J66" s="4" t="n">
        <v>1.6</v>
      </c>
      <c r="K66" s="2" t="inlineStr">
        <is>
          <t>Argentina</t>
        </is>
      </c>
      <c r="L66" s="5" t="n">
        <v>0.3988150512479021</v>
      </c>
      <c r="M66" s="5" t="n">
        <v>0.2659947201961859</v>
      </c>
      <c r="N66" s="5" t="n">
        <v>0.335190228555912</v>
      </c>
      <c r="O66" s="5" t="n">
        <v>0.5262423811394032</v>
      </c>
      <c r="P66" s="5" t="n">
        <v>0.4737576188605968</v>
      </c>
      <c r="Q66" s="2" t="n">
        <v>5</v>
      </c>
      <c r="R66" s="2" t="n">
        <v>0</v>
      </c>
      <c r="S66" s="3" t="inlineStr">
        <is>
          <t>[PASAR] Riesgo/Beneficio</t>
        </is>
      </c>
      <c r="T66" s="3" t="inlineStr">
        <is>
          <t>[PASAR] Margen Predictivo O/U Insuficiente (&lt;15%)</t>
        </is>
      </c>
      <c r="U66" s="6" t="n">
        <v>0</v>
      </c>
      <c r="V66" s="6" t="n">
        <v>0</v>
      </c>
      <c r="W66" s="3">
        <f>IF(L66="","",IF((MAX(L66,M66,N66)-MEDIAN(L66,M66,N66))&gt;0.05,IF(OR(Q66="",R66=""),"[PREDICCION] "&amp;IF(L66=MAX(L66,M66,N66),"LOCAL",IF(M66=MAX(L66,M66,N66),"EMPATE","VISITA")),IF(L66=MAX(L66,M66,N66),IF(Q66&gt;R66,"[ACIERTO]","[FALLO]"),IF(M66=MAX(L66,M66,N66),IF(Q66=R66,"[ACIERTO]","[FALLO]"),IF(Q66&lt;R66,"[ACIERTO]","[FALLO]")))),"[PASAR] Margen Insuf"))</f>
        <v/>
      </c>
      <c r="X66" s="6">
        <f>IFERROR(IF(U66=0,0,IF(ISNUMBER(SEARCH("[GANADA]",S66)),U66*(IF(ISNUMBER(SEARCH("LOCAL",S66)),F66,IF(ISNUMBER(SEARCH("EMPATE",S66)),G66,H66))-1),IF(ISNUMBER(SEARCH("[PERDIDA]",S66)),-U66,0))),0)+IFERROR(IF(V66=0,0,IF(ISNUMBER(SEARCH("[GANADA]",T66)),V66*(IF(ISNUMBER(SEARCH("OVER",T66)),I66,J66)-1),IF(ISNUMBER(SEARCH("[PERDIDA]",T66)),-V66,0))),0)</f>
        <v/>
      </c>
      <c r="Y66" s="6">
        <f>Y65+X66</f>
        <v/>
      </c>
      <c r="Z66" s="7">
        <f>IF(OR(Q66="",R66=""),"",(L66-IF(Q66&gt;R66,1,0))^2+(M66-IF(Q66=R66,1,0))^2+(N66-IF(Q66&lt;R66,1,0))^2)</f>
        <v/>
      </c>
      <c r="AA66" s="9" t="n">
        <v>0.6401</v>
      </c>
      <c r="AB66" s="2" t="inlineStr">
        <is>
          <t>NO</t>
        </is>
      </c>
    </row>
    <row r="67">
      <c r="A67" s="2" t="inlineStr">
        <is>
          <t>18/03/2026</t>
        </is>
      </c>
      <c r="B67" s="3" t="inlineStr">
        <is>
          <t>2026-03-18alanyasporkocaelispor</t>
        </is>
      </c>
      <c r="C67" s="3" t="inlineStr">
        <is>
          <t>Alanyaspor vs Kocaelispor</t>
        </is>
      </c>
      <c r="D67" s="3" t="inlineStr">
        <is>
          <t>Alanyaspor</t>
        </is>
      </c>
      <c r="E67" s="3" t="inlineStr">
        <is>
          <t>Kocaelispor</t>
        </is>
      </c>
      <c r="F67" s="4" t="n"/>
      <c r="G67" s="4" t="n"/>
      <c r="H67" s="4" t="n"/>
      <c r="I67" s="4" t="n"/>
      <c r="J67" s="4" t="n"/>
      <c r="K67" s="2" t="inlineStr">
        <is>
          <t>Turquia</t>
        </is>
      </c>
      <c r="L67" s="5" t="n">
        <v>0.4714950682292441</v>
      </c>
      <c r="M67" s="5" t="n">
        <v>0.2827861433763474</v>
      </c>
      <c r="N67" s="5" t="n">
        <v>0.2457187883944085</v>
      </c>
      <c r="O67" s="5" t="n">
        <v>0.4148022099731867</v>
      </c>
      <c r="P67" s="5" t="n">
        <v>0.5851977900268133</v>
      </c>
      <c r="Q67" s="2" t="n">
        <v>5</v>
      </c>
      <c r="R67" s="2" t="n">
        <v>0</v>
      </c>
      <c r="S67" s="3" t="inlineStr">
        <is>
          <t>[PASAR] Sin Cuotas</t>
        </is>
      </c>
      <c r="T67" s="3" t="inlineStr">
        <is>
          <t>[PASAR] Sin Cuotas</t>
        </is>
      </c>
      <c r="U67" s="6" t="n">
        <v>0</v>
      </c>
      <c r="V67" s="6" t="n">
        <v>0</v>
      </c>
      <c r="W67" s="3">
        <f>IF(L67="","",IF((MAX(L67,M67,N67)-MEDIAN(L67,M67,N67))&gt;0.05,IF(OR(Q67="",R67=""),"[PREDICCION] "&amp;IF(L67=MAX(L67,M67,N67),"LOCAL",IF(M67=MAX(L67,M67,N67),"EMPATE","VISITA")),IF(L67=MAX(L67,M67,N67),IF(Q67&gt;R67,"[ACIERTO]","[FALLO]"),IF(M67=MAX(L67,M67,N67),IF(Q67=R67,"[ACIERTO]","[FALLO]"),IF(Q67&lt;R67,"[ACIERTO]","[FALLO]")))),"[PASAR] Margen Insuf"))</f>
        <v/>
      </c>
      <c r="X67" s="6">
        <f>IFERROR(IF(U67=0,0,IF(ISNUMBER(SEARCH("[GANADA]",S67)),U67*(IF(ISNUMBER(SEARCH("LOCAL",S67)),F67,IF(ISNUMBER(SEARCH("EMPATE",S67)),G67,H67))-1),IF(ISNUMBER(SEARCH("[PERDIDA]",S67)),-U67,0))),0)+IFERROR(IF(V67=0,0,IF(ISNUMBER(SEARCH("[GANADA]",T67)),V67*(IF(ISNUMBER(SEARCH("OVER",T67)),I67,J67)-1),IF(ISNUMBER(SEARCH("[PERDIDA]",T67)),-V67,0))),0)</f>
        <v/>
      </c>
      <c r="Y67" s="6">
        <f>Y66+X67</f>
        <v/>
      </c>
      <c r="Z67" s="7">
        <f>IF(OR(Q67="",R67=""),"",(L67-IF(Q67&gt;R67,1,0))^2+(M67-IF(Q67=R67,1,0))^2+(N67-IF(Q67&lt;R67,1,0))^2)</f>
        <v/>
      </c>
      <c r="AA67" s="9" t="n">
        <v>0.7444</v>
      </c>
      <c r="AB67" s="2" t="inlineStr">
        <is>
          <t>NO</t>
        </is>
      </c>
    </row>
    <row r="68">
      <c r="A68" s="2" t="inlineStr">
        <is>
          <t>18/03/2026</t>
        </is>
      </c>
      <c r="B68" s="3" t="inlineStr">
        <is>
          <t>2026-03-18atleticomineirosaopaulo</t>
        </is>
      </c>
      <c r="C68" s="3" t="inlineStr">
        <is>
          <t>Atletico Mineiro vs Sao Paulo</t>
        </is>
      </c>
      <c r="D68" s="3" t="inlineStr">
        <is>
          <t>Atletico Mineiro</t>
        </is>
      </c>
      <c r="E68" s="3" t="inlineStr">
        <is>
          <t>Sao Paulo</t>
        </is>
      </c>
      <c r="F68" s="4" t="n"/>
      <c r="G68" s="4" t="n">
        <v>3.05</v>
      </c>
      <c r="H68" s="4" t="n"/>
      <c r="I68" s="4" t="n"/>
      <c r="J68" s="4" t="n"/>
      <c r="K68" s="2" t="inlineStr">
        <is>
          <t>Brasil</t>
        </is>
      </c>
      <c r="L68" s="5" t="n">
        <v>0.4728419865648709</v>
      </c>
      <c r="M68" s="5" t="n">
        <v>0.240933313436318</v>
      </c>
      <c r="N68" s="5" t="n">
        <v>0.2862246999988111</v>
      </c>
      <c r="O68" s="5" t="n">
        <v>0.6015291871790185</v>
      </c>
      <c r="P68" s="5" t="n">
        <v>0.3984708128209815</v>
      </c>
      <c r="Q68" s="2" t="n">
        <v>1</v>
      </c>
      <c r="R68" s="2" t="n">
        <v>0</v>
      </c>
      <c r="S68" s="3" t="inlineStr">
        <is>
          <t>[PASAR] Sin Cuotas</t>
        </is>
      </c>
      <c r="T68" s="3" t="inlineStr">
        <is>
          <t>[PASAR] Sin Cuotas</t>
        </is>
      </c>
      <c r="U68" s="6" t="n">
        <v>0</v>
      </c>
      <c r="V68" s="6" t="n">
        <v>0</v>
      </c>
      <c r="W68" s="3">
        <f>IF(L68="","",IF((MAX(L68,M68,N68)-MEDIAN(L68,M68,N68))&gt;0.05,IF(OR(Q68="",R68=""),"[PREDICCION] "&amp;IF(L68=MAX(L68,M68,N68),"LOCAL",IF(M68=MAX(L68,M68,N68),"EMPATE","VISITA")),IF(L68=MAX(L68,M68,N68),IF(Q68&gt;R68,"[ACIERTO]","[FALLO]"),IF(M68=MAX(L68,M68,N68),IF(Q68=R68,"[ACIERTO]","[FALLO]"),IF(Q68&lt;R68,"[ACIERTO]","[FALLO]")))),"[PASAR] Margen Insuf"))</f>
        <v/>
      </c>
      <c r="X68" s="6">
        <f>IFERROR(IF(U68=0,0,IF(ISNUMBER(SEARCH("[GANADA]",S68)),U68*(IF(ISNUMBER(SEARCH("LOCAL",S68)),F68,IF(ISNUMBER(SEARCH("EMPATE",S68)),G68,H68))-1),IF(ISNUMBER(SEARCH("[PERDIDA]",S68)),-U68,0))),0)+IFERROR(IF(V68=0,0,IF(ISNUMBER(SEARCH("[GANADA]",T68)),V68*(IF(ISNUMBER(SEARCH("OVER",T68)),I68,J68)-1),IF(ISNUMBER(SEARCH("[PERDIDA]",T68)),-V68,0))),0)</f>
        <v/>
      </c>
      <c r="Y68" s="6">
        <f>Y67+X68</f>
        <v/>
      </c>
      <c r="Z68" s="7">
        <f>IF(OR(Q68="",R68=""),"",(L68-IF(Q68&gt;R68,1,0))^2+(M68-IF(Q68=R68,1,0))^2+(N68-IF(Q68&lt;R68,1,0))^2)</f>
        <v/>
      </c>
      <c r="AA68" s="9" t="n">
        <v>1.0764</v>
      </c>
      <c r="AB68" s="2" t="inlineStr">
        <is>
          <t>NO</t>
        </is>
      </c>
    </row>
    <row r="69">
      <c r="A69" s="2" t="inlineStr">
        <is>
          <t>18/03/2026</t>
        </is>
      </c>
      <c r="B69" s="3" t="inlineStr">
        <is>
          <t>2026-03-18atleticoparanaensecruzeiro</t>
        </is>
      </c>
      <c r="C69" s="3" t="inlineStr">
        <is>
          <t>Atletico Paranaense vs Cruzeiro</t>
        </is>
      </c>
      <c r="D69" s="3" t="inlineStr">
        <is>
          <t>Atletico Paranaense</t>
        </is>
      </c>
      <c r="E69" s="3" t="inlineStr">
        <is>
          <t>Cruzeiro</t>
        </is>
      </c>
      <c r="F69" s="4" t="n"/>
      <c r="G69" s="4" t="n">
        <v>3.2</v>
      </c>
      <c r="H69" s="4" t="n"/>
      <c r="I69" s="4" t="n"/>
      <c r="J69" s="4" t="n"/>
      <c r="K69" s="2" t="inlineStr">
        <is>
          <t>Brasil</t>
        </is>
      </c>
      <c r="L69" s="5" t="n">
        <v>0.4800160590734705</v>
      </c>
      <c r="M69" s="5" t="n">
        <v>0.2575442508980985</v>
      </c>
      <c r="N69" s="5" t="n">
        <v>0.2624396900284311</v>
      </c>
      <c r="O69" s="5" t="n">
        <v>0.5155127869565838</v>
      </c>
      <c r="P69" s="5" t="n">
        <v>0.4844872130434162</v>
      </c>
      <c r="Q69" s="2" t="n">
        <v>2</v>
      </c>
      <c r="R69" s="2" t="n">
        <v>1</v>
      </c>
      <c r="S69" s="3" t="inlineStr">
        <is>
          <t>[PASAR] Sin Cuotas</t>
        </is>
      </c>
      <c r="T69" s="3" t="inlineStr">
        <is>
          <t>[PASAR] Sin Cuotas</t>
        </is>
      </c>
      <c r="U69" s="6" t="n">
        <v>0</v>
      </c>
      <c r="V69" s="6" t="n">
        <v>0</v>
      </c>
      <c r="W69" s="3">
        <f>IF(L69="","",IF((MAX(L69,M69,N69)-MEDIAN(L69,M69,N69))&gt;0.05,IF(OR(Q69="",R69=""),"[PREDICCION] "&amp;IF(L69=MAX(L69,M69,N69),"LOCAL",IF(M69=MAX(L69,M69,N69),"EMPATE","VISITA")),IF(L69=MAX(L69,M69,N69),IF(Q69&gt;R69,"[ACIERTO]","[FALLO]"),IF(M69=MAX(L69,M69,N69),IF(Q69=R69,"[ACIERTO]","[FALLO]"),IF(Q69&lt;R69,"[ACIERTO]","[FALLO]")))),"[PASAR] Margen Insuf"))</f>
        <v/>
      </c>
      <c r="X69" s="6">
        <f>IFERROR(IF(U69=0,0,IF(ISNUMBER(SEARCH("[GANADA]",S69)),U69*(IF(ISNUMBER(SEARCH("LOCAL",S69)),F69,IF(ISNUMBER(SEARCH("EMPATE",S69)),G69,H69))-1),IF(ISNUMBER(SEARCH("[PERDIDA]",S69)),-U69,0))),0)+IFERROR(IF(V69=0,0,IF(ISNUMBER(SEARCH("[GANADA]",T69)),V69*(IF(ISNUMBER(SEARCH("OVER",T69)),I69,J69)-1),IF(ISNUMBER(SEARCH("[PERDIDA]",T69)),-V69,0))),0)</f>
        <v/>
      </c>
      <c r="Y69" s="6">
        <f>Y68+X69</f>
        <v/>
      </c>
      <c r="Z69" s="7">
        <f>IF(OR(Q69="",R69=""),"",(L69-IF(Q69&gt;R69,1,0))^2+(M69-IF(Q69=R69,1,0))^2+(N69-IF(Q69&lt;R69,1,0))^2)</f>
        <v/>
      </c>
      <c r="AA69" s="9" t="n">
        <v>0.643</v>
      </c>
      <c r="AB69" s="2" t="inlineStr">
        <is>
          <t>NO</t>
        </is>
      </c>
    </row>
    <row r="70">
      <c r="A70" s="2" t="inlineStr">
        <is>
          <t>18/03/2026</t>
        </is>
      </c>
      <c r="B70" s="3" t="inlineStr">
        <is>
          <t>2026-03-18bahiabragantinosp</t>
        </is>
      </c>
      <c r="C70" s="3" t="inlineStr">
        <is>
          <t>Bahia vs Bragantino-sp</t>
        </is>
      </c>
      <c r="D70" s="3" t="inlineStr">
        <is>
          <t>Bahia</t>
        </is>
      </c>
      <c r="E70" s="3" t="inlineStr">
        <is>
          <t>Bragantino-sp</t>
        </is>
      </c>
      <c r="F70" s="4" t="n"/>
      <c r="G70" s="4" t="n">
        <v>3.75</v>
      </c>
      <c r="H70" s="4" t="n"/>
      <c r="I70" s="4" t="n"/>
      <c r="J70" s="4" t="n"/>
      <c r="K70" s="2" t="inlineStr">
        <is>
          <t>Brasil</t>
        </is>
      </c>
      <c r="L70" s="5" t="n">
        <v>0.4618815202693622</v>
      </c>
      <c r="M70" s="5" t="n">
        <v>0.240016096876073</v>
      </c>
      <c r="N70" s="5" t="n">
        <v>0.2981023828545648</v>
      </c>
      <c r="O70" s="5" t="n">
        <v>0.6124191293136554</v>
      </c>
      <c r="P70" s="5" t="n">
        <v>0.3875808706863446</v>
      </c>
      <c r="Q70" s="2" t="n">
        <v>2</v>
      </c>
      <c r="R70" s="2" t="n">
        <v>0</v>
      </c>
      <c r="S70" s="3" t="inlineStr">
        <is>
          <t>[PASAR] Sin Cuotas</t>
        </is>
      </c>
      <c r="T70" s="3" t="inlineStr">
        <is>
          <t>[PASAR] Sin Cuotas</t>
        </is>
      </c>
      <c r="U70" s="6" t="n">
        <v>0</v>
      </c>
      <c r="V70" s="6" t="n">
        <v>0</v>
      </c>
      <c r="W70" s="3">
        <f>IF(L70="","",IF((MAX(L70,M70,N70)-MEDIAN(L70,M70,N70))&gt;0.05,IF(OR(Q70="",R70=""),"[PREDICCION] "&amp;IF(L70=MAX(L70,M70,N70),"LOCAL",IF(M70=MAX(L70,M70,N70),"EMPATE","VISITA")),IF(L70=MAX(L70,M70,N70),IF(Q70&gt;R70,"[ACIERTO]","[FALLO]"),IF(M70=MAX(L70,M70,N70),IF(Q70=R70,"[ACIERTO]","[FALLO]"),IF(Q70&lt;R70,"[ACIERTO]","[FALLO]")))),"[PASAR] Margen Insuf"))</f>
        <v/>
      </c>
      <c r="X70" s="6">
        <f>IFERROR(IF(U70=0,0,IF(ISNUMBER(SEARCH("[GANADA]",S70)),U70*(IF(ISNUMBER(SEARCH("LOCAL",S70)),F70,IF(ISNUMBER(SEARCH("EMPATE",S70)),G70,H70))-1),IF(ISNUMBER(SEARCH("[PERDIDA]",S70)),-U70,0))),0)+IFERROR(IF(V70=0,0,IF(ISNUMBER(SEARCH("[GANADA]",T70)),V70*(IF(ISNUMBER(SEARCH("OVER",T70)),I70,J70)-1),IF(ISNUMBER(SEARCH("[PERDIDA]",T70)),-V70,0))),0)</f>
        <v/>
      </c>
      <c r="Y70" s="6">
        <f>Y69+X70</f>
        <v/>
      </c>
      <c r="Z70" s="7">
        <f>IF(OR(Q70="",R70=""),"",(L70-IF(Q70&gt;R70,1,0))^2+(M70-IF(Q70=R70,1,0))^2+(N70-IF(Q70&lt;R70,1,0))^2)</f>
        <v/>
      </c>
      <c r="AA70" s="9" t="n">
        <v>0.5229</v>
      </c>
      <c r="AB70" s="2" t="inlineStr">
        <is>
          <t>NO</t>
        </is>
      </c>
    </row>
    <row r="71">
      <c r="A71" s="2" t="inlineStr">
        <is>
          <t>18/03/2026</t>
        </is>
      </c>
      <c r="B71" s="3" t="inlineStr">
        <is>
          <t>2026-03-18caykurrizesporsamsunspor</t>
        </is>
      </c>
      <c r="C71" s="3" t="inlineStr">
        <is>
          <t>Caykur Rizespor vs Samsunspor</t>
        </is>
      </c>
      <c r="D71" s="3" t="inlineStr">
        <is>
          <t>Caykur Rizespor</t>
        </is>
      </c>
      <c r="E71" s="3" t="inlineStr">
        <is>
          <t>Samsunspor</t>
        </is>
      </c>
      <c r="F71" s="4" t="n"/>
      <c r="G71" s="4" t="n"/>
      <c r="H71" s="4" t="n"/>
      <c r="I71" s="4" t="n"/>
      <c r="J71" s="4" t="n"/>
      <c r="K71" s="2" t="inlineStr">
        <is>
          <t>Turquia</t>
        </is>
      </c>
      <c r="L71" s="5" t="n">
        <v>0.4143338364837813</v>
      </c>
      <c r="M71" s="5" t="n">
        <v>0.2731865517515846</v>
      </c>
      <c r="N71" s="5" t="n">
        <v>0.3124796117646341</v>
      </c>
      <c r="O71" s="5" t="n">
        <v>0.4828233891977304</v>
      </c>
      <c r="P71" s="5" t="n">
        <v>0.5171766108022696</v>
      </c>
      <c r="Q71" s="8" t="n"/>
      <c r="R71" s="8" t="n"/>
      <c r="S71" s="3" t="inlineStr">
        <is>
          <t>[PASAR] Sin Cuotas</t>
        </is>
      </c>
      <c r="T71" s="3" t="inlineStr">
        <is>
          <t>[PASAR] Sin Cuotas</t>
        </is>
      </c>
      <c r="U71" s="6" t="n">
        <v>0</v>
      </c>
      <c r="V71" s="6" t="n">
        <v>0</v>
      </c>
      <c r="W71" s="3">
        <f>IF(L71="","",IF((MAX(L71,M71,N71)-MEDIAN(L71,M71,N71))&gt;0.05,IF(OR(Q71="",R71=""),"[PREDICCION] "&amp;IF(L71=MAX(L71,M71,N71),"LOCAL",IF(M71=MAX(L71,M71,N71),"EMPATE","VISITA")),IF(L71=MAX(L71,M71,N71),IF(Q71&gt;R71,"[ACIERTO]","[FALLO]"),IF(M71=MAX(L71,M71,N71),IF(Q71=R71,"[ACIERTO]","[FALLO]"),IF(Q71&lt;R71,"[ACIERTO]","[FALLO]")))),"[PASAR] Margen Insuf"))</f>
        <v/>
      </c>
      <c r="X71" s="6">
        <f>IFERROR(IF(U71=0,0,IF(ISNUMBER(SEARCH("[GANADA]",S71)),U71*(IF(ISNUMBER(SEARCH("LOCAL",S71)),F71,IF(ISNUMBER(SEARCH("EMPATE",S71)),G71,H71))-1),IF(ISNUMBER(SEARCH("[PERDIDA]",S71)),-U71,0))),0)+IFERROR(IF(V71=0,0,IF(ISNUMBER(SEARCH("[GANADA]",T71)),V71*(IF(ISNUMBER(SEARCH("OVER",T71)),I71,J71)-1),IF(ISNUMBER(SEARCH("[PERDIDA]",T71)),-V71,0))),0)</f>
        <v/>
      </c>
      <c r="Y71" s="6">
        <f>Y70+X71</f>
        <v/>
      </c>
      <c r="Z71" s="7">
        <f>IF(OR(Q71="",R71=""),"",(L71-IF(Q71&gt;R71,1,0))^2+(M71-IF(Q71=R71,1,0))^2+(N71-IF(Q71&lt;R71,1,0))^2)</f>
        <v/>
      </c>
      <c r="AA71" s="9" t="n">
        <v>0.859</v>
      </c>
      <c r="AB71" s="2" t="inlineStr">
        <is>
          <t>NO</t>
        </is>
      </c>
    </row>
    <row r="72">
      <c r="A72" s="2" t="inlineStr">
        <is>
          <t>18/03/2026</t>
        </is>
      </c>
      <c r="B72" s="3" t="inlineStr">
        <is>
          <t>2026-03-18eyupsportrabzonspor</t>
        </is>
      </c>
      <c r="C72" s="3" t="inlineStr">
        <is>
          <t>Eyupspor vs Trabzonspor</t>
        </is>
      </c>
      <c r="D72" s="3" t="inlineStr">
        <is>
          <t>Eyupspor</t>
        </is>
      </c>
      <c r="E72" s="3" t="inlineStr">
        <is>
          <t>Trabzonspor</t>
        </is>
      </c>
      <c r="F72" s="4" t="n"/>
      <c r="G72" s="4" t="n"/>
      <c r="H72" s="4" t="n"/>
      <c r="I72" s="4" t="n"/>
      <c r="J72" s="4" t="n"/>
      <c r="K72" s="2" t="inlineStr">
        <is>
          <t>Turquia</t>
        </is>
      </c>
      <c r="L72" s="5" t="n">
        <v>0.2861270283395916</v>
      </c>
      <c r="M72" s="5" t="n">
        <v>0.2607651812525669</v>
      </c>
      <c r="N72" s="5" t="n">
        <v>0.4531077904078414</v>
      </c>
      <c r="O72" s="5" t="n">
        <v>0.5214361653599625</v>
      </c>
      <c r="P72" s="5" t="n">
        <v>0.4785638346400374</v>
      </c>
      <c r="Q72" s="2" t="n">
        <v>0</v>
      </c>
      <c r="R72" s="2" t="n">
        <v>1</v>
      </c>
      <c r="S72" s="3" t="inlineStr">
        <is>
          <t>[PASAR] Sin Cuotas</t>
        </is>
      </c>
      <c r="T72" s="3" t="inlineStr">
        <is>
          <t>[PASAR] Sin Cuotas</t>
        </is>
      </c>
      <c r="U72" s="6" t="n">
        <v>0</v>
      </c>
      <c r="V72" s="6" t="n">
        <v>0</v>
      </c>
      <c r="W72" s="3">
        <f>IF(L72="","",IF((MAX(L72,M72,N72)-MEDIAN(L72,M72,N72))&gt;0.05,IF(OR(Q72="",R72=""),"[PREDICCION] "&amp;IF(L72=MAX(L72,M72,N72),"LOCAL",IF(M72=MAX(L72,M72,N72),"EMPATE","VISITA")),IF(L72=MAX(L72,M72,N72),IF(Q72&gt;R72,"[ACIERTO]","[FALLO]"),IF(M72=MAX(L72,M72,N72),IF(Q72=R72,"[ACIERTO]","[FALLO]"),IF(Q72&lt;R72,"[ACIERTO]","[FALLO]")))),"[PASAR] Margen Insuf"))</f>
        <v/>
      </c>
      <c r="X72" s="6">
        <f>IFERROR(IF(U72=0,0,IF(ISNUMBER(SEARCH("[GANADA]",S72)),U72*(IF(ISNUMBER(SEARCH("LOCAL",S72)),F72,IF(ISNUMBER(SEARCH("EMPATE",S72)),G72,H72))-1),IF(ISNUMBER(SEARCH("[PERDIDA]",S72)),-U72,0))),0)+IFERROR(IF(V72=0,0,IF(ISNUMBER(SEARCH("[GANADA]",T72)),V72*(IF(ISNUMBER(SEARCH("OVER",T72)),I72,J72)-1),IF(ISNUMBER(SEARCH("[PERDIDA]",T72)),-V72,0))),0)</f>
        <v/>
      </c>
      <c r="Y72" s="6">
        <f>Y71+X72</f>
        <v/>
      </c>
      <c r="Z72" s="7">
        <f>IF(OR(Q72="",R72=""),"",(L72-IF(Q72&gt;R72,1,0))^2+(M72-IF(Q72=R72,1,0))^2+(N72-IF(Q72&lt;R72,1,0))^2)</f>
        <v/>
      </c>
      <c r="AA72" s="9" t="n">
        <v>0.8948</v>
      </c>
      <c r="AB72" s="2" t="inlineStr">
        <is>
          <t>NO</t>
        </is>
      </c>
    </row>
    <row r="73">
      <c r="A73" s="2" t="inlineStr">
        <is>
          <t>18/03/2026</t>
        </is>
      </c>
      <c r="B73" s="3" t="inlineStr">
        <is>
          <t>2026-03-18goztepegalatasaray</t>
        </is>
      </c>
      <c r="C73" s="3" t="inlineStr">
        <is>
          <t>Goztepe vs Galatasaray</t>
        </is>
      </c>
      <c r="D73" s="3" t="inlineStr">
        <is>
          <t>Goztepe</t>
        </is>
      </c>
      <c r="E73" s="3" t="inlineStr">
        <is>
          <t>Galatasaray</t>
        </is>
      </c>
      <c r="F73" s="4" t="n"/>
      <c r="G73" s="4" t="n"/>
      <c r="H73" s="4" t="n"/>
      <c r="I73" s="4" t="n"/>
      <c r="J73" s="4" t="n"/>
      <c r="K73" s="2" t="inlineStr">
        <is>
          <t>Turquia</t>
        </is>
      </c>
      <c r="L73" s="5" t="n">
        <v>0.3503567059368736</v>
      </c>
      <c r="M73" s="5" t="n">
        <v>0.283028484029018</v>
      </c>
      <c r="N73" s="5" t="n">
        <v>0.3666148100341084</v>
      </c>
      <c r="O73" s="5" t="n">
        <v>0.4513030547014477</v>
      </c>
      <c r="P73" s="5" t="n">
        <v>0.5486969452985523</v>
      </c>
      <c r="Q73" s="8" t="n"/>
      <c r="R73" s="8" t="n"/>
      <c r="S73" s="3" t="inlineStr">
        <is>
          <t>[PASAR] Sin Cuotas</t>
        </is>
      </c>
      <c r="T73" s="3" t="inlineStr">
        <is>
          <t>[PASAR] Sin Cuotas</t>
        </is>
      </c>
      <c r="U73" s="6" t="n">
        <v>0</v>
      </c>
      <c r="V73" s="6" t="n">
        <v>0</v>
      </c>
      <c r="W73" s="3">
        <f>IF(L73="","",IF((MAX(L73,M73,N73)-MEDIAN(L73,M73,N73))&gt;0.05,IF(OR(Q73="",R73=""),"[PREDICCION] "&amp;IF(L73=MAX(L73,M73,N73),"LOCAL",IF(M73=MAX(L73,M73,N73),"EMPATE","VISITA")),IF(L73=MAX(L73,M73,N73),IF(Q73&gt;R73,"[ACIERTO]","[FALLO]"),IF(M73=MAX(L73,M73,N73),IF(Q73=R73,"[ACIERTO]","[FALLO]"),IF(Q73&lt;R73,"[ACIERTO]","[FALLO]")))),"[PASAR] Margen Insuf"))</f>
        <v/>
      </c>
      <c r="X73" s="6">
        <f>IFERROR(IF(U73=0,0,IF(ISNUMBER(SEARCH("[GANADA]",S73)),U73*(IF(ISNUMBER(SEARCH("LOCAL",S73)),F73,IF(ISNUMBER(SEARCH("EMPATE",S73)),G73,H73))-1),IF(ISNUMBER(SEARCH("[PERDIDA]",S73)),-U73,0))),0)+IFERROR(IF(V73=0,0,IF(ISNUMBER(SEARCH("[GANADA]",T73)),V73*(IF(ISNUMBER(SEARCH("OVER",T73)),I73,J73)-1),IF(ISNUMBER(SEARCH("[PERDIDA]",T73)),-V73,0))),0)</f>
        <v/>
      </c>
      <c r="Y73" s="6">
        <f>Y72+X73</f>
        <v/>
      </c>
      <c r="Z73" s="7">
        <f>IF(OR(Q73="",R73=""),"",(L73-IF(Q73&gt;R73,1,0))^2+(M73-IF(Q73=R73,1,0))^2+(N73-IF(Q73&lt;R73,1,0))^2)</f>
        <v/>
      </c>
      <c r="AA73" s="9" t="n">
        <v>0.6991000000000001</v>
      </c>
      <c r="AB73" s="2" t="inlineStr">
        <is>
          <t>NO</t>
        </is>
      </c>
    </row>
    <row r="74">
      <c r="A74" s="2" t="inlineStr">
        <is>
          <t>18/03/2026</t>
        </is>
      </c>
      <c r="B74" s="3" t="inlineStr">
        <is>
          <t>2026-03-18istanbulbasaksehirantalyaspor</t>
        </is>
      </c>
      <c r="C74" s="3" t="inlineStr">
        <is>
          <t>Istanbul Basaksehir vs Antalyaspor</t>
        </is>
      </c>
      <c r="D74" s="3" t="inlineStr">
        <is>
          <t>Istanbul Basaksehir</t>
        </is>
      </c>
      <c r="E74" s="3" t="inlineStr">
        <is>
          <t>Antalyaspor</t>
        </is>
      </c>
      <c r="F74" s="4" t="n"/>
      <c r="G74" s="4" t="n"/>
      <c r="H74" s="4" t="n"/>
      <c r="I74" s="4" t="n"/>
      <c r="J74" s="4" t="n"/>
      <c r="K74" s="2" t="inlineStr">
        <is>
          <t>Turquia</t>
        </is>
      </c>
      <c r="L74" s="5" t="n">
        <v>0.4450762606164246</v>
      </c>
      <c r="M74" s="5" t="n">
        <v>0.2681926644878433</v>
      </c>
      <c r="N74" s="5" t="n">
        <v>0.2867310748957321</v>
      </c>
      <c r="O74" s="5" t="n">
        <v>0.4920602783752462</v>
      </c>
      <c r="P74" s="5" t="n">
        <v>0.5079397216247538</v>
      </c>
      <c r="Q74" s="2" t="n">
        <v>0</v>
      </c>
      <c r="R74" s="2" t="n">
        <v>0</v>
      </c>
      <c r="S74" s="3" t="inlineStr">
        <is>
          <t>[PASAR] Sin Cuotas</t>
        </is>
      </c>
      <c r="T74" s="3" t="inlineStr">
        <is>
          <t>[PASAR] Sin Cuotas</t>
        </is>
      </c>
      <c r="U74" s="6" t="n">
        <v>0</v>
      </c>
      <c r="V74" s="6" t="n">
        <v>0</v>
      </c>
      <c r="W74" s="3">
        <f>IF(L74="","",IF((MAX(L74,M74,N74)-MEDIAN(L74,M74,N74))&gt;0.05,IF(OR(Q74="",R74=""),"[PREDICCION] "&amp;IF(L74=MAX(L74,M74,N74),"LOCAL",IF(M74=MAX(L74,M74,N74),"EMPATE","VISITA")),IF(L74=MAX(L74,M74,N74),IF(Q74&gt;R74,"[ACIERTO]","[FALLO]"),IF(M74=MAX(L74,M74,N74),IF(Q74=R74,"[ACIERTO]","[FALLO]"),IF(Q74&lt;R74,"[ACIERTO]","[FALLO]")))),"[PASAR] Margen Insuf"))</f>
        <v/>
      </c>
      <c r="X74" s="6">
        <f>IFERROR(IF(U74=0,0,IF(ISNUMBER(SEARCH("[GANADA]",S74)),U74*(IF(ISNUMBER(SEARCH("LOCAL",S74)),F74,IF(ISNUMBER(SEARCH("EMPATE",S74)),G74,H74))-1),IF(ISNUMBER(SEARCH("[PERDIDA]",S74)),-U74,0))),0)+IFERROR(IF(V74=0,0,IF(ISNUMBER(SEARCH("[GANADA]",T74)),V74*(IF(ISNUMBER(SEARCH("OVER",T74)),I74,J74)-1),IF(ISNUMBER(SEARCH("[PERDIDA]",T74)),-V74,0))),0)</f>
        <v/>
      </c>
      <c r="Y74" s="6">
        <f>Y73+X74</f>
        <v/>
      </c>
      <c r="Z74" s="7">
        <f>IF(OR(Q74="",R74=""),"",(L74-IF(Q74&gt;R74,1,0))^2+(M74-IF(Q74=R74,1,0))^2+(N74-IF(Q74&lt;R74,1,0))^2)</f>
        <v/>
      </c>
      <c r="AA74" s="9" t="n">
        <v>0.752</v>
      </c>
      <c r="AB74" s="2" t="inlineStr">
        <is>
          <t>NO</t>
        </is>
      </c>
    </row>
    <row r="75">
      <c r="A75" s="2" t="inlineStr">
        <is>
          <t>18/03/2026</t>
        </is>
      </c>
      <c r="B75" s="3" t="inlineStr">
        <is>
          <t>2026-03-18mirassolcoritiba</t>
        </is>
      </c>
      <c r="C75" s="3" t="inlineStr">
        <is>
          <t>Mirassol vs Coritiba</t>
        </is>
      </c>
      <c r="D75" s="3" t="inlineStr">
        <is>
          <t>Mirassol</t>
        </is>
      </c>
      <c r="E75" s="3" t="inlineStr">
        <is>
          <t>Coritiba</t>
        </is>
      </c>
      <c r="F75" s="4" t="n"/>
      <c r="G75" s="4" t="n">
        <v>3.65</v>
      </c>
      <c r="H75" s="4" t="n"/>
      <c r="I75" s="4" t="n"/>
      <c r="J75" s="4" t="n"/>
      <c r="K75" s="2" t="inlineStr">
        <is>
          <t>Brasil</t>
        </is>
      </c>
      <c r="L75" s="5" t="n">
        <v>0.4829305065817581</v>
      </c>
      <c r="M75" s="5" t="n">
        <v>0.2490842338500703</v>
      </c>
      <c r="N75" s="5" t="n">
        <v>0.2679852595681716</v>
      </c>
      <c r="O75" s="5" t="n">
        <v>0.5542627005521311</v>
      </c>
      <c r="P75" s="5" t="n">
        <v>0.4457372994478689</v>
      </c>
      <c r="Q75" s="2" t="n">
        <v>0</v>
      </c>
      <c r="R75" s="2" t="n">
        <v>1</v>
      </c>
      <c r="S75" s="3" t="inlineStr">
        <is>
          <t>[PASAR] Sin Cuotas</t>
        </is>
      </c>
      <c r="T75" s="3" t="inlineStr">
        <is>
          <t>[PASAR] Sin Cuotas</t>
        </is>
      </c>
      <c r="U75" s="6" t="n">
        <v>0</v>
      </c>
      <c r="V75" s="6" t="n">
        <v>0</v>
      </c>
      <c r="W75" s="3">
        <f>IF(L75="","",IF((MAX(L75,M75,N75)-MEDIAN(L75,M75,N75))&gt;0.05,IF(OR(Q75="",R75=""),"[PREDICCION] "&amp;IF(L75=MAX(L75,M75,N75),"LOCAL",IF(M75=MAX(L75,M75,N75),"EMPATE","VISITA")),IF(L75=MAX(L75,M75,N75),IF(Q75&gt;R75,"[ACIERTO]","[FALLO]"),IF(M75=MAX(L75,M75,N75),IF(Q75=R75,"[ACIERTO]","[FALLO]"),IF(Q75&lt;R75,"[ACIERTO]","[FALLO]")))),"[PASAR] Margen Insuf"))</f>
        <v/>
      </c>
      <c r="X75" s="6">
        <f>IFERROR(IF(U75=0,0,IF(ISNUMBER(SEARCH("[GANADA]",S75)),U75*(IF(ISNUMBER(SEARCH("LOCAL",S75)),F75,IF(ISNUMBER(SEARCH("EMPATE",S75)),G75,H75))-1),IF(ISNUMBER(SEARCH("[PERDIDA]",S75)),-U75,0))),0)+IFERROR(IF(V75=0,0,IF(ISNUMBER(SEARCH("[GANADA]",T75)),V75*(IF(ISNUMBER(SEARCH("OVER",T75)),I75,J75)-1),IF(ISNUMBER(SEARCH("[PERDIDA]",T75)),-V75,0))),0)</f>
        <v/>
      </c>
      <c r="Y75" s="6">
        <f>Y74+X75</f>
        <v/>
      </c>
      <c r="Z75" s="7">
        <f>IF(OR(Q75="",R75=""),"",(L75-IF(Q75&gt;R75,1,0))^2+(M75-IF(Q75=R75,1,0))^2+(N75-IF(Q75&lt;R75,1,0))^2)</f>
        <v/>
      </c>
      <c r="AA75" s="9" t="n">
        <v>0.6311</v>
      </c>
      <c r="AB75" s="2" t="inlineStr">
        <is>
          <t>NO</t>
        </is>
      </c>
    </row>
    <row r="76">
      <c r="A76" s="2" t="inlineStr">
        <is>
          <t>18/03/2026</t>
        </is>
      </c>
      <c r="B76" s="3" t="inlineStr">
        <is>
          <t>2026-03-18palmeirasbotafogo</t>
        </is>
      </c>
      <c r="C76" s="3" t="inlineStr">
        <is>
          <t>Palmeiras vs Botafogo</t>
        </is>
      </c>
      <c r="D76" s="3" t="inlineStr">
        <is>
          <t>Palmeiras</t>
        </is>
      </c>
      <c r="E76" s="3" t="inlineStr">
        <is>
          <t>Botafogo</t>
        </is>
      </c>
      <c r="F76" s="4" t="n"/>
      <c r="G76" s="4" t="n"/>
      <c r="H76" s="4" t="n"/>
      <c r="I76" s="4" t="n"/>
      <c r="J76" s="4" t="n"/>
      <c r="K76" s="2" t="inlineStr">
        <is>
          <t>Brasil</t>
        </is>
      </c>
      <c r="L76" s="5" t="n">
        <v>0.5679873836629583</v>
      </c>
      <c r="M76" s="5" t="n">
        <v>0.2350453510409478</v>
      </c>
      <c r="N76" s="5" t="n">
        <v>0.1969672652960938</v>
      </c>
      <c r="O76" s="5" t="n">
        <v>0.5411925779075816</v>
      </c>
      <c r="P76" s="5" t="n">
        <v>0.4588074220924185</v>
      </c>
      <c r="Q76" s="2" t="n">
        <v>2</v>
      </c>
      <c r="R76" s="2" t="n">
        <v>1</v>
      </c>
      <c r="S76" s="3" t="inlineStr">
        <is>
          <t>[PASAR] Sin Cuotas</t>
        </is>
      </c>
      <c r="T76" s="3" t="inlineStr">
        <is>
          <t>[PASAR] Sin Cuotas</t>
        </is>
      </c>
      <c r="U76" s="6" t="n">
        <v>0</v>
      </c>
      <c r="V76" s="6" t="n">
        <v>0</v>
      </c>
      <c r="W76" s="3">
        <f>IF(L76="","",IF((MAX(L76,M76,N76)-MEDIAN(L76,M76,N76))&gt;0.05,IF(OR(Q76="",R76=""),"[PREDICCION] "&amp;IF(L76=MAX(L76,M76,N76),"LOCAL",IF(M76=MAX(L76,M76,N76),"EMPATE","VISITA")),IF(L76=MAX(L76,M76,N76),IF(Q76&gt;R76,"[ACIERTO]","[FALLO]"),IF(M76=MAX(L76,M76,N76),IF(Q76=R76,"[ACIERTO]","[FALLO]"),IF(Q76&lt;R76,"[ACIERTO]","[FALLO]")))),"[PASAR] Margen Insuf"))</f>
        <v/>
      </c>
      <c r="X76" s="6">
        <f>IFERROR(IF(U76=0,0,IF(ISNUMBER(SEARCH("[GANADA]",S76)),U76*(IF(ISNUMBER(SEARCH("LOCAL",S76)),F76,IF(ISNUMBER(SEARCH("EMPATE",S76)),G76,H76))-1),IF(ISNUMBER(SEARCH("[PERDIDA]",S76)),-U76,0))),0)+IFERROR(IF(V76=0,0,IF(ISNUMBER(SEARCH("[GANADA]",T76)),V76*(IF(ISNUMBER(SEARCH("OVER",T76)),I76,J76)-1),IF(ISNUMBER(SEARCH("[PERDIDA]",T76)),-V76,0))),0)</f>
        <v/>
      </c>
      <c r="Y76" s="6">
        <f>Y75+X76</f>
        <v/>
      </c>
      <c r="Z76" s="7">
        <f>IF(OR(Q76="",R76=""),"",(L76-IF(Q76&gt;R76,1,0))^2+(M76-IF(Q76=R76,1,0))^2+(N76-IF(Q76&lt;R76,1,0))^2)</f>
        <v/>
      </c>
      <c r="AA76" s="9" t="n">
        <v>0.9062</v>
      </c>
      <c r="AB76" s="2" t="inlineStr">
        <is>
          <t>NO</t>
        </is>
      </c>
    </row>
    <row r="77">
      <c r="A77" s="2" t="inlineStr">
        <is>
          <t>19/03/2026</t>
        </is>
      </c>
      <c r="B77" s="3" t="inlineStr">
        <is>
          <t>2026-03-19santosinternacional</t>
        </is>
      </c>
      <c r="C77" s="3" t="inlineStr">
        <is>
          <t>Santos vs Internacional</t>
        </is>
      </c>
      <c r="D77" s="3" t="inlineStr">
        <is>
          <t>Santos</t>
        </is>
      </c>
      <c r="E77" s="3" t="inlineStr">
        <is>
          <t>Internacional</t>
        </is>
      </c>
      <c r="F77" s="4" t="n"/>
      <c r="G77" s="4" t="n">
        <v>3.3</v>
      </c>
      <c r="H77" s="4" t="n"/>
      <c r="I77" s="4" t="n"/>
      <c r="J77" s="4" t="n"/>
      <c r="K77" s="2" t="inlineStr">
        <is>
          <t>Brasil</t>
        </is>
      </c>
      <c r="L77" s="5" t="n">
        <v>0.4582196348092075</v>
      </c>
      <c r="M77" s="5" t="n">
        <v>0.2627635465238829</v>
      </c>
      <c r="N77" s="5" t="n">
        <v>0.2790168186669096</v>
      </c>
      <c r="O77" s="5" t="n">
        <v>0.5051471096299105</v>
      </c>
      <c r="P77" s="5" t="n">
        <v>0.4948528903700894</v>
      </c>
      <c r="Q77" s="2" t="n">
        <v>1</v>
      </c>
      <c r="R77" s="2" t="n">
        <v>2</v>
      </c>
      <c r="S77" s="3" t="inlineStr">
        <is>
          <t>[PASAR] Sin Cuotas</t>
        </is>
      </c>
      <c r="T77" s="3" t="inlineStr">
        <is>
          <t>[PASAR] Sin Cuotas</t>
        </is>
      </c>
      <c r="U77" s="6" t="n">
        <v>0</v>
      </c>
      <c r="V77" s="6" t="n">
        <v>0</v>
      </c>
      <c r="W77" s="3">
        <f>IF(L77="","",IF((MAX(L77,M77,N77)-MEDIAN(L77,M77,N77))&gt;0.05,IF(OR(Q77="",R77=""),"[PREDICCION] "&amp;IF(L77=MAX(L77,M77,N77),"LOCAL",IF(M77=MAX(L77,M77,N77),"EMPATE","VISITA")),IF(L77=MAX(L77,M77,N77),IF(Q77&gt;R77,"[ACIERTO]","[FALLO]"),IF(M77=MAX(L77,M77,N77),IF(Q77=R77,"[ACIERTO]","[FALLO]"),IF(Q77&lt;R77,"[ACIERTO]","[FALLO]")))),"[PASAR] Margen Insuf"))</f>
        <v/>
      </c>
      <c r="X77" s="6">
        <f>IFERROR(IF(U77=0,0,IF(ISNUMBER(SEARCH("[GANADA]",S77)),U77*(IF(ISNUMBER(SEARCH("LOCAL",S77)),F77,IF(ISNUMBER(SEARCH("EMPATE",S77)),G77,H77))-1),IF(ISNUMBER(SEARCH("[PERDIDA]",S77)),-U77,0))),0)+IFERROR(IF(V77=0,0,IF(ISNUMBER(SEARCH("[GANADA]",T77)),V77*(IF(ISNUMBER(SEARCH("OVER",T77)),I77,J77)-1),IF(ISNUMBER(SEARCH("[PERDIDA]",T77)),-V77,0))),0)</f>
        <v/>
      </c>
      <c r="Y77" s="6">
        <f>Y76+X77</f>
        <v/>
      </c>
      <c r="Z77" s="7">
        <f>IF(OR(Q77="",R77=""),"",(L77-IF(Q77&gt;R77,1,0))^2+(M77-IF(Q77=R77,1,0))^2+(N77-IF(Q77&lt;R77,1,0))^2)</f>
        <v/>
      </c>
      <c r="AA77" s="9" t="n">
        <v>0.7584</v>
      </c>
      <c r="AB77" s="2" t="inlineStr">
        <is>
          <t>NO</t>
        </is>
      </c>
    </row>
    <row r="78">
      <c r="A78" s="2" t="inlineStr">
        <is>
          <t>19/03/2026</t>
        </is>
      </c>
      <c r="B78" s="3" t="inlineStr">
        <is>
          <t>2026-03-19vascodagamafluminense</t>
        </is>
      </c>
      <c r="C78" s="3" t="inlineStr">
        <is>
          <t>Vasco da Gama vs Fluminense</t>
        </is>
      </c>
      <c r="D78" s="3" t="inlineStr">
        <is>
          <t>Vasco da Gama</t>
        </is>
      </c>
      <c r="E78" s="3" t="inlineStr">
        <is>
          <t>Fluminense</t>
        </is>
      </c>
      <c r="F78" s="4" t="n"/>
      <c r="G78" s="4" t="n">
        <v>3.15</v>
      </c>
      <c r="H78" s="4" t="n"/>
      <c r="I78" s="4" t="n"/>
      <c r="J78" s="4" t="n"/>
      <c r="K78" s="2" t="inlineStr">
        <is>
          <t>Brasil</t>
        </is>
      </c>
      <c r="L78" s="5" t="n">
        <v>0.4569397483090634</v>
      </c>
      <c r="M78" s="5" t="n">
        <v>0.2523469391075815</v>
      </c>
      <c r="N78" s="5" t="n">
        <v>0.2907133125833551</v>
      </c>
      <c r="O78" s="5" t="n">
        <v>0.5546107031970552</v>
      </c>
      <c r="P78" s="5" t="n">
        <v>0.4453892968029449</v>
      </c>
      <c r="Q78" s="2" t="n">
        <v>3</v>
      </c>
      <c r="R78" s="2" t="n">
        <v>2</v>
      </c>
      <c r="S78" s="3" t="inlineStr">
        <is>
          <t>[PASAR] Sin Cuotas</t>
        </is>
      </c>
      <c r="T78" s="3" t="inlineStr">
        <is>
          <t>[PASAR] Sin Cuotas</t>
        </is>
      </c>
      <c r="U78" s="6" t="n">
        <v>0</v>
      </c>
      <c r="V78" s="6" t="n">
        <v>0</v>
      </c>
      <c r="W78" s="3">
        <f>IF(L78="","",IF((MAX(L78,M78,N78)-MEDIAN(L78,M78,N78))&gt;0.05,IF(OR(Q78="",R78=""),"[PREDICCION] "&amp;IF(L78=MAX(L78,M78,N78),"LOCAL",IF(M78=MAX(L78,M78,N78),"EMPATE","VISITA")),IF(L78=MAX(L78,M78,N78),IF(Q78&gt;R78,"[ACIERTO]","[FALLO]"),IF(M78=MAX(L78,M78,N78),IF(Q78=R78,"[ACIERTO]","[FALLO]"),IF(Q78&lt;R78,"[ACIERTO]","[FALLO]")))),"[PASAR] Margen Insuf"))</f>
        <v/>
      </c>
      <c r="X78" s="6">
        <f>IFERROR(IF(U78=0,0,IF(ISNUMBER(SEARCH("[GANADA]",S78)),U78*(IF(ISNUMBER(SEARCH("LOCAL",S78)),F78,IF(ISNUMBER(SEARCH("EMPATE",S78)),G78,H78))-1),IF(ISNUMBER(SEARCH("[PERDIDA]",S78)),-U78,0))),0)+IFERROR(IF(V78=0,0,IF(ISNUMBER(SEARCH("[GANADA]",T78)),V78*(IF(ISNUMBER(SEARCH("OVER",T78)),I78,J78)-1),IF(ISNUMBER(SEARCH("[PERDIDA]",T78)),-V78,0))),0)</f>
        <v/>
      </c>
      <c r="Y78" s="6">
        <f>Y77+X78</f>
        <v/>
      </c>
      <c r="Z78" s="7">
        <f>IF(OR(Q78="",R78=""),"",(L78-IF(Q78&gt;R78,1,0))^2+(M78-IF(Q78=R78,1,0))^2+(N78-IF(Q78&lt;R78,1,0))^2)</f>
        <v/>
      </c>
      <c r="AA78" s="9" t="n">
        <v>0.6743</v>
      </c>
      <c r="AB78" s="2" t="inlineStr">
        <is>
          <t>NO</t>
        </is>
      </c>
    </row>
    <row r="79">
      <c r="A79" s="2" t="inlineStr">
        <is>
          <t>20/03/2026</t>
        </is>
      </c>
      <c r="B79" s="3" t="inlineStr">
        <is>
          <t>2026-03-20afcbournemouthmanchesterunited</t>
        </is>
      </c>
      <c r="C79" s="3" t="inlineStr">
        <is>
          <t>AFC Bournemouth vs Manchester United</t>
        </is>
      </c>
      <c r="D79" s="3" t="inlineStr">
        <is>
          <t>AFC Bournemouth</t>
        </is>
      </c>
      <c r="E79" s="3" t="inlineStr">
        <is>
          <t>Manchester United</t>
        </is>
      </c>
      <c r="F79" s="4" t="n">
        <v>3.5</v>
      </c>
      <c r="G79" s="4" t="n">
        <v>3.95</v>
      </c>
      <c r="H79" s="4" t="n">
        <v>2.16</v>
      </c>
      <c r="I79" s="4" t="n">
        <v>1.53</v>
      </c>
      <c r="J79" s="4" t="n">
        <v>2.38</v>
      </c>
      <c r="K79" s="2" t="inlineStr">
        <is>
          <t>Inglaterra</t>
        </is>
      </c>
      <c r="L79" s="5" t="n">
        <v>0.3799957049122062</v>
      </c>
      <c r="M79" s="5" t="n">
        <v>0.2708599958047667</v>
      </c>
      <c r="N79" s="5" t="n">
        <v>0.3491442992830271</v>
      </c>
      <c r="O79" s="5" t="n">
        <v>0.4961539582723372</v>
      </c>
      <c r="P79" s="5" t="n">
        <v>0.5038460417276629</v>
      </c>
      <c r="Q79" s="2" t="n">
        <v>2</v>
      </c>
      <c r="R79" s="2" t="n">
        <v>2</v>
      </c>
      <c r="S79" s="3" t="inlineStr">
        <is>
          <t>[PASAR] Margen Predictivo Insuficiente (&lt;5%)</t>
        </is>
      </c>
      <c r="T79" s="3" t="inlineStr">
        <is>
          <t>[PASAR] Margen Predictivo O/U Insuficiente (&lt;15%)</t>
        </is>
      </c>
      <c r="U79" s="6" t="n">
        <v>0</v>
      </c>
      <c r="V79" s="6" t="n">
        <v>0</v>
      </c>
      <c r="W79" s="3">
        <f>IF(L79="","",IF((MAX(L79,M79,N79)-MEDIAN(L79,M79,N79))&gt;0.05,IF(OR(Q79="",R79=""),"[PREDICCION] "&amp;IF(L79=MAX(L79,M79,N79),"LOCAL",IF(M79=MAX(L79,M79,N79),"EMPATE","VISITA")),IF(L79=MAX(L79,M79,N79),IF(Q79&gt;R79,"[ACIERTO]","[FALLO]"),IF(M79=MAX(L79,M79,N79),IF(Q79=R79,"[ACIERTO]","[FALLO]"),IF(Q79&lt;R79,"[ACIERTO]","[FALLO]")))),"[PASAR] Margen Insuf"))</f>
        <v/>
      </c>
      <c r="X79" s="6">
        <f>IFERROR(IF(U79=0,0,IF(ISNUMBER(SEARCH("[GANADA]",S79)),U79*(IF(ISNUMBER(SEARCH("LOCAL",S79)),F79,IF(ISNUMBER(SEARCH("EMPATE",S79)),G79,H79))-1),IF(ISNUMBER(SEARCH("[PERDIDA]",S79)),-U79,0))),0)+IFERROR(IF(V79=0,0,IF(ISNUMBER(SEARCH("[GANADA]",T79)),V79*(IF(ISNUMBER(SEARCH("OVER",T79)),I79,J79)-1),IF(ISNUMBER(SEARCH("[PERDIDA]",T79)),-V79,0))),0)</f>
        <v/>
      </c>
      <c r="Y79" s="6">
        <f>Y78+X79</f>
        <v/>
      </c>
      <c r="Z79" s="7">
        <f>IF(OR(Q79="",R79=""),"",(L79-IF(Q79&gt;R79,1,0))^2+(M79-IF(Q79=R79,1,0))^2+(N79-IF(Q79&lt;R79,1,0))^2)</f>
        <v/>
      </c>
      <c r="AA79" s="9" t="n">
        <v>0.6242</v>
      </c>
      <c r="AB79" s="2" t="inlineStr">
        <is>
          <t>NO</t>
        </is>
      </c>
    </row>
    <row r="80">
      <c r="A80" s="2" t="inlineStr">
        <is>
          <t>21/03/2026</t>
        </is>
      </c>
      <c r="B80" s="3" t="inlineStr">
        <is>
          <t>2026-03-21atleticotucumangimnasialaplata</t>
        </is>
      </c>
      <c r="C80" s="3" t="inlineStr">
        <is>
          <t>Atlético Tucumán vs Gimnasia la Plata</t>
        </is>
      </c>
      <c r="D80" s="3" t="inlineStr">
        <is>
          <t>Atlético Tucumán</t>
        </is>
      </c>
      <c r="E80" s="3" t="inlineStr">
        <is>
          <t>Gimnasia la Plata</t>
        </is>
      </c>
      <c r="F80" s="4" t="n">
        <v>2.16</v>
      </c>
      <c r="G80" s="4" t="n">
        <v>3.3</v>
      </c>
      <c r="H80" s="4" t="n">
        <v>4.1</v>
      </c>
      <c r="I80" s="4" t="n">
        <v>2.43</v>
      </c>
      <c r="J80" s="4" t="n">
        <v>1.55</v>
      </c>
      <c r="K80" s="2" t="inlineStr">
        <is>
          <t>Argentina</t>
        </is>
      </c>
      <c r="L80" s="5" t="n">
        <v>0.4602333818476639</v>
      </c>
      <c r="M80" s="5" t="n">
        <v>0.2874823703030868</v>
      </c>
      <c r="N80" s="5" t="n">
        <v>0.2522842478492492</v>
      </c>
      <c r="O80" s="5" t="n">
        <v>0.4109749443702656</v>
      </c>
      <c r="P80" s="5" t="n">
        <v>0.5890250556297344</v>
      </c>
      <c r="Q80" s="2" t="n">
        <v>1</v>
      </c>
      <c r="R80" s="2" t="n">
        <v>0</v>
      </c>
      <c r="S80" s="3" t="inlineStr">
        <is>
          <t>[PASAR] Riesgo/Beneficio</t>
        </is>
      </c>
      <c r="T80" s="3" t="inlineStr">
        <is>
          <t>[PASAR] Sin Valor</t>
        </is>
      </c>
      <c r="U80" s="6" t="n">
        <v>0</v>
      </c>
      <c r="V80" s="6" t="n">
        <v>0</v>
      </c>
      <c r="W80" s="3">
        <f>IF(L80="","",IF((MAX(L80,M80,N80)-MEDIAN(L80,M80,N80))&gt;0.05,IF(OR(Q80="",R80=""),"[PREDICCION] "&amp;IF(L80=MAX(L80,M80,N80),"LOCAL",IF(M80=MAX(L80,M80,N80),"EMPATE","VISITA")),IF(L80=MAX(L80,M80,N80),IF(Q80&gt;R80,"[ACIERTO]","[FALLO]"),IF(M80=MAX(L80,M80,N80),IF(Q80=R80,"[ACIERTO]","[FALLO]"),IF(Q80&lt;R80,"[ACIERTO]","[FALLO]")))),"[PASAR] Margen Insuf"))</f>
        <v/>
      </c>
      <c r="X80" s="6">
        <f>IFERROR(IF(U80=0,0,IF(ISNUMBER(SEARCH("[GANADA]",S80)),U80*(IF(ISNUMBER(SEARCH("LOCAL",S80)),F80,IF(ISNUMBER(SEARCH("EMPATE",S80)),G80,H80))-1),IF(ISNUMBER(SEARCH("[PERDIDA]",S80)),-U80,0))),0)+IFERROR(IF(V80=0,0,IF(ISNUMBER(SEARCH("[GANADA]",T80)),V80*(IF(ISNUMBER(SEARCH("OVER",T80)),I80,J80)-1),IF(ISNUMBER(SEARCH("[PERDIDA]",T80)),-V80,0))),0)</f>
        <v/>
      </c>
      <c r="Y80" s="6">
        <f>Y79+X80</f>
        <v/>
      </c>
      <c r="Z80" s="7">
        <f>IF(OR(Q80="",R80=""),"",(L80-IF(Q80&gt;R80,1,0))^2+(M80-IF(Q80=R80,1,0))^2+(N80-IF(Q80&lt;R80,1,0))^2)</f>
        <v/>
      </c>
      <c r="AA80" s="9" t="n">
        <v>0.6594</v>
      </c>
      <c r="AB80" s="2" t="inlineStr">
        <is>
          <t>NO</t>
        </is>
      </c>
    </row>
    <row r="81">
      <c r="A81" s="2" t="inlineStr">
        <is>
          <t>21/03/2026</t>
        </is>
      </c>
      <c r="B81" s="3" t="inlineStr">
        <is>
          <t>2026-03-21banfieldtigre</t>
        </is>
      </c>
      <c r="C81" s="3" t="inlineStr">
        <is>
          <t>Banfield vs Tigre</t>
        </is>
      </c>
      <c r="D81" s="3" t="inlineStr">
        <is>
          <t>Banfield</t>
        </is>
      </c>
      <c r="E81" s="3" t="inlineStr">
        <is>
          <t>Tigre</t>
        </is>
      </c>
      <c r="F81" s="4" t="n">
        <v>3</v>
      </c>
      <c r="G81" s="4" t="n">
        <v>3</v>
      </c>
      <c r="H81" s="4" t="n">
        <v>2.9</v>
      </c>
      <c r="I81" s="4" t="n">
        <v>2.85</v>
      </c>
      <c r="J81" s="4" t="n">
        <v>1.47</v>
      </c>
      <c r="K81" s="2" t="inlineStr">
        <is>
          <t>Argentina</t>
        </is>
      </c>
      <c r="L81" s="5" t="n">
        <v>0.3771136742815178</v>
      </c>
      <c r="M81" s="5" t="n">
        <v>0.2950931859361805</v>
      </c>
      <c r="N81" s="5" t="n">
        <v>0.3277931397823017</v>
      </c>
      <c r="O81" s="5" t="n">
        <v>0.4128242964781709</v>
      </c>
      <c r="P81" s="5" t="n">
        <v>0.5871757035218291</v>
      </c>
      <c r="Q81" s="2" t="n">
        <v>1</v>
      </c>
      <c r="R81" s="2" t="n">
        <v>0</v>
      </c>
      <c r="S81" s="3" t="inlineStr">
        <is>
          <t>[PASAR] Margen Predictivo Insuficiente (&lt;5%)</t>
        </is>
      </c>
      <c r="T81" s="3" t="inlineStr">
        <is>
          <t>[PASAR] Sin Valor</t>
        </is>
      </c>
      <c r="U81" s="6" t="n">
        <v>0</v>
      </c>
      <c r="V81" s="6" t="n">
        <v>0</v>
      </c>
      <c r="W81" s="3">
        <f>IF(L81="","",IF((MAX(L81,M81,N81)-MEDIAN(L81,M81,N81))&gt;0.05,IF(OR(Q81="",R81=""),"[PREDICCION] "&amp;IF(L81=MAX(L81,M81,N81),"LOCAL",IF(M81=MAX(L81,M81,N81),"EMPATE","VISITA")),IF(L81=MAX(L81,M81,N81),IF(Q81&gt;R81,"[ACIERTO]","[FALLO]"),IF(M81=MAX(L81,M81,N81),IF(Q81=R81,"[ACIERTO]","[FALLO]"),IF(Q81&lt;R81,"[ACIERTO]","[FALLO]")))),"[PASAR] Margen Insuf"))</f>
        <v/>
      </c>
      <c r="X81" s="6">
        <f>IFERROR(IF(U81=0,0,IF(ISNUMBER(SEARCH("[GANADA]",S81)),U81*(IF(ISNUMBER(SEARCH("LOCAL",S81)),F81,IF(ISNUMBER(SEARCH("EMPATE",S81)),G81,H81))-1),IF(ISNUMBER(SEARCH("[PERDIDA]",S81)),-U81,0))),0)+IFERROR(IF(V81=0,0,IF(ISNUMBER(SEARCH("[GANADA]",T81)),V81*(IF(ISNUMBER(SEARCH("OVER",T81)),I81,J81)-1),IF(ISNUMBER(SEARCH("[PERDIDA]",T81)),-V81,0))),0)</f>
        <v/>
      </c>
      <c r="Y81" s="6">
        <f>Y80+X81</f>
        <v/>
      </c>
      <c r="Z81" s="7">
        <f>IF(OR(Q81="",R81=""),"",(L81-IF(Q81&gt;R81,1,0))^2+(M81-IF(Q81=R81,1,0))^2+(N81-IF(Q81&lt;R81,1,0))^2)</f>
        <v/>
      </c>
      <c r="AA81" s="9" t="n">
        <v>0.6399</v>
      </c>
      <c r="AB81" s="2" t="inlineStr">
        <is>
          <t>NO</t>
        </is>
      </c>
    </row>
    <row r="82">
      <c r="A82" s="2" t="inlineStr">
        <is>
          <t>21/03/2026</t>
        </is>
      </c>
      <c r="B82" s="3" t="inlineStr">
        <is>
          <t>2026-03-21brightonhovealbionliverpool</t>
        </is>
      </c>
      <c r="C82" s="3" t="inlineStr">
        <is>
          <t>Brighton &amp; Hove Albion vs Liverpool</t>
        </is>
      </c>
      <c r="D82" s="3" t="inlineStr">
        <is>
          <t>Brighton &amp; Hove Albion</t>
        </is>
      </c>
      <c r="E82" s="3" t="inlineStr">
        <is>
          <t>Liverpool</t>
        </is>
      </c>
      <c r="F82" s="4" t="n">
        <v>3.25</v>
      </c>
      <c r="G82" s="4" t="n">
        <v>3.75</v>
      </c>
      <c r="H82" s="4" t="n">
        <v>2.33</v>
      </c>
      <c r="I82" s="4" t="n">
        <v>1.78</v>
      </c>
      <c r="J82" s="4" t="n">
        <v>2.21</v>
      </c>
      <c r="K82" s="2" t="inlineStr">
        <is>
          <t>Inglaterra</t>
        </is>
      </c>
      <c r="L82" s="5" t="n">
        <v>0.4108978929417581</v>
      </c>
      <c r="M82" s="5" t="n">
        <v>0.2678994893669501</v>
      </c>
      <c r="N82" s="5" t="n">
        <v>0.3212026176912918</v>
      </c>
      <c r="O82" s="5" t="n">
        <v>0.5030608941671695</v>
      </c>
      <c r="P82" s="5" t="n">
        <v>0.4969391058328305</v>
      </c>
      <c r="Q82" s="2" t="n">
        <v>2</v>
      </c>
      <c r="R82" s="2" t="n">
        <v>1</v>
      </c>
      <c r="S82" s="3">
        <f>IF(OR(Q82="",R82=""),"[APOSTAR] LOCAL",IF(Q82&gt;R82,"[GANADA] LOCAL","[PERDIDA] LOCAL"))</f>
        <v/>
      </c>
      <c r="T82" s="3" t="inlineStr">
        <is>
          <t>[PASAR] Margen Predictivo O/U Insuficiente (&lt;15%)</t>
        </is>
      </c>
      <c r="U82" s="6" t="n">
        <v>2500</v>
      </c>
      <c r="V82" s="6" t="n">
        <v>0</v>
      </c>
      <c r="W82" s="3">
        <f>IF(L82="","",IF((MAX(L82,M82,N82)-MEDIAN(L82,M82,N82))&gt;0.05,IF(OR(Q82="",R82=""),"[PREDICCION] "&amp;IF(L82=MAX(L82,M82,N82),"LOCAL",IF(M82=MAX(L82,M82,N82),"EMPATE","VISITA")),IF(L82=MAX(L82,M82,N82),IF(Q82&gt;R82,"[ACIERTO]","[FALLO]"),IF(M82=MAX(L82,M82,N82),IF(Q82=R82,"[ACIERTO]","[FALLO]"),IF(Q82&lt;R82,"[ACIERTO]","[FALLO]")))),"[PASAR] Margen Insuf"))</f>
        <v/>
      </c>
      <c r="X82" s="6">
        <f>IFERROR(IF(U82=0,0,IF(ISNUMBER(SEARCH("[GANADA]",S82)),U82*(IF(ISNUMBER(SEARCH("LOCAL",S82)),F82,IF(ISNUMBER(SEARCH("EMPATE",S82)),G82,H82))-1),IF(ISNUMBER(SEARCH("[PERDIDA]",S82)),-U82,0))),0)+IFERROR(IF(V82=0,0,IF(ISNUMBER(SEARCH("[GANADA]",T82)),V82*(IF(ISNUMBER(SEARCH("OVER",T82)),I82,J82)-1),IF(ISNUMBER(SEARCH("[PERDIDA]",T82)),-V82,0))),0)</f>
        <v/>
      </c>
      <c r="Y82" s="6">
        <f>Y81+X82</f>
        <v/>
      </c>
      <c r="Z82" s="7">
        <f>IF(OR(Q82="",R82=""),"",(L82-IF(Q82&gt;R82,1,0))^2+(M82-IF(Q82=R82,1,0))^2+(N82-IF(Q82&lt;R82,1,0))^2)</f>
        <v/>
      </c>
      <c r="AA82" s="9" t="n">
        <v>0.7135</v>
      </c>
      <c r="AB82" s="2" t="inlineStr">
        <is>
          <t>NO</t>
        </is>
      </c>
    </row>
    <row r="83">
      <c r="A83" s="2" t="inlineStr">
        <is>
          <t>21/03/2026</t>
        </is>
      </c>
      <c r="B83" s="3" t="inlineStr">
        <is>
          <t>2026-03-21defensayjusticiaunionsantafe</t>
        </is>
      </c>
      <c r="C83" s="3" t="inlineStr">
        <is>
          <t>Defensa y Justicia vs Unión (santa Fe)</t>
        </is>
      </c>
      <c r="D83" s="3" t="inlineStr">
        <is>
          <t>Defensa y Justicia</t>
        </is>
      </c>
      <c r="E83" s="3" t="inlineStr">
        <is>
          <t>Unión (santa Fe)</t>
        </is>
      </c>
      <c r="F83" s="4" t="n">
        <v>2.9</v>
      </c>
      <c r="G83" s="4" t="n">
        <v>3.1</v>
      </c>
      <c r="H83" s="4" t="n">
        <v>2.88</v>
      </c>
      <c r="I83" s="4" t="n">
        <v>2.62</v>
      </c>
      <c r="J83" s="4" t="n">
        <v>1.56</v>
      </c>
      <c r="K83" s="2" t="inlineStr">
        <is>
          <t>Argentina</t>
        </is>
      </c>
      <c r="L83" s="5" t="n">
        <v>0.4006491982042748</v>
      </c>
      <c r="M83" s="5" t="n">
        <v>0.278488256062202</v>
      </c>
      <c r="N83" s="5" t="n">
        <v>0.3208625457335232</v>
      </c>
      <c r="O83" s="5" t="n">
        <v>0.4728740634574408</v>
      </c>
      <c r="P83" s="5" t="n">
        <v>0.5271259365425592</v>
      </c>
      <c r="Q83" s="2" t="n">
        <v>2</v>
      </c>
      <c r="R83" s="2" t="n">
        <v>0</v>
      </c>
      <c r="S83" s="3">
        <f>IF(OR(Q83="",R83=""),"[APOSTAR] LOCAL",IF(Q83&gt;R83,"[GANADA] LOCAL","[PERDIDA] LOCAL"))</f>
        <v/>
      </c>
      <c r="T83" s="3" t="inlineStr">
        <is>
          <t>[PASAR] Margen Predictivo O/U Insuficiente (&lt;15%)</t>
        </is>
      </c>
      <c r="U83" s="6" t="n">
        <v>1443.38</v>
      </c>
      <c r="V83" s="6" t="n">
        <v>0</v>
      </c>
      <c r="W83" s="3">
        <f>IF(L83="","",IF((MAX(L83,M83,N83)-MEDIAN(L83,M83,N83))&gt;0.05,IF(OR(Q83="",R83=""),"[PREDICCION] "&amp;IF(L83=MAX(L83,M83,N83),"LOCAL",IF(M83=MAX(L83,M83,N83),"EMPATE","VISITA")),IF(L83=MAX(L83,M83,N83),IF(Q83&gt;R83,"[ACIERTO]","[FALLO]"),IF(M83=MAX(L83,M83,N83),IF(Q83=R83,"[ACIERTO]","[FALLO]"),IF(Q83&lt;R83,"[ACIERTO]","[FALLO]")))),"[PASAR] Margen Insuf"))</f>
        <v/>
      </c>
      <c r="X83" s="6">
        <f>IFERROR(IF(U83=0,0,IF(ISNUMBER(SEARCH("[GANADA]",S83)),U83*(IF(ISNUMBER(SEARCH("LOCAL",S83)),F83,IF(ISNUMBER(SEARCH("EMPATE",S83)),G83,H83))-1),IF(ISNUMBER(SEARCH("[PERDIDA]",S83)),-U83,0))),0)+IFERROR(IF(V83=0,0,IF(ISNUMBER(SEARCH("[GANADA]",T83)),V83*(IF(ISNUMBER(SEARCH("OVER",T83)),I83,J83)-1),IF(ISNUMBER(SEARCH("[PERDIDA]",T83)),-V83,0))),0)</f>
        <v/>
      </c>
      <c r="Y83" s="6">
        <f>Y82+X83</f>
        <v/>
      </c>
      <c r="Z83" s="7">
        <f>IF(OR(Q83="",R83=""),"",(L83-IF(Q83&gt;R83,1,0))^2+(M83-IF(Q83=R83,1,0))^2+(N83-IF(Q83&lt;R83,1,0))^2)</f>
        <v/>
      </c>
      <c r="AA83" s="9" t="n">
        <v>0.6448</v>
      </c>
      <c r="AB83" s="2" t="inlineStr">
        <is>
          <t>NO</t>
        </is>
      </c>
    </row>
    <row r="84">
      <c r="A84" s="2" t="inlineStr">
        <is>
          <t>21/03/2026</t>
        </is>
      </c>
      <c r="B84" s="3" t="inlineStr">
        <is>
          <t>2026-03-21evertonchelsea</t>
        </is>
      </c>
      <c r="C84" s="3" t="inlineStr">
        <is>
          <t>Everton vs Chelsea</t>
        </is>
      </c>
      <c r="D84" s="3" t="inlineStr">
        <is>
          <t>Everton</t>
        </is>
      </c>
      <c r="E84" s="3" t="inlineStr">
        <is>
          <t>Chelsea</t>
        </is>
      </c>
      <c r="F84" s="4" t="n">
        <v>3.6</v>
      </c>
      <c r="G84" s="4" t="n">
        <v>3.75</v>
      </c>
      <c r="H84" s="4" t="n">
        <v>2.2</v>
      </c>
      <c r="I84" s="4" t="n">
        <v>1.9</v>
      </c>
      <c r="J84" s="4" t="n">
        <v>2.11</v>
      </c>
      <c r="K84" s="2" t="inlineStr">
        <is>
          <t>Inglaterra</t>
        </is>
      </c>
      <c r="L84" s="5" t="n">
        <v>0.3695913356161412</v>
      </c>
      <c r="M84" s="5" t="n">
        <v>0.2608173287677175</v>
      </c>
      <c r="N84" s="5" t="n">
        <v>0.3695913356161413</v>
      </c>
      <c r="O84" s="5" t="n">
        <v>0.539788427825295</v>
      </c>
      <c r="P84" s="5" t="n">
        <v>0.460211572174705</v>
      </c>
      <c r="Q84" s="2" t="n">
        <v>3</v>
      </c>
      <c r="R84" s="2" t="n">
        <v>0</v>
      </c>
      <c r="S84" s="3" t="inlineStr">
        <is>
          <t>[PASAR] Margen Predictivo Insuficiente (&lt;5%)</t>
        </is>
      </c>
      <c r="T84" s="3" t="inlineStr">
        <is>
          <t>[PASAR] Margen Predictivo O/U Insuficiente (&lt;15%)</t>
        </is>
      </c>
      <c r="U84" s="6" t="n">
        <v>0</v>
      </c>
      <c r="V84" s="6" t="n">
        <v>0</v>
      </c>
      <c r="W84" s="3">
        <f>IF(L84="","",IF((MAX(L84,M84,N84)-MEDIAN(L84,M84,N84))&gt;0.05,IF(OR(Q84="",R84=""),"[PREDICCION] "&amp;IF(L84=MAX(L84,M84,N84),"LOCAL",IF(M84=MAX(L84,M84,N84),"EMPATE","VISITA")),IF(L84=MAX(L84,M84,N84),IF(Q84&gt;R84,"[ACIERTO]","[FALLO]"),IF(M84=MAX(L84,M84,N84),IF(Q84=R84,"[ACIERTO]","[FALLO]"),IF(Q84&lt;R84,"[ACIERTO]","[FALLO]")))),"[PASAR] Margen Insuf"))</f>
        <v/>
      </c>
      <c r="X84" s="6">
        <f>IFERROR(IF(U84=0,0,IF(ISNUMBER(SEARCH("[GANADA]",S84)),U84*(IF(ISNUMBER(SEARCH("LOCAL",S84)),F84,IF(ISNUMBER(SEARCH("EMPATE",S84)),G84,H84))-1),IF(ISNUMBER(SEARCH("[PERDIDA]",S84)),-U84,0))),0)+IFERROR(IF(V84=0,0,IF(ISNUMBER(SEARCH("[GANADA]",T84)),V84*(IF(ISNUMBER(SEARCH("OVER",T84)),I84,J84)-1),IF(ISNUMBER(SEARCH("[PERDIDA]",T84)),-V84,0))),0)</f>
        <v/>
      </c>
      <c r="Y84" s="6">
        <f>Y83+X84</f>
        <v/>
      </c>
      <c r="Z84" s="7">
        <f>IF(OR(Q84="",R84=""),"",(L84-IF(Q84&gt;R84,1,0))^2+(M84-IF(Q84=R84,1,0))^2+(N84-IF(Q84&lt;R84,1,0))^2)</f>
        <v/>
      </c>
      <c r="AA84" s="9" t="n">
        <v>0.8038999999999999</v>
      </c>
      <c r="AB84" s="2" t="inlineStr">
        <is>
          <t>NO</t>
        </is>
      </c>
    </row>
    <row r="85">
      <c r="A85" s="2" t="inlineStr">
        <is>
          <t>21/03/2026</t>
        </is>
      </c>
      <c r="B85" s="3" t="inlineStr">
        <is>
          <t>2026-03-21fluminenseatleticomg</t>
        </is>
      </c>
      <c r="C85" s="3" t="inlineStr">
        <is>
          <t>Fluminense vs Atlético-mg</t>
        </is>
      </c>
      <c r="D85" s="3" t="inlineStr">
        <is>
          <t>Fluminense</t>
        </is>
      </c>
      <c r="E85" s="3" t="inlineStr">
        <is>
          <t>Atlético-mg</t>
        </is>
      </c>
      <c r="F85" s="4" t="n">
        <v>1.78</v>
      </c>
      <c r="G85" s="4" t="n">
        <v>3.7</v>
      </c>
      <c r="H85" s="4" t="n">
        <v>5.2</v>
      </c>
      <c r="I85" s="4" t="n">
        <v>2.08</v>
      </c>
      <c r="J85" s="4" t="n">
        <v>1.81</v>
      </c>
      <c r="K85" s="2" t="inlineStr">
        <is>
          <t>Brasil</t>
        </is>
      </c>
      <c r="L85" s="5" t="n">
        <v>0.5494427930604329</v>
      </c>
      <c r="M85" s="5" t="n">
        <v>0.2372354865835715</v>
      </c>
      <c r="N85" s="5" t="n">
        <v>0.2133217203559957</v>
      </c>
      <c r="O85" s="5" t="n">
        <v>0.5526371354629207</v>
      </c>
      <c r="P85" s="5" t="n">
        <v>0.4473628645370793</v>
      </c>
      <c r="Q85" s="2" t="n">
        <v>1</v>
      </c>
      <c r="R85" s="2" t="n">
        <v>0</v>
      </c>
      <c r="S85" s="3" t="inlineStr">
        <is>
          <t>[PASAR] Riesgo/Beneficio</t>
        </is>
      </c>
      <c r="T85" s="3" t="inlineStr">
        <is>
          <t>[PASAR] Margen Predictivo O/U Insuficiente (&lt;15%)</t>
        </is>
      </c>
      <c r="U85" s="6" t="n">
        <v>0</v>
      </c>
      <c r="V85" s="6" t="n">
        <v>0</v>
      </c>
      <c r="W85" s="3">
        <f>IF(L85="","",IF((MAX(L85,M85,N85)-MEDIAN(L85,M85,N85))&gt;0.05,IF(OR(Q85="",R85=""),"[PREDICCION] "&amp;IF(L85=MAX(L85,M85,N85),"LOCAL",IF(M85=MAX(L85,M85,N85),"EMPATE","VISITA")),IF(L85=MAX(L85,M85,N85),IF(Q85&gt;R85,"[ACIERTO]","[FALLO]"),IF(M85=MAX(L85,M85,N85),IF(Q85=R85,"[ACIERTO]","[FALLO]"),IF(Q85&lt;R85,"[ACIERTO]","[FALLO]")))),"[PASAR] Margen Insuf"))</f>
        <v/>
      </c>
      <c r="X85" s="6">
        <f>IFERROR(IF(U85=0,0,IF(ISNUMBER(SEARCH("[GANADA]",S85)),U85*(IF(ISNUMBER(SEARCH("LOCAL",S85)),F85,IF(ISNUMBER(SEARCH("EMPATE",S85)),G85,H85))-1),IF(ISNUMBER(SEARCH("[PERDIDA]",S85)),-U85,0))),0)+IFERROR(IF(V85=0,0,IF(ISNUMBER(SEARCH("[GANADA]",T85)),V85*(IF(ISNUMBER(SEARCH("OVER",T85)),I85,J85)-1),IF(ISNUMBER(SEARCH("[PERDIDA]",T85)),-V85,0))),0)</f>
        <v/>
      </c>
      <c r="Y85" s="6">
        <f>Y84+X85</f>
        <v/>
      </c>
      <c r="Z85" s="7">
        <f>IF(OR(Q85="",R85=""),"",(L85-IF(Q85&gt;R85,1,0))^2+(M85-IF(Q85=R85,1,0))^2+(N85-IF(Q85&lt;R85,1,0))^2)</f>
        <v/>
      </c>
      <c r="AA85" s="9" t="n">
        <v>0.9056999999999999</v>
      </c>
      <c r="AB85" s="2" t="inlineStr">
        <is>
          <t>NO</t>
        </is>
      </c>
    </row>
    <row r="86">
      <c r="A86" s="2" t="inlineStr">
        <is>
          <t>21/03/2026</t>
        </is>
      </c>
      <c r="B86" s="3" t="inlineStr">
        <is>
          <t>2026-03-21fulhamburnley</t>
        </is>
      </c>
      <c r="C86" s="3" t="inlineStr">
        <is>
          <t>Fulham vs Burnley</t>
        </is>
      </c>
      <c r="D86" s="3" t="inlineStr">
        <is>
          <t>Fulham</t>
        </is>
      </c>
      <c r="E86" s="3" t="inlineStr">
        <is>
          <t>Burnley</t>
        </is>
      </c>
      <c r="F86" s="4" t="n">
        <v>1.6</v>
      </c>
      <c r="G86" s="4" t="n">
        <v>4.3</v>
      </c>
      <c r="H86" s="4" t="n">
        <v>6.8</v>
      </c>
      <c r="I86" s="4" t="n">
        <v>1.86</v>
      </c>
      <c r="J86" s="4" t="n">
        <v>2.14</v>
      </c>
      <c r="K86" s="2" t="inlineStr">
        <is>
          <t>Inglaterra</t>
        </is>
      </c>
      <c r="L86" s="5" t="n">
        <v>0.4747849593452914</v>
      </c>
      <c r="M86" s="5" t="n">
        <v>0.2608106257157422</v>
      </c>
      <c r="N86" s="5" t="n">
        <v>0.2644044149389664</v>
      </c>
      <c r="O86" s="5" t="n">
        <v>0.5046559413263287</v>
      </c>
      <c r="P86" s="5" t="n">
        <v>0.4953440586736713</v>
      </c>
      <c r="Q86" s="2" t="n">
        <v>3</v>
      </c>
      <c r="R86" s="2" t="n">
        <v>1</v>
      </c>
      <c r="S86" s="3" t="inlineStr">
        <is>
          <t>[PASAR] Riesgo/Beneficio</t>
        </is>
      </c>
      <c r="T86" s="3" t="inlineStr">
        <is>
          <t>[PASAR] Margen Predictivo O/U Insuficiente (&lt;15%)</t>
        </is>
      </c>
      <c r="U86" s="6" t="n">
        <v>0</v>
      </c>
      <c r="V86" s="6" t="n">
        <v>0</v>
      </c>
      <c r="W86" s="3">
        <f>IF(L86="","",IF((MAX(L86,M86,N86)-MEDIAN(L86,M86,N86))&gt;0.05,IF(OR(Q86="",R86=""),"[PREDICCION] "&amp;IF(L86=MAX(L86,M86,N86),"LOCAL",IF(M86=MAX(L86,M86,N86),"EMPATE","VISITA")),IF(L86=MAX(L86,M86,N86),IF(Q86&gt;R86,"[ACIERTO]","[FALLO]"),IF(M86=MAX(L86,M86,N86),IF(Q86=R86,"[ACIERTO]","[FALLO]"),IF(Q86&lt;R86,"[ACIERTO]","[FALLO]")))),"[PASAR] Margen Insuf"))</f>
        <v/>
      </c>
      <c r="X86" s="6">
        <f>IFERROR(IF(U86=0,0,IF(ISNUMBER(SEARCH("[GANADA]",S86)),U86*(IF(ISNUMBER(SEARCH("LOCAL",S86)),F86,IF(ISNUMBER(SEARCH("EMPATE",S86)),G86,H86))-1),IF(ISNUMBER(SEARCH("[PERDIDA]",S86)),-U86,0))),0)+IFERROR(IF(V86=0,0,IF(ISNUMBER(SEARCH("[GANADA]",T86)),V86*(IF(ISNUMBER(SEARCH("OVER",T86)),I86,J86)-1),IF(ISNUMBER(SEARCH("[PERDIDA]",T86)),-V86,0))),0)</f>
        <v/>
      </c>
      <c r="Y86" s="6">
        <f>Y85+X86</f>
        <v/>
      </c>
      <c r="Z86" s="7">
        <f>IF(OR(Q86="",R86=""),"",(L86-IF(Q86&gt;R86,1,0))^2+(M86-IF(Q86=R86,1,0))^2+(N86-IF(Q86&lt;R86,1,0))^2)</f>
        <v/>
      </c>
      <c r="AA86" s="9" t="n">
        <v>0.6356000000000001</v>
      </c>
      <c r="AB86" s="2" t="inlineStr">
        <is>
          <t>NO</t>
        </is>
      </c>
    </row>
    <row r="87">
      <c r="A87" s="2" t="inlineStr">
        <is>
          <t>21/03/2026</t>
        </is>
      </c>
      <c r="B87" s="3" t="inlineStr">
        <is>
          <t>2026-03-21ikstartaalesund</t>
        </is>
      </c>
      <c r="C87" s="3" t="inlineStr">
        <is>
          <t>Ik Start vs Aalesund</t>
        </is>
      </c>
      <c r="D87" s="3" t="inlineStr">
        <is>
          <t>Ik Start</t>
        </is>
      </c>
      <c r="E87" s="3" t="inlineStr">
        <is>
          <t>Aalesund</t>
        </is>
      </c>
      <c r="F87" s="4" t="n">
        <v>2.28</v>
      </c>
      <c r="G87" s="4" t="n">
        <v>3.6</v>
      </c>
      <c r="H87" s="4" t="n">
        <v>3.45</v>
      </c>
      <c r="I87" s="4" t="n">
        <v>1.83</v>
      </c>
      <c r="J87" s="4" t="n">
        <v>2.07</v>
      </c>
      <c r="K87" s="2" t="inlineStr">
        <is>
          <t>Noruega</t>
        </is>
      </c>
      <c r="L87" s="5" t="n">
        <v>0.3728764081189995</v>
      </c>
      <c r="M87" s="5" t="n">
        <v>0.2634196863066652</v>
      </c>
      <c r="N87" s="5" t="n">
        <v>0.3637039055743354</v>
      </c>
      <c r="O87" s="5" t="n">
        <v>0.5136938723906329</v>
      </c>
      <c r="P87" s="5" t="n">
        <v>0.486306127609367</v>
      </c>
      <c r="Q87" s="2" t="n">
        <v>1</v>
      </c>
      <c r="R87" s="2" t="n">
        <v>1</v>
      </c>
      <c r="S87" s="3" t="inlineStr">
        <is>
          <t>[PASAR] Margen Predictivo Insuficiente (&lt;5%)</t>
        </is>
      </c>
      <c r="T87" s="3" t="inlineStr">
        <is>
          <t>[PASAR] Margen Predictivo O/U Insuficiente (&lt;15%)</t>
        </is>
      </c>
      <c r="U87" s="6" t="n">
        <v>0</v>
      </c>
      <c r="V87" s="6" t="n">
        <v>0</v>
      </c>
      <c r="W87" s="3">
        <f>IF(L87="","",IF((MAX(L87,M87,N87)-MEDIAN(L87,M87,N87))&gt;0.05,IF(OR(Q87="",R87=""),"[PREDICCION] "&amp;IF(L87=MAX(L87,M87,N87),"LOCAL",IF(M87=MAX(L87,M87,N87),"EMPATE","VISITA")),IF(L87=MAX(L87,M87,N87),IF(Q87&gt;R87,"[ACIERTO]","[FALLO]"),IF(M87=MAX(L87,M87,N87),IF(Q87=R87,"[ACIERTO]","[FALLO]"),IF(Q87&lt;R87,"[ACIERTO]","[FALLO]")))),"[PASAR] Margen Insuf"))</f>
        <v/>
      </c>
      <c r="X87" s="6">
        <f>IFERROR(IF(U87=0,0,IF(ISNUMBER(SEARCH("[GANADA]",S87)),U87*(IF(ISNUMBER(SEARCH("LOCAL",S87)),F87,IF(ISNUMBER(SEARCH("EMPATE",S87)),G87,H87))-1),IF(ISNUMBER(SEARCH("[PERDIDA]",S87)),-U87,0))),0)+IFERROR(IF(V87=0,0,IF(ISNUMBER(SEARCH("[GANADA]",T87)),V87*(IF(ISNUMBER(SEARCH("OVER",T87)),I87,J87)-1),IF(ISNUMBER(SEARCH("[PERDIDA]",T87)),-V87,0))),0)</f>
        <v/>
      </c>
      <c r="Y87" s="6">
        <f>Y86+X87</f>
        <v/>
      </c>
      <c r="Z87" s="7">
        <f>IF(OR(Q87="",R87=""),"",(L87-IF(Q87&gt;R87,1,0))^2+(M87-IF(Q87=R87,1,0))^2+(N87-IF(Q87&lt;R87,1,0))^2)</f>
        <v/>
      </c>
      <c r="AA87" s="9" t="n">
        <v>0.3228</v>
      </c>
      <c r="AB87" s="2" t="inlineStr">
        <is>
          <t>NO</t>
        </is>
      </c>
    </row>
    <row r="88">
      <c r="A88" s="2" t="inlineStr">
        <is>
          <t>21/03/2026</t>
        </is>
      </c>
      <c r="B88" s="3" t="inlineStr">
        <is>
          <t>2026-03-21independientetallerescordoba</t>
        </is>
      </c>
      <c r="C88" s="3" t="inlineStr">
        <is>
          <t>Independiente vs Talleres (córdoba)</t>
        </is>
      </c>
      <c r="D88" s="3" t="inlineStr">
        <is>
          <t>Independiente</t>
        </is>
      </c>
      <c r="E88" s="3" t="inlineStr">
        <is>
          <t>Talleres (córdoba)</t>
        </is>
      </c>
      <c r="F88" s="4" t="n">
        <v>2.04</v>
      </c>
      <c r="G88" s="4" t="n">
        <v>3.2</v>
      </c>
      <c r="H88" s="4" t="n">
        <v>4.38</v>
      </c>
      <c r="I88" s="4" t="n">
        <v>2.58</v>
      </c>
      <c r="J88" s="4" t="n">
        <v>1.56</v>
      </c>
      <c r="K88" s="2" t="inlineStr">
        <is>
          <t>Argentina</t>
        </is>
      </c>
      <c r="L88" s="5" t="n">
        <v>0.422508785259985</v>
      </c>
      <c r="M88" s="5" t="n">
        <v>0.2823539341447997</v>
      </c>
      <c r="N88" s="5" t="n">
        <v>0.2951372805952153</v>
      </c>
      <c r="O88" s="5" t="n">
        <v>0.4502724152114714</v>
      </c>
      <c r="P88" s="5" t="n">
        <v>0.5497275847885285</v>
      </c>
      <c r="Q88" s="2" t="n">
        <v>1</v>
      </c>
      <c r="R88" s="2" t="n">
        <v>2</v>
      </c>
      <c r="S88" s="3">
        <f>IF(OR(Q88="",R88=""),"[APOSTAR] VISITA",IF(Q88&lt;R88,"[GANADA] VISITA","[PERDIDA] VISITA"))</f>
        <v/>
      </c>
      <c r="T88" s="3" t="inlineStr">
        <is>
          <t>[PASAR] Margen Predictivo O/U Insuficiente (&lt;15%)</t>
        </is>
      </c>
      <c r="U88" s="6" t="n">
        <v>1443.38</v>
      </c>
      <c r="V88" s="6" t="n">
        <v>0</v>
      </c>
      <c r="W88" s="3">
        <f>IF(L88="","",IF((MAX(L88,M88,N88)-MEDIAN(L88,M88,N88))&gt;0.05,IF(OR(Q88="",R88=""),"[PREDICCION] "&amp;IF(L88=MAX(L88,M88,N88),"LOCAL",IF(M88=MAX(L88,M88,N88),"EMPATE","VISITA")),IF(L88=MAX(L88,M88,N88),IF(Q88&gt;R88,"[ACIERTO]","[FALLO]"),IF(M88=MAX(L88,M88,N88),IF(Q88=R88,"[ACIERTO]","[FALLO]"),IF(Q88&lt;R88,"[ACIERTO]","[FALLO]")))),"[PASAR] Margen Insuf"))</f>
        <v/>
      </c>
      <c r="X88" s="6">
        <f>IFERROR(IF(U88=0,0,IF(ISNUMBER(SEARCH("[GANADA]",S88)),U88*(IF(ISNUMBER(SEARCH("LOCAL",S88)),F88,IF(ISNUMBER(SEARCH("EMPATE",S88)),G88,H88))-1),IF(ISNUMBER(SEARCH("[PERDIDA]",S88)),-U88,0))),0)+IFERROR(IF(V88=0,0,IF(ISNUMBER(SEARCH("[GANADA]",T88)),V88*(IF(ISNUMBER(SEARCH("OVER",T88)),I88,J88)-1),IF(ISNUMBER(SEARCH("[PERDIDA]",T88)),-V88,0))),0)</f>
        <v/>
      </c>
      <c r="Y88" s="6">
        <f>Y87+X88</f>
        <v/>
      </c>
      <c r="Z88" s="7">
        <f>IF(OR(Q88="",R88=""),"",(L88-IF(Q88&gt;R88,1,0))^2+(M88-IF(Q88=R88,1,0))^2+(N88-IF(Q88&lt;R88,1,0))^2)</f>
        <v/>
      </c>
      <c r="AA88" s="9" t="n">
        <v>0.6657999999999999</v>
      </c>
      <c r="AB88" s="2" t="inlineStr">
        <is>
          <t>NO</t>
        </is>
      </c>
    </row>
    <row r="89">
      <c r="A89" s="2" t="inlineStr">
        <is>
          <t>21/03/2026</t>
        </is>
      </c>
      <c r="B89" s="3" t="inlineStr">
        <is>
          <t>2026-03-21leedsunitedbrentford</t>
        </is>
      </c>
      <c r="C89" s="3" t="inlineStr">
        <is>
          <t>Leeds United vs Brentford</t>
        </is>
      </c>
      <c r="D89" s="3" t="inlineStr">
        <is>
          <t>Leeds United</t>
        </is>
      </c>
      <c r="E89" s="3" t="inlineStr">
        <is>
          <t>Brentford</t>
        </is>
      </c>
      <c r="F89" s="4" t="n">
        <v>2.58</v>
      </c>
      <c r="G89" s="4" t="n">
        <v>3.56</v>
      </c>
      <c r="H89" s="4" t="n">
        <v>3.05</v>
      </c>
      <c r="I89" s="4" t="n">
        <v>1.93</v>
      </c>
      <c r="J89" s="4" t="n">
        <v>2.04</v>
      </c>
      <c r="K89" s="2" t="inlineStr">
        <is>
          <t>Inglaterra</t>
        </is>
      </c>
      <c r="L89" s="5" t="n">
        <v>0.368413852818284</v>
      </c>
      <c r="M89" s="5" t="n">
        <v>0.2810524265651128</v>
      </c>
      <c r="N89" s="5" t="n">
        <v>0.3505337206166031</v>
      </c>
      <c r="O89" s="5" t="n">
        <v>0.4555445338173486</v>
      </c>
      <c r="P89" s="5" t="n">
        <v>0.5444554661826514</v>
      </c>
      <c r="Q89" s="2" t="n">
        <v>0</v>
      </c>
      <c r="R89" s="2" t="n">
        <v>0</v>
      </c>
      <c r="S89" s="3" t="inlineStr">
        <is>
          <t>[PASAR] Margen Predictivo Insuficiente (&lt;5%)</t>
        </is>
      </c>
      <c r="T89" s="3" t="inlineStr">
        <is>
          <t>[PASAR] Margen Predictivo O/U Insuficiente (&lt;15%)</t>
        </is>
      </c>
      <c r="U89" s="6" t="n">
        <v>0</v>
      </c>
      <c r="V89" s="6" t="n">
        <v>0</v>
      </c>
      <c r="W89" s="3">
        <f>IF(L89="","",IF((MAX(L89,M89,N89)-MEDIAN(L89,M89,N89))&gt;0.05,IF(OR(Q89="",R89=""),"[PREDICCION] "&amp;IF(L89=MAX(L89,M89,N89),"LOCAL",IF(M89=MAX(L89,M89,N89),"EMPATE","VISITA")),IF(L89=MAX(L89,M89,N89),IF(Q89&gt;R89,"[ACIERTO]","[FALLO]"),IF(M89=MAX(L89,M89,N89),IF(Q89=R89,"[ACIERTO]","[FALLO]"),IF(Q89&lt;R89,"[ACIERTO]","[FALLO]")))),"[PASAR] Margen Insuf"))</f>
        <v/>
      </c>
      <c r="X89" s="6">
        <f>IFERROR(IF(U89=0,0,IF(ISNUMBER(SEARCH("[GANADA]",S89)),U89*(IF(ISNUMBER(SEARCH("LOCAL",S89)),F89,IF(ISNUMBER(SEARCH("EMPATE",S89)),G89,H89))-1),IF(ISNUMBER(SEARCH("[PERDIDA]",S89)),-U89,0))),0)+IFERROR(IF(V89=0,0,IF(ISNUMBER(SEARCH("[GANADA]",T89)),V89*(IF(ISNUMBER(SEARCH("OVER",T89)),I89,J89)-1),IF(ISNUMBER(SEARCH("[PERDIDA]",T89)),-V89,0))),0)</f>
        <v/>
      </c>
      <c r="Y89" s="6">
        <f>Y88+X89</f>
        <v/>
      </c>
      <c r="Z89" s="7">
        <f>IF(OR(Q89="",R89=""),"",(L89-IF(Q89&gt;R89,1,0))^2+(M89-IF(Q89=R89,1,0))^2+(N89-IF(Q89&lt;R89,1,0))^2)</f>
        <v/>
      </c>
      <c r="AA89" s="9" t="n">
        <v>0.7822</v>
      </c>
      <c r="AB89" s="2" t="inlineStr">
        <is>
          <t>NO</t>
        </is>
      </c>
    </row>
    <row r="90">
      <c r="A90" s="2" t="inlineStr">
        <is>
          <t>21/03/2026</t>
        </is>
      </c>
      <c r="B90" s="3" t="inlineStr">
        <is>
          <t>2026-03-21newellsoldboysgimnasiamendoza</t>
        </is>
      </c>
      <c r="C90" s="3" t="inlineStr">
        <is>
          <t>Newell's Old Boys vs Gimnasia (mendoza)</t>
        </is>
      </c>
      <c r="D90" s="3" t="inlineStr">
        <is>
          <t>Newell's Old Boys</t>
        </is>
      </c>
      <c r="E90" s="3" t="inlineStr">
        <is>
          <t>Gimnasia (mendoza)</t>
        </is>
      </c>
      <c r="F90" s="4" t="n">
        <v>2.38</v>
      </c>
      <c r="G90" s="4" t="n">
        <v>2.98</v>
      </c>
      <c r="H90" s="4" t="n">
        <v>3.5</v>
      </c>
      <c r="I90" s="4" t="n">
        <v>2.92</v>
      </c>
      <c r="J90" s="4" t="n">
        <v>1.39</v>
      </c>
      <c r="K90" s="2" t="inlineStr">
        <is>
          <t>Argentina</t>
        </is>
      </c>
      <c r="L90" s="5" t="n">
        <v>0.3777915068311975</v>
      </c>
      <c r="M90" s="5" t="n">
        <v>0.2816194126394468</v>
      </c>
      <c r="N90" s="5" t="n">
        <v>0.3405890805293559</v>
      </c>
      <c r="O90" s="5" t="n">
        <v>0.4642402790842933</v>
      </c>
      <c r="P90" s="5" t="n">
        <v>0.5357597209157067</v>
      </c>
      <c r="Q90" s="2" t="n">
        <v>1</v>
      </c>
      <c r="R90" s="2" t="n">
        <v>0</v>
      </c>
      <c r="S90" s="3" t="inlineStr">
        <is>
          <t>[PASAR] Margen Predictivo Insuficiente (&lt;5%)</t>
        </is>
      </c>
      <c r="T90" s="3" t="inlineStr">
        <is>
          <t>[PASAR] Margen Predictivo O/U Insuficiente (&lt;15%)</t>
        </is>
      </c>
      <c r="U90" s="6" t="n">
        <v>0</v>
      </c>
      <c r="V90" s="6" t="n">
        <v>0</v>
      </c>
      <c r="W90" s="3">
        <f>IF(L90="","",IF((MAX(L90,M90,N90)-MEDIAN(L90,M90,N90))&gt;0.05,IF(OR(Q90="",R90=""),"[PREDICCION] "&amp;IF(L90=MAX(L90,M90,N90),"LOCAL",IF(M90=MAX(L90,M90,N90),"EMPATE","VISITA")),IF(L90=MAX(L90,M90,N90),IF(Q90&gt;R90,"[ACIERTO]","[FALLO]"),IF(M90=MAX(L90,M90,N90),IF(Q90=R90,"[ACIERTO]","[FALLO]"),IF(Q90&lt;R90,"[ACIERTO]","[FALLO]")))),"[PASAR] Margen Insuf"))</f>
        <v/>
      </c>
      <c r="X90" s="6">
        <f>IFERROR(IF(U90=0,0,IF(ISNUMBER(SEARCH("[GANADA]",S90)),U90*(IF(ISNUMBER(SEARCH("LOCAL",S90)),F90,IF(ISNUMBER(SEARCH("EMPATE",S90)),G90,H90))-1),IF(ISNUMBER(SEARCH("[PERDIDA]",S90)),-U90,0))),0)+IFERROR(IF(V90=0,0,IF(ISNUMBER(SEARCH("[GANADA]",T90)),V90*(IF(ISNUMBER(SEARCH("OVER",T90)),I90,J90)-1),IF(ISNUMBER(SEARCH("[PERDIDA]",T90)),-V90,0))),0)</f>
        <v/>
      </c>
      <c r="Y90" s="6">
        <f>Y89+X90</f>
        <v/>
      </c>
      <c r="Z90" s="7">
        <f>IF(OR(Q90="",R90=""),"",(L90-IF(Q90&gt;R90,1,0))^2+(M90-IF(Q90=R90,1,0))^2+(N90-IF(Q90&lt;R90,1,0))^2)</f>
        <v/>
      </c>
      <c r="AA90" s="9" t="n">
        <v>0.5247000000000001</v>
      </c>
      <c r="AB90" s="2" t="inlineStr">
        <is>
          <t>NO</t>
        </is>
      </c>
    </row>
    <row r="91">
      <c r="A91" s="2" t="inlineStr">
        <is>
          <t>21/03/2026</t>
        </is>
      </c>
      <c r="B91" s="3" t="inlineStr">
        <is>
          <t>2026-03-21redbullbragantinobotafogo</t>
        </is>
      </c>
      <c r="C91" s="3" t="inlineStr">
        <is>
          <t>Red Bull Bragantino vs Botafogo</t>
        </is>
      </c>
      <c r="D91" s="3" t="inlineStr">
        <is>
          <t>Red Bull Bragantino</t>
        </is>
      </c>
      <c r="E91" s="3" t="inlineStr">
        <is>
          <t>Botafogo</t>
        </is>
      </c>
      <c r="F91" s="4" t="n">
        <v>2.12</v>
      </c>
      <c r="G91" s="4" t="n">
        <v>3.5</v>
      </c>
      <c r="H91" s="4" t="n">
        <v>3.79</v>
      </c>
      <c r="I91" s="4" t="n">
        <v>2.08</v>
      </c>
      <c r="J91" s="4" t="n">
        <v>1.86</v>
      </c>
      <c r="K91" s="2" t="inlineStr">
        <is>
          <t>Brasil</t>
        </is>
      </c>
      <c r="L91" s="5" t="n">
        <v>0.4475864351727525</v>
      </c>
      <c r="M91" s="5" t="n">
        <v>0.2650011014833278</v>
      </c>
      <c r="N91" s="5" t="n">
        <v>0.2874124633439198</v>
      </c>
      <c r="O91" s="5" t="n">
        <v>0.5007222226479141</v>
      </c>
      <c r="P91" s="5" t="n">
        <v>0.4992777773520859</v>
      </c>
      <c r="Q91" s="2" t="n">
        <v>1</v>
      </c>
      <c r="R91" s="2" t="n">
        <v>2</v>
      </c>
      <c r="S91" s="3">
        <f>IF(OR(Q91="",R91=""),"[APOSTAR] VISITA",IF(Q91&lt;R91,"[GANADA] VISITA","[PERDIDA] VISITA"))</f>
        <v/>
      </c>
      <c r="T91" s="3" t="inlineStr">
        <is>
          <t>[PASAR] Margen Predictivo O/U Insuficiente (&lt;15%)</t>
        </is>
      </c>
      <c r="U91" s="6" t="n">
        <v>1600.24</v>
      </c>
      <c r="V91" s="6" t="n">
        <v>0</v>
      </c>
      <c r="W91" s="3">
        <f>IF(L91="","",IF((MAX(L91,M91,N91)-MEDIAN(L91,M91,N91))&gt;0.05,IF(OR(Q91="",R91=""),"[PREDICCION] "&amp;IF(L91=MAX(L91,M91,N91),"LOCAL",IF(M91=MAX(L91,M91,N91),"EMPATE","VISITA")),IF(L91=MAX(L91,M91,N91),IF(Q91&gt;R91,"[ACIERTO]","[FALLO]"),IF(M91=MAX(L91,M91,N91),IF(Q91=R91,"[ACIERTO]","[FALLO]"),IF(Q91&lt;R91,"[ACIERTO]","[FALLO]")))),"[PASAR] Margen Insuf"))</f>
        <v/>
      </c>
      <c r="X91" s="6">
        <f>IFERROR(IF(U91=0,0,IF(ISNUMBER(SEARCH("[GANADA]",S91)),U91*(IF(ISNUMBER(SEARCH("LOCAL",S91)),F91,IF(ISNUMBER(SEARCH("EMPATE",S91)),G91,H91))-1),IF(ISNUMBER(SEARCH("[PERDIDA]",S91)),-U91,0))),0)+IFERROR(IF(V91=0,0,IF(ISNUMBER(SEARCH("[GANADA]",T91)),V91*(IF(ISNUMBER(SEARCH("OVER",T91)),I91,J91)-1),IF(ISNUMBER(SEARCH("[PERDIDA]",T91)),-V91,0))),0)</f>
        <v/>
      </c>
      <c r="Y91" s="6">
        <f>Y90+X91</f>
        <v/>
      </c>
      <c r="Z91" s="7">
        <f>IF(OR(Q91="",R91=""),"",(L91-IF(Q91&gt;R91,1,0))^2+(M91-IF(Q91=R91,1,0))^2+(N91-IF(Q91&lt;R91,1,0))^2)</f>
        <v/>
      </c>
      <c r="AA91" s="9" t="n">
        <v>0.8129999999999999</v>
      </c>
      <c r="AB91" s="2" t="inlineStr">
        <is>
          <t>NO</t>
        </is>
      </c>
    </row>
    <row r="92">
      <c r="A92" s="2" t="inlineStr">
        <is>
          <t>21/03/2026</t>
        </is>
      </c>
      <c r="B92" s="3" t="inlineStr">
        <is>
          <t>2026-03-21velezsarsfieldlanus</t>
        </is>
      </c>
      <c r="C92" s="3" t="inlineStr">
        <is>
          <t>Vélez Sarsfield vs Lanús</t>
        </is>
      </c>
      <c r="D92" s="3" t="inlineStr">
        <is>
          <t>Vélez Sarsfield</t>
        </is>
      </c>
      <c r="E92" s="3" t="inlineStr">
        <is>
          <t>Lanús</t>
        </is>
      </c>
      <c r="F92" s="4" t="n">
        <v>2.2</v>
      </c>
      <c r="G92" s="4" t="n">
        <v>3.1</v>
      </c>
      <c r="H92" s="4" t="n">
        <v>4</v>
      </c>
      <c r="I92" s="4" t="n">
        <v>2.75</v>
      </c>
      <c r="J92" s="4" t="n">
        <v>1.47</v>
      </c>
      <c r="K92" s="2" t="inlineStr">
        <is>
          <t>Argentina</t>
        </is>
      </c>
      <c r="L92" s="5" t="n">
        <v>0.3845706481722732</v>
      </c>
      <c r="M92" s="5" t="n">
        <v>0.2894127691605829</v>
      </c>
      <c r="N92" s="5" t="n">
        <v>0.3260165826671439</v>
      </c>
      <c r="O92" s="5" t="n">
        <v>0.4329010012935023</v>
      </c>
      <c r="P92" s="5" t="n">
        <v>0.5670989987064977</v>
      </c>
      <c r="Q92" s="2" t="n">
        <v>0</v>
      </c>
      <c r="R92" s="2" t="n">
        <v>1</v>
      </c>
      <c r="S92" s="3">
        <f>IF(OR(Q92="",R92=""),"[APOSTAR] VISITA",IF(Q92&lt;R92,"[GANADA] VISITA","[PERDIDA] VISITA"))</f>
        <v/>
      </c>
      <c r="T92" s="3" t="inlineStr">
        <is>
          <t>[PASAR] Margen Predictivo O/U Insuficiente (&lt;15%)</t>
        </is>
      </c>
      <c r="U92" s="6" t="n">
        <v>1443.38</v>
      </c>
      <c r="V92" s="6" t="n">
        <v>0</v>
      </c>
      <c r="W92" s="3">
        <f>IF(L92="","",IF((MAX(L92,M92,N92)-MEDIAN(L92,M92,N92))&gt;0.05,IF(OR(Q92="",R92=""),"[PREDICCION] "&amp;IF(L92=MAX(L92,M92,N92),"LOCAL",IF(M92=MAX(L92,M92,N92),"EMPATE","VISITA")),IF(L92=MAX(L92,M92,N92),IF(Q92&gt;R92,"[ACIERTO]","[FALLO]"),IF(M92=MAX(L92,M92,N92),IF(Q92=R92,"[ACIERTO]","[FALLO]"),IF(Q92&lt;R92,"[ACIERTO]","[FALLO]")))),"[PASAR] Margen Insuf"))</f>
        <v/>
      </c>
      <c r="X92" s="6">
        <f>IFERROR(IF(U92=0,0,IF(ISNUMBER(SEARCH("[GANADA]",S92)),U92*(IF(ISNUMBER(SEARCH("LOCAL",S92)),F92,IF(ISNUMBER(SEARCH("EMPATE",S92)),G92,H92))-1),IF(ISNUMBER(SEARCH("[PERDIDA]",S92)),-U92,0))),0)+IFERROR(IF(V92=0,0,IF(ISNUMBER(SEARCH("[GANADA]",T92)),V92*(IF(ISNUMBER(SEARCH("OVER",T92)),I92,J92)-1),IF(ISNUMBER(SEARCH("[PERDIDA]",T92)),-V92,0))),0)</f>
        <v/>
      </c>
      <c r="Y92" s="6">
        <f>Y91+X92</f>
        <v/>
      </c>
      <c r="Z92" s="7">
        <f>IF(OR(Q92="",R92=""),"",(L92-IF(Q92&gt;R92,1,0))^2+(M92-IF(Q92=R92,1,0))^2+(N92-IF(Q92&lt;R92,1,0))^2)</f>
        <v/>
      </c>
      <c r="AA92" s="9" t="n">
        <v>0.5455</v>
      </c>
      <c r="AB92" s="2" t="inlineStr">
        <is>
          <t>NO</t>
        </is>
      </c>
    </row>
    <row r="93">
      <c r="A93" s="2" t="inlineStr">
        <is>
          <t>21/03/2026</t>
        </is>
      </c>
      <c r="B93" s="3" t="inlineStr">
        <is>
          <t>2026-03-21vikingfkmolde</t>
        </is>
      </c>
      <c r="C93" s="3" t="inlineStr">
        <is>
          <t>Viking fk vs Molde</t>
        </is>
      </c>
      <c r="D93" s="3" t="inlineStr">
        <is>
          <t>Viking fk</t>
        </is>
      </c>
      <c r="E93" s="3" t="inlineStr">
        <is>
          <t>Molde</t>
        </is>
      </c>
      <c r="F93" s="4" t="n">
        <v>1.9</v>
      </c>
      <c r="G93" s="4" t="n">
        <v>4.1</v>
      </c>
      <c r="H93" s="4" t="n">
        <v>4.24</v>
      </c>
      <c r="I93" s="4" t="n">
        <v>1.44</v>
      </c>
      <c r="J93" s="4" t="n">
        <v>2.5</v>
      </c>
      <c r="K93" s="2" t="inlineStr">
        <is>
          <t>Noruega</t>
        </is>
      </c>
      <c r="L93" s="5" t="n">
        <v>0.5520694254248895</v>
      </c>
      <c r="M93" s="5" t="n">
        <v>0.2266510763334995</v>
      </c>
      <c r="N93" s="5" t="n">
        <v>0.221279498241611</v>
      </c>
      <c r="O93" s="5" t="n">
        <v>0.5937147479622737</v>
      </c>
      <c r="P93" s="5" t="n">
        <v>0.4062852520377261</v>
      </c>
      <c r="Q93" s="2" t="n">
        <v>4</v>
      </c>
      <c r="R93" s="2" t="n">
        <v>1</v>
      </c>
      <c r="S93" s="3">
        <f>IF(OR(Q93="",R93=""),"[APOSTAR] LOCAL",IF(Q93&gt;R93,"[GANADA] LOCAL","[PERDIDA] LOCAL"))</f>
        <v/>
      </c>
      <c r="T93" s="3" t="inlineStr">
        <is>
          <t>[PASAR] Sin Valor</t>
        </is>
      </c>
      <c r="U93" s="6" t="n">
        <v>2500</v>
      </c>
      <c r="V93" s="6" t="n">
        <v>0</v>
      </c>
      <c r="W93" s="3">
        <f>IF(L93="","",IF((MAX(L93,M93,N93)-MEDIAN(L93,M93,N93))&gt;0.05,IF(OR(Q93="",R93=""),"[PREDICCION] "&amp;IF(L93=MAX(L93,M93,N93),"LOCAL",IF(M93=MAX(L93,M93,N93),"EMPATE","VISITA")),IF(L93=MAX(L93,M93,N93),IF(Q93&gt;R93,"[ACIERTO]","[FALLO]"),IF(M93=MAX(L93,M93,N93),IF(Q93=R93,"[ACIERTO]","[FALLO]"),IF(Q93&lt;R93,"[ACIERTO]","[FALLO]")))),"[PASAR] Margen Insuf"))</f>
        <v/>
      </c>
      <c r="X93" s="6">
        <f>IFERROR(IF(U93=0,0,IF(ISNUMBER(SEARCH("[GANADA]",S93)),U93*(IF(ISNUMBER(SEARCH("LOCAL",S93)),F93,IF(ISNUMBER(SEARCH("EMPATE",S93)),G93,H93))-1),IF(ISNUMBER(SEARCH("[PERDIDA]",S93)),-U93,0))),0)+IFERROR(IF(V93=0,0,IF(ISNUMBER(SEARCH("[GANADA]",T93)),V93*(IF(ISNUMBER(SEARCH("OVER",T93)),I93,J93)-1),IF(ISNUMBER(SEARCH("[PERDIDA]",T93)),-V93,0))),0)</f>
        <v/>
      </c>
      <c r="Y93" s="6">
        <f>Y92+X93</f>
        <v/>
      </c>
      <c r="Z93" s="7">
        <f>IF(OR(Q93="",R93=""),"",(L93-IF(Q93&gt;R93,1,0))^2+(M93-IF(Q93=R93,1,0))^2+(N93-IF(Q93&lt;R93,1,0))^2)</f>
        <v/>
      </c>
      <c r="AA93" s="9" t="n">
        <v>0.7687</v>
      </c>
      <c r="AB93" s="2" t="inlineStr">
        <is>
          <t>NO</t>
        </is>
      </c>
    </row>
    <row r="94">
      <c r="A94" s="2" t="inlineStr">
        <is>
          <t>22/03/2026</t>
        </is>
      </c>
      <c r="B94" s="3" t="inlineStr">
        <is>
          <t>2026-03-22astonvillawesthamunited</t>
        </is>
      </c>
      <c r="C94" s="3" t="inlineStr">
        <is>
          <t>Aston Villa vs West Ham United</t>
        </is>
      </c>
      <c r="D94" s="3" t="inlineStr">
        <is>
          <t>Aston Villa</t>
        </is>
      </c>
      <c r="E94" s="3" t="inlineStr">
        <is>
          <t>West Ham United</t>
        </is>
      </c>
      <c r="F94" s="4" t="n">
        <v>2.04</v>
      </c>
      <c r="G94" s="4" t="n">
        <v>3.77</v>
      </c>
      <c r="H94" s="4" t="n">
        <v>4.16</v>
      </c>
      <c r="I94" s="4" t="n">
        <v>1.89</v>
      </c>
      <c r="J94" s="4" t="n">
        <v>2.11</v>
      </c>
      <c r="K94" s="2" t="inlineStr">
        <is>
          <t>Inglaterra</t>
        </is>
      </c>
      <c r="L94" s="5" t="n">
        <v>0.4928664544249471</v>
      </c>
      <c r="M94" s="5" t="n">
        <v>0.2525110804175839</v>
      </c>
      <c r="N94" s="5" t="n">
        <v>0.2546224651574689</v>
      </c>
      <c r="O94" s="5" t="n">
        <v>0.5308988957465525</v>
      </c>
      <c r="P94" s="5" t="n">
        <v>0.4691011042534474</v>
      </c>
      <c r="Q94" s="2" t="n">
        <v>2</v>
      </c>
      <c r="R94" s="2" t="n">
        <v>0</v>
      </c>
      <c r="S94" s="3">
        <f>IF(OR(Q94="",R94=""),"[APOSTAR] VISITA",IF(Q94&lt;R94,"[GANADA] VISITA","[PERDIDA] VISITA"))</f>
        <v/>
      </c>
      <c r="T94" s="3" t="inlineStr">
        <is>
          <t>[PASAR] Margen Predictivo O/U Insuficiente (&lt;15%)</t>
        </is>
      </c>
      <c r="U94" s="6" t="n">
        <v>662.6799999999999</v>
      </c>
      <c r="V94" s="6" t="n">
        <v>0</v>
      </c>
      <c r="W94" s="3">
        <f>IF(L94="","",IF((MAX(L94,M94,N94)-MEDIAN(L94,M94,N94))&gt;0.05,IF(OR(Q94="",R94=""),"[PREDICCION] "&amp;IF(L94=MAX(L94,M94,N94),"LOCAL",IF(M94=MAX(L94,M94,N94),"EMPATE","VISITA")),IF(L94=MAX(L94,M94,N94),IF(Q94&gt;R94,"[ACIERTO]","[FALLO]"),IF(M94=MAX(L94,M94,N94),IF(Q94=R94,"[ACIERTO]","[FALLO]"),IF(Q94&lt;R94,"[ACIERTO]","[FALLO]")))),"[PASAR] Margen Insuf"))</f>
        <v/>
      </c>
      <c r="X94" s="6">
        <f>IFERROR(IF(U94=0,0,IF(ISNUMBER(SEARCH("[GANADA]",S94)),U94*(IF(ISNUMBER(SEARCH("LOCAL",S94)),F94,IF(ISNUMBER(SEARCH("EMPATE",S94)),G94,H94))-1),IF(ISNUMBER(SEARCH("[PERDIDA]",S94)),-U94,0))),0)+IFERROR(IF(V94=0,0,IF(ISNUMBER(SEARCH("[GANADA]",T94)),V94*(IF(ISNUMBER(SEARCH("OVER",T94)),I94,J94)-1),IF(ISNUMBER(SEARCH("[PERDIDA]",T94)),-V94,0))),0)</f>
        <v/>
      </c>
      <c r="Y94" s="6">
        <f>Y93+X94</f>
        <v/>
      </c>
      <c r="Z94" s="7">
        <f>IF(OR(Q94="",R94=""),"",(L94-IF(Q94&gt;R94,1,0))^2+(M94-IF(Q94=R94,1,0))^2+(N94-IF(Q94&lt;R94,1,0))^2)</f>
        <v/>
      </c>
      <c r="AA94" s="9" t="n">
        <v>0.7591</v>
      </c>
      <c r="AB94" s="2" t="inlineStr">
        <is>
          <t>NO</t>
        </is>
      </c>
    </row>
    <row r="95">
      <c r="A95" s="2" t="inlineStr">
        <is>
          <t>22/03/2026</t>
        </is>
      </c>
      <c r="B95" s="3" t="inlineStr">
        <is>
          <t>2026-03-22athleticoparanaensecoritiba</t>
        </is>
      </c>
      <c r="C95" s="3" t="inlineStr">
        <is>
          <t>Athletico Paranaense vs Coritiba</t>
        </is>
      </c>
      <c r="D95" s="3" t="inlineStr">
        <is>
          <t>Athletico Paranaense</t>
        </is>
      </c>
      <c r="E95" s="3" t="inlineStr">
        <is>
          <t>Coritiba</t>
        </is>
      </c>
      <c r="F95" s="4" t="n">
        <v>2.05</v>
      </c>
      <c r="G95" s="4" t="n">
        <v>3.4</v>
      </c>
      <c r="H95" s="4" t="n">
        <v>4.31</v>
      </c>
      <c r="I95" s="4" t="n">
        <v>2.23</v>
      </c>
      <c r="J95" s="4" t="n">
        <v>1.68</v>
      </c>
      <c r="K95" s="2" t="inlineStr">
        <is>
          <t>Brasil</t>
        </is>
      </c>
      <c r="L95" s="5" t="n">
        <v>0.4324770332798842</v>
      </c>
      <c r="M95" s="5" t="n">
        <v>0.2667459562066909</v>
      </c>
      <c r="N95" s="5" t="n">
        <v>0.3007770105134248</v>
      </c>
      <c r="O95" s="5" t="n">
        <v>0.4998597255701074</v>
      </c>
      <c r="P95" s="5" t="n">
        <v>0.5001402744298925</v>
      </c>
      <c r="Q95" s="2" t="n">
        <v>2</v>
      </c>
      <c r="R95" s="2" t="n">
        <v>0</v>
      </c>
      <c r="S95" s="3">
        <f>IF(OR(Q95="",R95=""),"[APOSTAR] VISITA",IF(Q95&lt;R95,"[GANADA] VISITA","[PERDIDA] VISITA"))</f>
        <v/>
      </c>
      <c r="T95" s="3" t="inlineStr">
        <is>
          <t>[PASAR] Margen Predictivo O/U Insuficiente (&lt;15%)</t>
        </is>
      </c>
      <c r="U95" s="6" t="n">
        <v>1443.38</v>
      </c>
      <c r="V95" s="6" t="n">
        <v>0</v>
      </c>
      <c r="W95" s="3">
        <f>IF(L95="","",IF((MAX(L95,M95,N95)-MEDIAN(L95,M95,N95))&gt;0.05,IF(OR(Q95="",R95=""),"[PREDICCION] "&amp;IF(L95=MAX(L95,M95,N95),"LOCAL",IF(M95=MAX(L95,M95,N95),"EMPATE","VISITA")),IF(L95=MAX(L95,M95,N95),IF(Q95&gt;R95,"[ACIERTO]","[FALLO]"),IF(M95=MAX(L95,M95,N95),IF(Q95=R95,"[ACIERTO]","[FALLO]"),IF(Q95&lt;R95,"[ACIERTO]","[FALLO]")))),"[PASAR] Margen Insuf"))</f>
        <v/>
      </c>
      <c r="X95" s="6">
        <f>IFERROR(IF(U95=0,0,IF(ISNUMBER(SEARCH("[GANADA]",S95)),U95*(IF(ISNUMBER(SEARCH("LOCAL",S95)),F95,IF(ISNUMBER(SEARCH("EMPATE",S95)),G95,H95))-1),IF(ISNUMBER(SEARCH("[PERDIDA]",S95)),-U95,0))),0)+IFERROR(IF(V95=0,0,IF(ISNUMBER(SEARCH("[GANADA]",T95)),V95*(IF(ISNUMBER(SEARCH("OVER",T95)),I95,J95)-1),IF(ISNUMBER(SEARCH("[PERDIDA]",T95)),-V95,0))),0)</f>
        <v/>
      </c>
      <c r="Y95" s="6">
        <f>Y94+X95</f>
        <v/>
      </c>
      <c r="Z95" s="7">
        <f>IF(OR(Q95="",R95=""),"",(L95-IF(Q95&gt;R95,1,0))^2+(M95-IF(Q95=R95,1,0))^2+(N95-IF(Q95&lt;R95,1,0))^2)</f>
        <v/>
      </c>
      <c r="AA95" s="9" t="n">
        <v>0.5407999999999999</v>
      </c>
      <c r="AB95" s="2" t="inlineStr">
        <is>
          <t>NO</t>
        </is>
      </c>
    </row>
    <row r="96">
      <c r="A96" s="2" t="inlineStr">
        <is>
          <t>22/03/2026</t>
        </is>
      </c>
      <c r="B96" s="3" t="inlineStr">
        <is>
          <t>2026-03-22belgranocordobaracingclub</t>
        </is>
      </c>
      <c r="C96" s="3" t="inlineStr">
        <is>
          <t>Belgrano (córdoba) vs Racing Club</t>
        </is>
      </c>
      <c r="D96" s="3" t="inlineStr">
        <is>
          <t>Belgrano (córdoba)</t>
        </is>
      </c>
      <c r="E96" s="3" t="inlineStr">
        <is>
          <t>Racing Club</t>
        </is>
      </c>
      <c r="F96" s="4" t="n">
        <v>2.88</v>
      </c>
      <c r="G96" s="4" t="n">
        <v>3.1</v>
      </c>
      <c r="H96" s="4" t="n">
        <v>2.95</v>
      </c>
      <c r="I96" s="4" t="n">
        <v>2.7</v>
      </c>
      <c r="J96" s="4" t="n">
        <v>1.52</v>
      </c>
      <c r="K96" s="2" t="inlineStr">
        <is>
          <t>Argentina</t>
        </is>
      </c>
      <c r="L96" s="5" t="n">
        <v>0.3277573659544362</v>
      </c>
      <c r="M96" s="5" t="n">
        <v>0.3009305824771986</v>
      </c>
      <c r="N96" s="5" t="n">
        <v>0.3713120515683652</v>
      </c>
      <c r="O96" s="5" t="n">
        <v>0.3926604043241473</v>
      </c>
      <c r="P96" s="5" t="n">
        <v>0.6073395956758527</v>
      </c>
      <c r="Q96" s="2" t="n">
        <v>1</v>
      </c>
      <c r="R96" s="2" t="n">
        <v>2</v>
      </c>
      <c r="S96" s="3" t="inlineStr">
        <is>
          <t>[PASAR] Margen Predictivo Insuficiente (&lt;5%)</t>
        </is>
      </c>
      <c r="T96" s="3" t="inlineStr">
        <is>
          <t>[PASAR] Sin Valor</t>
        </is>
      </c>
      <c r="U96" s="6" t="n">
        <v>0</v>
      </c>
      <c r="V96" s="6" t="n">
        <v>0</v>
      </c>
      <c r="W96" s="3">
        <f>IF(L96="","",IF((MAX(L96,M96,N96)-MEDIAN(L96,M96,N96))&gt;0.05,IF(OR(Q96="",R96=""),"[PREDICCION] "&amp;IF(L96=MAX(L96,M96,N96),"LOCAL",IF(M96=MAX(L96,M96,N96),"EMPATE","VISITA")),IF(L96=MAX(L96,M96,N96),IF(Q96&gt;R96,"[ACIERTO]","[FALLO]"),IF(M96=MAX(L96,M96,N96),IF(Q96=R96,"[ACIERTO]","[FALLO]"),IF(Q96&lt;R96,"[ACIERTO]","[FALLO]")))),"[PASAR] Margen Insuf"))</f>
        <v/>
      </c>
      <c r="X96" s="6">
        <f>IFERROR(IF(U96=0,0,IF(ISNUMBER(SEARCH("[GANADA]",S96)),U96*(IF(ISNUMBER(SEARCH("LOCAL",S96)),F96,IF(ISNUMBER(SEARCH("EMPATE",S96)),G96,H96))-1),IF(ISNUMBER(SEARCH("[PERDIDA]",S96)),-U96,0))),0)+IFERROR(IF(V96=0,0,IF(ISNUMBER(SEARCH("[GANADA]",T96)),V96*(IF(ISNUMBER(SEARCH("OVER",T96)),I96,J96)-1),IF(ISNUMBER(SEARCH("[PERDIDA]",T96)),-V96,0))),0)</f>
        <v/>
      </c>
      <c r="Y96" s="6">
        <f>Y95+X96</f>
        <v/>
      </c>
      <c r="Z96" s="7">
        <f>IF(OR(Q96="",R96=""),"",(L96-IF(Q96&gt;R96,1,0))^2+(M96-IF(Q96=R96,1,0))^2+(N96-IF(Q96&lt;R96,1,0))^2)</f>
        <v/>
      </c>
      <c r="AA96" s="9" t="n">
        <v>0.6212</v>
      </c>
      <c r="AB96" s="2" t="inlineStr">
        <is>
          <t>NO</t>
        </is>
      </c>
    </row>
    <row r="97">
      <c r="A97" s="2" t="inlineStr">
        <is>
          <t>22/03/2026</t>
        </is>
      </c>
      <c r="B97" s="3" t="inlineStr">
        <is>
          <t>2026-03-22bocajuniorsinstitutocordoba</t>
        </is>
      </c>
      <c r="C97" s="3" t="inlineStr">
        <is>
          <t>Boca Juniors vs Instituto (córdoba)</t>
        </is>
      </c>
      <c r="D97" s="3" t="inlineStr">
        <is>
          <t>Boca Juniors</t>
        </is>
      </c>
      <c r="E97" s="3" t="inlineStr">
        <is>
          <t>Instituto (córdoba)</t>
        </is>
      </c>
      <c r="F97" s="4" t="n">
        <v>1.8</v>
      </c>
      <c r="G97" s="4" t="n">
        <v>3.4</v>
      </c>
      <c r="H97" s="4" t="n">
        <v>5.75</v>
      </c>
      <c r="I97" s="4" t="n">
        <v>2.72</v>
      </c>
      <c r="J97" s="4" t="n">
        <v>1.49</v>
      </c>
      <c r="K97" s="2" t="inlineStr">
        <is>
          <t>Argentina</t>
        </is>
      </c>
      <c r="L97" s="5" t="n">
        <v>0.4722421545499929</v>
      </c>
      <c r="M97" s="5" t="n">
        <v>0.2892298469315284</v>
      </c>
      <c r="N97" s="5" t="n">
        <v>0.2385279985184788</v>
      </c>
      <c r="O97" s="5" t="n">
        <v>0.3963885637853247</v>
      </c>
      <c r="P97" s="5" t="n">
        <v>0.6036114362146753</v>
      </c>
      <c r="Q97" s="2" t="n">
        <v>2</v>
      </c>
      <c r="R97" s="2" t="n">
        <v>0</v>
      </c>
      <c r="S97" s="3" t="inlineStr">
        <is>
          <t>[PASAR] Riesgo/Beneficio</t>
        </is>
      </c>
      <c r="T97" s="3" t="inlineStr">
        <is>
          <t>[PASAR] Sin Valor</t>
        </is>
      </c>
      <c r="U97" s="6" t="n">
        <v>0</v>
      </c>
      <c r="V97" s="6" t="n">
        <v>0</v>
      </c>
      <c r="W97" s="3">
        <f>IF(L97="","",IF((MAX(L97,M97,N97)-MEDIAN(L97,M97,N97))&gt;0.05,IF(OR(Q97="",R97=""),"[PREDICCION] "&amp;IF(L97=MAX(L97,M97,N97),"LOCAL",IF(M97=MAX(L97,M97,N97),"EMPATE","VISITA")),IF(L97=MAX(L97,M97,N97),IF(Q97&gt;R97,"[ACIERTO]","[FALLO]"),IF(M97=MAX(L97,M97,N97),IF(Q97=R97,"[ACIERTO]","[FALLO]"),IF(Q97&lt;R97,"[ACIERTO]","[FALLO]")))),"[PASAR] Margen Insuf"))</f>
        <v/>
      </c>
      <c r="X97" s="6">
        <f>IFERROR(IF(U97=0,0,IF(ISNUMBER(SEARCH("[GANADA]",S97)),U97*(IF(ISNUMBER(SEARCH("LOCAL",S97)),F97,IF(ISNUMBER(SEARCH("EMPATE",S97)),G97,H97))-1),IF(ISNUMBER(SEARCH("[PERDIDA]",S97)),-U97,0))),0)+IFERROR(IF(V97=0,0,IF(ISNUMBER(SEARCH("[GANADA]",T97)),V97*(IF(ISNUMBER(SEARCH("OVER",T97)),I97,J97)-1),IF(ISNUMBER(SEARCH("[PERDIDA]",T97)),-V97,0))),0)</f>
        <v/>
      </c>
      <c r="Y97" s="6">
        <f>Y96+X97</f>
        <v/>
      </c>
      <c r="Z97" s="7">
        <f>IF(OR(Q97="",R97=""),"",(L97-IF(Q97&gt;R97,1,0))^2+(M97-IF(Q97=R97,1,0))^2+(N97-IF(Q97&lt;R97,1,0))^2)</f>
        <v/>
      </c>
      <c r="AA97" s="9" t="n">
        <v>0.6121</v>
      </c>
      <c r="AB97" s="2" t="inlineStr">
        <is>
          <t>NO</t>
        </is>
      </c>
    </row>
    <row r="98">
      <c r="A98" s="2" t="inlineStr">
        <is>
          <t>22/03/2026</t>
        </is>
      </c>
      <c r="B98" s="3" t="inlineStr">
        <is>
          <t>2026-03-22corinthiansflamengo</t>
        </is>
      </c>
      <c r="C98" s="3" t="inlineStr">
        <is>
          <t>Corinthians vs Flamengo</t>
        </is>
      </c>
      <c r="D98" s="3" t="inlineStr">
        <is>
          <t>Corinthians</t>
        </is>
      </c>
      <c r="E98" s="3" t="inlineStr">
        <is>
          <t>Flamengo</t>
        </is>
      </c>
      <c r="F98" s="4" t="n">
        <v>3.74</v>
      </c>
      <c r="G98" s="4" t="n">
        <v>3.3</v>
      </c>
      <c r="H98" s="4" t="n">
        <v>2.18</v>
      </c>
      <c r="I98" s="4" t="n">
        <v>2.31</v>
      </c>
      <c r="J98" s="4" t="n">
        <v>1.65</v>
      </c>
      <c r="K98" s="2" t="inlineStr">
        <is>
          <t>Brasil</t>
        </is>
      </c>
      <c r="L98" s="5" t="n">
        <v>0.3341830945830077</v>
      </c>
      <c r="M98" s="5" t="n">
        <v>0.2842232548316517</v>
      </c>
      <c r="N98" s="5" t="n">
        <v>0.3815936505853407</v>
      </c>
      <c r="O98" s="5" t="n">
        <v>0.4410945934721188</v>
      </c>
      <c r="P98" s="5" t="n">
        <v>0.5589054065278812</v>
      </c>
      <c r="Q98" s="2" t="n">
        <v>1</v>
      </c>
      <c r="R98" s="2" t="n">
        <v>1</v>
      </c>
      <c r="S98" s="3" t="inlineStr">
        <is>
          <t>[PASAR] Margen Predictivo Insuficiente (&lt;5%)</t>
        </is>
      </c>
      <c r="T98" s="3" t="inlineStr">
        <is>
          <t>[PASAR] Margen Predictivo O/U Insuficiente (&lt;15%)</t>
        </is>
      </c>
      <c r="U98" s="6" t="n">
        <v>0</v>
      </c>
      <c r="V98" s="6" t="n">
        <v>0</v>
      </c>
      <c r="W98" s="3">
        <f>IF(L98="","",IF((MAX(L98,M98,N98)-MEDIAN(L98,M98,N98))&gt;0.05,IF(OR(Q98="",R98=""),"[PREDICCION] "&amp;IF(L98=MAX(L98,M98,N98),"LOCAL",IF(M98=MAX(L98,M98,N98),"EMPATE","VISITA")),IF(L98=MAX(L98,M98,N98),IF(Q98&gt;R98,"[ACIERTO]","[FALLO]"),IF(M98=MAX(L98,M98,N98),IF(Q98=R98,"[ACIERTO]","[FALLO]"),IF(Q98&lt;R98,"[ACIERTO]","[FALLO]")))),"[PASAR] Margen Insuf"))</f>
        <v/>
      </c>
      <c r="X98" s="6">
        <f>IFERROR(IF(U98=0,0,IF(ISNUMBER(SEARCH("[GANADA]",S98)),U98*(IF(ISNUMBER(SEARCH("LOCAL",S98)),F98,IF(ISNUMBER(SEARCH("EMPATE",S98)),G98,H98))-1),IF(ISNUMBER(SEARCH("[PERDIDA]",S98)),-U98,0))),0)+IFERROR(IF(V98=0,0,IF(ISNUMBER(SEARCH("[GANADA]",T98)),V98*(IF(ISNUMBER(SEARCH("OVER",T98)),I98,J98)-1),IF(ISNUMBER(SEARCH("[PERDIDA]",T98)),-V98,0))),0)</f>
        <v/>
      </c>
      <c r="Y98" s="6">
        <f>Y97+X98</f>
        <v/>
      </c>
      <c r="Z98" s="7">
        <f>IF(OR(Q98="",R98=""),"",(L98-IF(Q98&gt;R98,1,0))^2+(M98-IF(Q98=R98,1,0))^2+(N98-IF(Q98&lt;R98,1,0))^2)</f>
        <v/>
      </c>
      <c r="AA98" s="9" t="n">
        <v>0.7053</v>
      </c>
      <c r="AB98" s="2" t="inlineStr">
        <is>
          <t>NO</t>
        </is>
      </c>
    </row>
    <row r="99">
      <c r="A99" s="2" t="inlineStr">
        <is>
          <t>22/03/2026</t>
        </is>
      </c>
      <c r="B99" s="3" t="inlineStr">
        <is>
          <t>2026-03-22cruzeirosantos</t>
        </is>
      </c>
      <c r="C99" s="3" t="inlineStr">
        <is>
          <t>Cruzeiro vs Santos</t>
        </is>
      </c>
      <c r="D99" s="3" t="inlineStr">
        <is>
          <t>Cruzeiro</t>
        </is>
      </c>
      <c r="E99" s="3" t="inlineStr">
        <is>
          <t>Santos</t>
        </is>
      </c>
      <c r="F99" s="4" t="n">
        <v>1.94</v>
      </c>
      <c r="G99" s="4" t="n">
        <v>3.6</v>
      </c>
      <c r="H99" s="4" t="n">
        <v>4.42</v>
      </c>
      <c r="I99" s="4" t="n">
        <v>2.05</v>
      </c>
      <c r="J99" s="4" t="n">
        <v>1.81</v>
      </c>
      <c r="K99" s="2" t="inlineStr">
        <is>
          <t>Brasil</t>
        </is>
      </c>
      <c r="L99" s="5" t="n">
        <v>0.4948982214792453</v>
      </c>
      <c r="M99" s="5" t="n">
        <v>0.238546058467279</v>
      </c>
      <c r="N99" s="5" t="n">
        <v>0.2665557200534757</v>
      </c>
      <c r="O99" s="5" t="n">
        <v>0.5985032908303799</v>
      </c>
      <c r="P99" s="5" t="n">
        <v>0.40149670916962</v>
      </c>
      <c r="Q99" s="2" t="n">
        <v>0</v>
      </c>
      <c r="R99" s="2" t="n">
        <v>0</v>
      </c>
      <c r="S99" s="3" t="inlineStr">
        <is>
          <t>[PASAR] Overlap Riesgo (O/U Priorizado)</t>
        </is>
      </c>
      <c r="T99" s="3">
        <f>IF(OR(Q99="",R99=""),"[APOSTAR] OVER 2.5",IF((Q99+R99)&gt;2.5,"[GANADA] OVER 2.5","[PERDIDA] OVER 2.5"))</f>
        <v/>
      </c>
      <c r="U99" s="6" t="n">
        <v>0</v>
      </c>
      <c r="V99" s="6" t="n">
        <v>1443.38</v>
      </c>
      <c r="W99" s="3">
        <f>IF(L99="","",IF((MAX(L99,M99,N99)-MEDIAN(L99,M99,N99))&gt;0.05,IF(OR(Q99="",R99=""),"[PREDICCION] "&amp;IF(L99=MAX(L99,M99,N99),"LOCAL",IF(M99=MAX(L99,M99,N99),"EMPATE","VISITA")),IF(L99=MAX(L99,M99,N99),IF(Q99&gt;R99,"[ACIERTO]","[FALLO]"),IF(M99=MAX(L99,M99,N99),IF(Q99=R99,"[ACIERTO]","[FALLO]"),IF(Q99&lt;R99,"[ACIERTO]","[FALLO]")))),"[PASAR] Margen Insuf"))</f>
        <v/>
      </c>
      <c r="X99" s="6">
        <f>IFERROR(IF(U99=0,0,IF(ISNUMBER(SEARCH("[GANADA]",S99)),U99*(IF(ISNUMBER(SEARCH("LOCAL",S99)),F99,IF(ISNUMBER(SEARCH("EMPATE",S99)),G99,H99))-1),IF(ISNUMBER(SEARCH("[PERDIDA]",S99)),-U99,0))),0)+IFERROR(IF(V99=0,0,IF(ISNUMBER(SEARCH("[GANADA]",T99)),V99*(IF(ISNUMBER(SEARCH("OVER",T99)),I99,J99)-1),IF(ISNUMBER(SEARCH("[PERDIDA]",T99)),-V99,0))),0)</f>
        <v/>
      </c>
      <c r="Y99" s="6">
        <f>Y98+X99</f>
        <v/>
      </c>
      <c r="Z99" s="7">
        <f>IF(OR(Q99="",R99=""),"",(L99-IF(Q99&gt;R99,1,0))^2+(M99-IF(Q99=R99,1,0))^2+(N99-IF(Q99&lt;R99,1,0))^2)</f>
        <v/>
      </c>
      <c r="AA99" s="9" t="n">
        <v>0.7753</v>
      </c>
      <c r="AB99" s="2" t="inlineStr">
        <is>
          <t>NO</t>
        </is>
      </c>
    </row>
    <row r="100">
      <c r="A100" s="2" t="inlineStr">
        <is>
          <t>22/03/2026</t>
        </is>
      </c>
      <c r="B100" s="3" t="inlineStr">
        <is>
          <t>2026-03-22estudiantesderiocuartoriverplate</t>
        </is>
      </c>
      <c r="C100" s="3" t="inlineStr">
        <is>
          <t>Estudiantes de Río Cuarto vs River Plate</t>
        </is>
      </c>
      <c r="D100" s="3" t="inlineStr">
        <is>
          <t>Estudiantes de Río Cuarto</t>
        </is>
      </c>
      <c r="E100" s="3" t="inlineStr">
        <is>
          <t>River Plate</t>
        </is>
      </c>
      <c r="F100" s="4" t="n">
        <v>5.96</v>
      </c>
      <c r="G100" s="4" t="n">
        <v>3.55</v>
      </c>
      <c r="H100" s="4" t="n">
        <v>1.75</v>
      </c>
      <c r="I100" s="4" t="n">
        <v>2.38</v>
      </c>
      <c r="J100" s="4" t="n">
        <v>1.64</v>
      </c>
      <c r="K100" s="2" t="inlineStr">
        <is>
          <t>Argentina</t>
        </is>
      </c>
      <c r="L100" s="5" t="n">
        <v>0.3300223907229788</v>
      </c>
      <c r="M100" s="5" t="n">
        <v>0.2968358337668157</v>
      </c>
      <c r="N100" s="5" t="n">
        <v>0.3731417755102056</v>
      </c>
      <c r="O100" s="5" t="n">
        <v>0.4070079729829672</v>
      </c>
      <c r="P100" s="5" t="n">
        <v>0.5929920270170328</v>
      </c>
      <c r="Q100" s="2" t="n">
        <v>0</v>
      </c>
      <c r="R100" s="2" t="n">
        <v>2</v>
      </c>
      <c r="S100" s="3" t="inlineStr">
        <is>
          <t>[PASAR] Margen Predictivo Insuficiente (&lt;5%)</t>
        </is>
      </c>
      <c r="T100" s="3" t="inlineStr">
        <is>
          <t>[PASAR] Sin Valor</t>
        </is>
      </c>
      <c r="U100" s="6" t="n">
        <v>0</v>
      </c>
      <c r="V100" s="6" t="n">
        <v>0</v>
      </c>
      <c r="W100" s="3">
        <f>IF(L100="","",IF((MAX(L100,M100,N100)-MEDIAN(L100,M100,N100))&gt;0.05,IF(OR(Q100="",R100=""),"[PREDICCION] "&amp;IF(L100=MAX(L100,M100,N100),"LOCAL",IF(M100=MAX(L100,M100,N100),"EMPATE","VISITA")),IF(L100=MAX(L100,M100,N100),IF(Q100&gt;R100,"[ACIERTO]","[FALLO]"),IF(M100=MAX(L100,M100,N100),IF(Q100=R100,"[ACIERTO]","[FALLO]"),IF(Q100&lt;R100,"[ACIERTO]","[FALLO]")))),"[PASAR] Margen Insuf"))</f>
        <v/>
      </c>
      <c r="X100" s="6">
        <f>IFERROR(IF(U100=0,0,IF(ISNUMBER(SEARCH("[GANADA]",S100)),U100*(IF(ISNUMBER(SEARCH("LOCAL",S100)),F100,IF(ISNUMBER(SEARCH("EMPATE",S100)),G100,H100))-1),IF(ISNUMBER(SEARCH("[PERDIDA]",S100)),-U100,0))),0)+IFERROR(IF(V100=0,0,IF(ISNUMBER(SEARCH("[GANADA]",T100)),V100*(IF(ISNUMBER(SEARCH("OVER",T100)),I100,J100)-1),IF(ISNUMBER(SEARCH("[PERDIDA]",T100)),-V100,0))),0)</f>
        <v/>
      </c>
      <c r="Y100" s="6">
        <f>Y99+X100</f>
        <v/>
      </c>
      <c r="Z100" s="7">
        <f>IF(OR(Q100="",R100=""),"",(L100-IF(Q100&gt;R100,1,0))^2+(M100-IF(Q100=R100,1,0))^2+(N100-IF(Q100&lt;R100,1,0))^2)</f>
        <v/>
      </c>
      <c r="AA100" s="9" t="n">
        <v>0.6315</v>
      </c>
      <c r="AB100" s="2" t="inlineStr">
        <is>
          <t>NO</t>
        </is>
      </c>
    </row>
    <row r="101">
      <c r="A101" s="2" t="inlineStr">
        <is>
          <t>22/03/2026</t>
        </is>
      </c>
      <c r="B101" s="3" t="inlineStr">
        <is>
          <t>2026-03-22fredrikstadkfumoslo</t>
        </is>
      </c>
      <c r="C101" s="3" t="inlineStr">
        <is>
          <t>Fredrikstad vs Kfum Oslo</t>
        </is>
      </c>
      <c r="D101" s="3" t="inlineStr">
        <is>
          <t>Fredrikstad</t>
        </is>
      </c>
      <c r="E101" s="3" t="inlineStr">
        <is>
          <t>Kfum Oslo</t>
        </is>
      </c>
      <c r="F101" s="4" t="n">
        <v>2.38</v>
      </c>
      <c r="G101" s="4" t="n">
        <v>3.3</v>
      </c>
      <c r="H101" s="4" t="n">
        <v>3.22</v>
      </c>
      <c r="I101" s="4" t="n">
        <v>2.15</v>
      </c>
      <c r="J101" s="4" t="n">
        <v>1.76</v>
      </c>
      <c r="K101" s="2" t="inlineStr">
        <is>
          <t>Noruega</t>
        </is>
      </c>
      <c r="L101" s="5" t="n">
        <v>0.3783673362548702</v>
      </c>
      <c r="M101" s="5" t="n">
        <v>0.2603108873463264</v>
      </c>
      <c r="N101" s="5" t="n">
        <v>0.3613217763988035</v>
      </c>
      <c r="O101" s="5" t="n">
        <v>0.5270806894054612</v>
      </c>
      <c r="P101" s="5" t="n">
        <v>0.4729193105945388</v>
      </c>
      <c r="Q101" s="2" t="n">
        <v>3</v>
      </c>
      <c r="R101" s="2" t="n">
        <v>1</v>
      </c>
      <c r="S101" s="3" t="inlineStr">
        <is>
          <t>[PASAR] Margen Predictivo Insuficiente (&lt;5%)</t>
        </is>
      </c>
      <c r="T101" s="3" t="inlineStr">
        <is>
          <t>[PASAR] Margen Predictivo O/U Insuficiente (&lt;15%)</t>
        </is>
      </c>
      <c r="U101" s="6" t="n">
        <v>0</v>
      </c>
      <c r="V101" s="6" t="n">
        <v>0</v>
      </c>
      <c r="W101" s="3">
        <f>IF(L101="","",IF((MAX(L101,M101,N101)-MEDIAN(L101,M101,N101))&gt;0.05,IF(OR(Q101="",R101=""),"[PREDICCION] "&amp;IF(L101=MAX(L101,M101,N101),"LOCAL",IF(M101=MAX(L101,M101,N101),"EMPATE","VISITA")),IF(L101=MAX(L101,M101,N101),IF(Q101&gt;R101,"[ACIERTO]","[FALLO]"),IF(M101=MAX(L101,M101,N101),IF(Q101=R101,"[ACIERTO]","[FALLO]"),IF(Q101&lt;R101,"[ACIERTO]","[FALLO]")))),"[PASAR] Margen Insuf"))</f>
        <v/>
      </c>
      <c r="X101" s="6">
        <f>IFERROR(IF(U101=0,0,IF(ISNUMBER(SEARCH("[GANADA]",S101)),U101*(IF(ISNUMBER(SEARCH("LOCAL",S101)),F101,IF(ISNUMBER(SEARCH("EMPATE",S101)),G101,H101))-1),IF(ISNUMBER(SEARCH("[PERDIDA]",S101)),-U101,0))),0)+IFERROR(IF(V101=0,0,IF(ISNUMBER(SEARCH("[GANADA]",T101)),V101*(IF(ISNUMBER(SEARCH("OVER",T101)),I101,J101)-1),IF(ISNUMBER(SEARCH("[PERDIDA]",T101)),-V101,0))),0)</f>
        <v/>
      </c>
      <c r="Y101" s="6">
        <f>Y100+X101</f>
        <v/>
      </c>
      <c r="Z101" s="7">
        <f>IF(OR(Q101="",R101=""),"",(L101-IF(Q101&gt;R101,1,0))^2+(M101-IF(Q101=R101,1,0))^2+(N101-IF(Q101&lt;R101,1,0))^2)</f>
        <v/>
      </c>
      <c r="AA101" s="9" t="n">
        <v>0.6645</v>
      </c>
      <c r="AB101" s="2" t="inlineStr">
        <is>
          <t>NO</t>
        </is>
      </c>
    </row>
    <row r="102">
      <c r="A102" s="2" t="inlineStr">
        <is>
          <t>22/03/2026</t>
        </is>
      </c>
      <c r="B102" s="3" t="inlineStr">
        <is>
          <t>2026-03-22internacionalchapecoense</t>
        </is>
      </c>
      <c r="C102" s="3" t="inlineStr">
        <is>
          <t>Internacional vs Chapecoense</t>
        </is>
      </c>
      <c r="D102" s="3" t="inlineStr">
        <is>
          <t>Internacional</t>
        </is>
      </c>
      <c r="E102" s="3" t="inlineStr">
        <is>
          <t>Chapecoense</t>
        </is>
      </c>
      <c r="F102" s="4" t="n">
        <v>1.6</v>
      </c>
      <c r="G102" s="4" t="n">
        <v>4.36</v>
      </c>
      <c r="H102" s="4" t="n">
        <v>8.199999999999999</v>
      </c>
      <c r="I102" s="4" t="n">
        <v>1.93</v>
      </c>
      <c r="J102" s="4" t="n">
        <v>2.04</v>
      </c>
      <c r="K102" s="2" t="inlineStr">
        <is>
          <t>Brasil</t>
        </is>
      </c>
      <c r="L102" s="5" t="n">
        <v>0.4765588092987959</v>
      </c>
      <c r="M102" s="5" t="n">
        <v>0.2465842508529937</v>
      </c>
      <c r="N102" s="5" t="n">
        <v>0.2768569398482104</v>
      </c>
      <c r="O102" s="5" t="n">
        <v>0.5709537516820591</v>
      </c>
      <c r="P102" s="5" t="n">
        <v>0.4290462483179409</v>
      </c>
      <c r="Q102" s="2" t="n">
        <v>2</v>
      </c>
      <c r="R102" s="2" t="n">
        <v>0</v>
      </c>
      <c r="S102" s="3" t="inlineStr">
        <is>
          <t>[PASAR] Riesgo/Beneficio</t>
        </is>
      </c>
      <c r="T102" s="3" t="inlineStr">
        <is>
          <t>[PASAR] Margen Predictivo O/U Insuficiente (&lt;15%)</t>
        </is>
      </c>
      <c r="U102" s="6" t="n">
        <v>0</v>
      </c>
      <c r="V102" s="6" t="n">
        <v>0</v>
      </c>
      <c r="W102" s="3">
        <f>IF(L102="","",IF((MAX(L102,M102,N102)-MEDIAN(L102,M102,N102))&gt;0.05,IF(OR(Q102="",R102=""),"[PREDICCION] "&amp;IF(L102=MAX(L102,M102,N102),"LOCAL",IF(M102=MAX(L102,M102,N102),"EMPATE","VISITA")),IF(L102=MAX(L102,M102,N102),IF(Q102&gt;R102,"[ACIERTO]","[FALLO]"),IF(M102=MAX(L102,M102,N102),IF(Q102=R102,"[ACIERTO]","[FALLO]"),IF(Q102&lt;R102,"[ACIERTO]","[FALLO]")))),"[PASAR] Margen Insuf"))</f>
        <v/>
      </c>
      <c r="X102" s="6">
        <f>IFERROR(IF(U102=0,0,IF(ISNUMBER(SEARCH("[GANADA]",S102)),U102*(IF(ISNUMBER(SEARCH("LOCAL",S102)),F102,IF(ISNUMBER(SEARCH("EMPATE",S102)),G102,H102))-1),IF(ISNUMBER(SEARCH("[PERDIDA]",S102)),-U102,0))),0)+IFERROR(IF(V102=0,0,IF(ISNUMBER(SEARCH("[GANADA]",T102)),V102*(IF(ISNUMBER(SEARCH("OVER",T102)),I102,J102)-1),IF(ISNUMBER(SEARCH("[PERDIDA]",T102)),-V102,0))),0)</f>
        <v/>
      </c>
      <c r="Y102" s="6">
        <f>Y101+X102</f>
        <v/>
      </c>
      <c r="Z102" s="7">
        <f>IF(OR(Q102="",R102=""),"",(L102-IF(Q102&gt;R102,1,0))^2+(M102-IF(Q102=R102,1,0))^2+(N102-IF(Q102&lt;R102,1,0))^2)</f>
        <v/>
      </c>
      <c r="AA102" s="9" t="n">
        <v>0.6413</v>
      </c>
      <c r="AB102" s="2" t="inlineStr">
        <is>
          <t>NO</t>
        </is>
      </c>
    </row>
    <row r="103">
      <c r="A103" s="2" t="inlineStr">
        <is>
          <t>22/03/2026</t>
        </is>
      </c>
      <c r="B103" s="3" t="inlineStr">
        <is>
          <t>2026-03-22newcastleunitedsunderland</t>
        </is>
      </c>
      <c r="C103" s="3" t="inlineStr">
        <is>
          <t>Newcastle United vs Sunderland</t>
        </is>
      </c>
      <c r="D103" s="3" t="inlineStr">
        <is>
          <t>Newcastle United</t>
        </is>
      </c>
      <c r="E103" s="3" t="inlineStr">
        <is>
          <t>Sunderland</t>
        </is>
      </c>
      <c r="F103" s="4" t="n">
        <v>1.74</v>
      </c>
      <c r="G103" s="4" t="n">
        <v>4.2</v>
      </c>
      <c r="H103" s="4" t="n">
        <v>5.6</v>
      </c>
      <c r="I103" s="4" t="n">
        <v>1.96</v>
      </c>
      <c r="J103" s="4" t="n">
        <v>2.02</v>
      </c>
      <c r="K103" s="2" t="inlineStr">
        <is>
          <t>Inglaterra</t>
        </is>
      </c>
      <c r="L103" s="5" t="n">
        <v>0.4508549739721156</v>
      </c>
      <c r="M103" s="5" t="n">
        <v>0.2538639291312507</v>
      </c>
      <c r="N103" s="5" t="n">
        <v>0.2952810968966337</v>
      </c>
      <c r="O103" s="5" t="n">
        <v>0.5513673051023443</v>
      </c>
      <c r="P103" s="5" t="n">
        <v>0.4486326948976557</v>
      </c>
      <c r="Q103" s="2" t="n">
        <v>1</v>
      </c>
      <c r="R103" s="2" t="n">
        <v>2</v>
      </c>
      <c r="S103" s="3" t="inlineStr">
        <is>
          <t>[PASAR] Riesgo/Beneficio</t>
        </is>
      </c>
      <c r="T103" s="3" t="inlineStr">
        <is>
          <t>[PASAR] Margen Predictivo O/U Insuficiente (&lt;15%)</t>
        </is>
      </c>
      <c r="U103" s="6" t="n">
        <v>0</v>
      </c>
      <c r="V103" s="6" t="n">
        <v>0</v>
      </c>
      <c r="W103" s="3">
        <f>IF(L103="","",IF((MAX(L103,M103,N103)-MEDIAN(L103,M103,N103))&gt;0.05,IF(OR(Q103="",R103=""),"[PREDICCION] "&amp;IF(L103=MAX(L103,M103,N103),"LOCAL",IF(M103=MAX(L103,M103,N103),"EMPATE","VISITA")),IF(L103=MAX(L103,M103,N103),IF(Q103&gt;R103,"[ACIERTO]","[FALLO]"),IF(M103=MAX(L103,M103,N103),IF(Q103=R103,"[ACIERTO]","[FALLO]"),IF(Q103&lt;R103,"[ACIERTO]","[FALLO]")))),"[PASAR] Margen Insuf"))</f>
        <v/>
      </c>
      <c r="X103" s="6">
        <f>IFERROR(IF(U103=0,0,IF(ISNUMBER(SEARCH("[GANADA]",S103)),U103*(IF(ISNUMBER(SEARCH("LOCAL",S103)),F103,IF(ISNUMBER(SEARCH("EMPATE",S103)),G103,H103))-1),IF(ISNUMBER(SEARCH("[PERDIDA]",S103)),-U103,0))),0)+IFERROR(IF(V103=0,0,IF(ISNUMBER(SEARCH("[GANADA]",T103)),V103*(IF(ISNUMBER(SEARCH("OVER",T103)),I103,J103)-1),IF(ISNUMBER(SEARCH("[PERDIDA]",T103)),-V103,0))),0)</f>
        <v/>
      </c>
      <c r="Y103" s="6">
        <f>Y102+X103</f>
        <v/>
      </c>
      <c r="Z103" s="7">
        <f>IF(OR(Q103="",R103=""),"",(L103-IF(Q103&gt;R103,1,0))^2+(M103-IF(Q103=R103,1,0))^2+(N103-IF(Q103&lt;R103,1,0))^2)</f>
        <v/>
      </c>
      <c r="AA103" s="9" t="n">
        <v>0.6213</v>
      </c>
      <c r="AB103" s="2" t="inlineStr">
        <is>
          <t>NO</t>
        </is>
      </c>
    </row>
    <row r="104">
      <c r="A104" s="2" t="inlineStr">
        <is>
          <t>22/03/2026</t>
        </is>
      </c>
      <c r="B104" s="3" t="inlineStr">
        <is>
          <t>2026-03-22remobahia</t>
        </is>
      </c>
      <c r="C104" s="3" t="inlineStr">
        <is>
          <t>Remo vs Bahia</t>
        </is>
      </c>
      <c r="D104" s="3" t="inlineStr">
        <is>
          <t>Remo</t>
        </is>
      </c>
      <c r="E104" s="3" t="inlineStr">
        <is>
          <t>Bahia</t>
        </is>
      </c>
      <c r="F104" s="4" t="n">
        <v>3.69</v>
      </c>
      <c r="G104" s="4" t="n">
        <v>3.5</v>
      </c>
      <c r="H104" s="4" t="n">
        <v>2.28</v>
      </c>
      <c r="I104" s="4" t="n">
        <v>1.96</v>
      </c>
      <c r="J104" s="4" t="n">
        <v>2.01</v>
      </c>
      <c r="K104" s="2" t="inlineStr">
        <is>
          <t>Brasil</t>
        </is>
      </c>
      <c r="L104" s="5" t="n">
        <v>0.4731845798059066</v>
      </c>
      <c r="M104" s="5" t="n">
        <v>0.2489224409112492</v>
      </c>
      <c r="N104" s="5" t="n">
        <v>0.2778929792828441</v>
      </c>
      <c r="O104" s="5" t="n">
        <v>0.5616275155884431</v>
      </c>
      <c r="P104" s="5" t="n">
        <v>0.4383724844115568</v>
      </c>
      <c r="Q104" s="2" t="n">
        <v>4</v>
      </c>
      <c r="R104" s="2" t="n">
        <v>1</v>
      </c>
      <c r="S104" s="3" t="inlineStr">
        <is>
          <t>[PASAR] Info Oculta</t>
        </is>
      </c>
      <c r="T104" s="3" t="inlineStr">
        <is>
          <t>[PASAR] Margen Predictivo O/U Insuficiente (&lt;15%)</t>
        </is>
      </c>
      <c r="U104" s="6" t="n">
        <v>0</v>
      </c>
      <c r="V104" s="6" t="n">
        <v>0</v>
      </c>
      <c r="W104" s="3">
        <f>IF(L104="","",IF((MAX(L104,M104,N104)-MEDIAN(L104,M104,N104))&gt;0.05,IF(OR(Q104="",R104=""),"[PREDICCION] "&amp;IF(L104=MAX(L104,M104,N104),"LOCAL",IF(M104=MAX(L104,M104,N104),"EMPATE","VISITA")),IF(L104=MAX(L104,M104,N104),IF(Q104&gt;R104,"[ACIERTO]","[FALLO]"),IF(M104=MAX(L104,M104,N104),IF(Q104=R104,"[ACIERTO]","[FALLO]"),IF(Q104&lt;R104,"[ACIERTO]","[FALLO]")))),"[PASAR] Margen Insuf"))</f>
        <v/>
      </c>
      <c r="X104" s="6">
        <f>IFERROR(IF(U104=0,0,IF(ISNUMBER(SEARCH("[GANADA]",S104)),U104*(IF(ISNUMBER(SEARCH("LOCAL",S104)),F104,IF(ISNUMBER(SEARCH("EMPATE",S104)),G104,H104))-1),IF(ISNUMBER(SEARCH("[PERDIDA]",S104)),-U104,0))),0)+IFERROR(IF(V104=0,0,IF(ISNUMBER(SEARCH("[GANADA]",T104)),V104*(IF(ISNUMBER(SEARCH("OVER",T104)),I104,J104)-1),IF(ISNUMBER(SEARCH("[PERDIDA]",T104)),-V104,0))),0)</f>
        <v/>
      </c>
      <c r="Y104" s="6">
        <f>Y103+X104</f>
        <v/>
      </c>
      <c r="Z104" s="7">
        <f>IF(OR(Q104="",R104=""),"",(L104-IF(Q104&gt;R104,1,0))^2+(M104-IF(Q104=R104,1,0))^2+(N104-IF(Q104&lt;R104,1,0))^2)</f>
        <v/>
      </c>
      <c r="AA104" s="9" t="n">
        <v>0.7503</v>
      </c>
      <c r="AB104" s="2" t="inlineStr">
        <is>
          <t>NO</t>
        </is>
      </c>
    </row>
    <row r="105">
      <c r="A105" s="2" t="inlineStr">
        <is>
          <t>22/03/2026</t>
        </is>
      </c>
      <c r="B105" s="3" t="inlineStr">
        <is>
          <t>2026-03-22rosenborgvalerenga</t>
        </is>
      </c>
      <c r="C105" s="3" t="inlineStr">
        <is>
          <t>Rosenborg vs Valerenga</t>
        </is>
      </c>
      <c r="D105" s="3" t="inlineStr">
        <is>
          <t>Rosenborg</t>
        </is>
      </c>
      <c r="E105" s="3" t="inlineStr">
        <is>
          <t>Valerenga</t>
        </is>
      </c>
      <c r="F105" s="4" t="n">
        <v>2.26</v>
      </c>
      <c r="G105" s="4" t="n">
        <v>3.85</v>
      </c>
      <c r="H105" s="4" t="n">
        <v>3.25</v>
      </c>
      <c r="I105" s="4" t="n">
        <v>1.58</v>
      </c>
      <c r="J105" s="4" t="n">
        <v>2.33</v>
      </c>
      <c r="K105" s="2" t="inlineStr">
        <is>
          <t>Noruega</t>
        </is>
      </c>
      <c r="L105" s="5" t="n">
        <v>0.4866934908317617</v>
      </c>
      <c r="M105" s="5" t="n">
        <v>0.2477732271558427</v>
      </c>
      <c r="N105" s="5" t="n">
        <v>0.2655332820123957</v>
      </c>
      <c r="O105" s="5" t="n">
        <v>0.5442511332454576</v>
      </c>
      <c r="P105" s="5" t="n">
        <v>0.4557488667545425</v>
      </c>
      <c r="Q105" s="2" t="n">
        <v>0</v>
      </c>
      <c r="R105" s="2" t="n">
        <v>2</v>
      </c>
      <c r="S105" s="3">
        <f>IF(OR(Q105="",R105=""),"[APOSTAR] LOCAL",IF(Q105&gt;R105,"[GANADA] LOCAL","[PERDIDA] LOCAL"))</f>
        <v/>
      </c>
      <c r="T105" s="3" t="inlineStr">
        <is>
          <t>[PASAR] Margen Predictivo O/U Insuficiente (&lt;15%)</t>
        </is>
      </c>
      <c r="U105" s="6" t="n">
        <v>1443.38</v>
      </c>
      <c r="V105" s="6" t="n">
        <v>0</v>
      </c>
      <c r="W105" s="3">
        <f>IF(L105="","",IF((MAX(L105,M105,N105)-MEDIAN(L105,M105,N105))&gt;0.05,IF(OR(Q105="",R105=""),"[PREDICCION] "&amp;IF(L105=MAX(L105,M105,N105),"LOCAL",IF(M105=MAX(L105,M105,N105),"EMPATE","VISITA")),IF(L105=MAX(L105,M105,N105),IF(Q105&gt;R105,"[ACIERTO]","[FALLO]"),IF(M105=MAX(L105,M105,N105),IF(Q105=R105,"[ACIERTO]","[FALLO]"),IF(Q105&lt;R105,"[ACIERTO]","[FALLO]")))),"[PASAR] Margen Insuf"))</f>
        <v/>
      </c>
      <c r="X105" s="6">
        <f>IFERROR(IF(U105=0,0,IF(ISNUMBER(SEARCH("[GANADA]",S105)),U105*(IF(ISNUMBER(SEARCH("LOCAL",S105)),F105,IF(ISNUMBER(SEARCH("EMPATE",S105)),G105,H105))-1),IF(ISNUMBER(SEARCH("[PERDIDA]",S105)),-U105,0))),0)+IFERROR(IF(V105=0,0,IF(ISNUMBER(SEARCH("[GANADA]",T105)),V105*(IF(ISNUMBER(SEARCH("OVER",T105)),I105,J105)-1),IF(ISNUMBER(SEARCH("[PERDIDA]",T105)),-V105,0))),0)</f>
        <v/>
      </c>
      <c r="Y105" s="6">
        <f>Y104+X105</f>
        <v/>
      </c>
      <c r="Z105" s="7">
        <f>IF(OR(Q105="",R105=""),"",(L105-IF(Q105&gt;R105,1,0))^2+(M105-IF(Q105=R105,1,0))^2+(N105-IF(Q105&lt;R105,1,0))^2)</f>
        <v/>
      </c>
      <c r="AA105" s="9" t="n">
        <v>1.038</v>
      </c>
      <c r="AB105" s="2" t="inlineStr">
        <is>
          <t>NO</t>
        </is>
      </c>
    </row>
    <row r="106">
      <c r="A106" s="2" t="inlineStr">
        <is>
          <t>22/03/2026</t>
        </is>
      </c>
      <c r="B106" s="3" t="inlineStr">
        <is>
          <t>2026-03-22sandefjordsarpsborgfk</t>
        </is>
      </c>
      <c r="C106" s="3" t="inlineStr">
        <is>
          <t>Sandefjord vs Sarpsborg fk</t>
        </is>
      </c>
      <c r="D106" s="3" t="inlineStr">
        <is>
          <t>Sandefjord</t>
        </is>
      </c>
      <c r="E106" s="3" t="inlineStr">
        <is>
          <t>Sarpsborg fk</t>
        </is>
      </c>
      <c r="F106" s="4" t="n">
        <v>2.1</v>
      </c>
      <c r="G106" s="4" t="n">
        <v>4.25</v>
      </c>
      <c r="H106" s="4" t="n">
        <v>3.15</v>
      </c>
      <c r="I106" s="4" t="n">
        <v>1.4</v>
      </c>
      <c r="J106" s="4" t="n">
        <v>2.7</v>
      </c>
      <c r="K106" s="2" t="inlineStr">
        <is>
          <t>Noruega</t>
        </is>
      </c>
      <c r="L106" s="5" t="n">
        <v>0.4042249201863001</v>
      </c>
      <c r="M106" s="5" t="n">
        <v>0.2470649039021326</v>
      </c>
      <c r="N106" s="5" t="n">
        <v>0.3487101759115673</v>
      </c>
      <c r="O106" s="5" t="n">
        <v>0.585044147222101</v>
      </c>
      <c r="P106" s="5" t="n">
        <v>0.414955852777899</v>
      </c>
      <c r="Q106" s="2" t="n">
        <v>0</v>
      </c>
      <c r="R106" s="2" t="n">
        <v>2</v>
      </c>
      <c r="S106" s="3">
        <f>IF(OR(Q106="",R106=""),"[APOSTAR] VISITA",IF(Q106&lt;R106,"[GANADA] VISITA","[PERDIDA] VISITA"))</f>
        <v/>
      </c>
      <c r="T106" s="3" t="inlineStr">
        <is>
          <t>[PASAR] Sin Valor</t>
        </is>
      </c>
      <c r="U106" s="6" t="n">
        <v>1321.69</v>
      </c>
      <c r="V106" s="6" t="n">
        <v>0</v>
      </c>
      <c r="W106" s="3">
        <f>IF(L106="","",IF((MAX(L106,M106,N106)-MEDIAN(L106,M106,N106))&gt;0.05,IF(OR(Q106="",R106=""),"[PREDICCION] "&amp;IF(L106=MAX(L106,M106,N106),"LOCAL",IF(M106=MAX(L106,M106,N106),"EMPATE","VISITA")),IF(L106=MAX(L106,M106,N106),IF(Q106&gt;R106,"[ACIERTO]","[FALLO]"),IF(M106=MAX(L106,M106,N106),IF(Q106=R106,"[ACIERTO]","[FALLO]"),IF(Q106&lt;R106,"[ACIERTO]","[FALLO]")))),"[PASAR] Margen Insuf"))</f>
        <v/>
      </c>
      <c r="X106" s="6">
        <f>IFERROR(IF(U106=0,0,IF(ISNUMBER(SEARCH("[GANADA]",S106)),U106*(IF(ISNUMBER(SEARCH("LOCAL",S106)),F106,IF(ISNUMBER(SEARCH("EMPATE",S106)),G106,H106))-1),IF(ISNUMBER(SEARCH("[PERDIDA]",S106)),-U106,0))),0)+IFERROR(IF(V106=0,0,IF(ISNUMBER(SEARCH("[GANADA]",T106)),V106*(IF(ISNUMBER(SEARCH("OVER",T106)),I106,J106)-1),IF(ISNUMBER(SEARCH("[PERDIDA]",T106)),-V106,0))),0)</f>
        <v/>
      </c>
      <c r="Y106" s="6">
        <f>Y105+X106</f>
        <v/>
      </c>
      <c r="Z106" s="7">
        <f>IF(OR(Q106="",R106=""),"",(L106-IF(Q106&gt;R106,1,0))^2+(M106-IF(Q106=R106,1,0))^2+(N106-IF(Q106&lt;R106,1,0))^2)</f>
        <v/>
      </c>
      <c r="AA106" s="9" t="n">
        <v>0.7825</v>
      </c>
      <c r="AB106" s="2" t="inlineStr">
        <is>
          <t>NO</t>
        </is>
      </c>
    </row>
    <row r="107">
      <c r="A107" s="2" t="inlineStr">
        <is>
          <t>22/03/2026</t>
        </is>
      </c>
      <c r="B107" s="3" t="inlineStr">
        <is>
          <t>2026-03-22saopaulopalmeiras</t>
        </is>
      </c>
      <c r="C107" s="3" t="inlineStr">
        <is>
          <t>São Paulo vs Palmeiras</t>
        </is>
      </c>
      <c r="D107" s="3" t="inlineStr">
        <is>
          <t>São Paulo</t>
        </is>
      </c>
      <c r="E107" s="3" t="inlineStr">
        <is>
          <t>Palmeiras</t>
        </is>
      </c>
      <c r="F107" s="4" t="n">
        <v>3.01</v>
      </c>
      <c r="G107" s="4" t="n">
        <v>3.25</v>
      </c>
      <c r="H107" s="4" t="n">
        <v>2.77</v>
      </c>
      <c r="I107" s="4" t="n">
        <v>2.12</v>
      </c>
      <c r="J107" s="4" t="n">
        <v>1.76</v>
      </c>
      <c r="K107" s="2" t="inlineStr">
        <is>
          <t>Brasil</t>
        </is>
      </c>
      <c r="L107" s="5" t="n">
        <v>0.380702437981412</v>
      </c>
      <c r="M107" s="5" t="n">
        <v>0.2716233744349943</v>
      </c>
      <c r="N107" s="5" t="n">
        <v>0.3476741875835936</v>
      </c>
      <c r="O107" s="5" t="n">
        <v>0.4920610600377214</v>
      </c>
      <c r="P107" s="5" t="n">
        <v>0.5079389399622787</v>
      </c>
      <c r="Q107" s="2" t="n">
        <v>0</v>
      </c>
      <c r="R107" s="2" t="n">
        <v>1</v>
      </c>
      <c r="S107" s="3" t="inlineStr">
        <is>
          <t>[PASAR] Margen Predictivo Insuficiente (&lt;5%)</t>
        </is>
      </c>
      <c r="T107" s="3" t="inlineStr">
        <is>
          <t>[PASAR] Margen Predictivo O/U Insuficiente (&lt;15%)</t>
        </is>
      </c>
      <c r="U107" s="6" t="n">
        <v>0</v>
      </c>
      <c r="V107" s="6" t="n">
        <v>0</v>
      </c>
      <c r="W107" s="3">
        <f>IF(L107="","",IF((MAX(L107,M107,N107)-MEDIAN(L107,M107,N107))&gt;0.05,IF(OR(Q107="",R107=""),"[PREDICCION] "&amp;IF(L107=MAX(L107,M107,N107),"LOCAL",IF(M107=MAX(L107,M107,N107),"EMPATE","VISITA")),IF(L107=MAX(L107,M107,N107),IF(Q107&gt;R107,"[ACIERTO]","[FALLO]"),IF(M107=MAX(L107,M107,N107),IF(Q107=R107,"[ACIERTO]","[FALLO]"),IF(Q107&lt;R107,"[ACIERTO]","[FALLO]")))),"[PASAR] Margen Insuf"))</f>
        <v/>
      </c>
      <c r="X107" s="6">
        <f>IFERROR(IF(U107=0,0,IF(ISNUMBER(SEARCH("[GANADA]",S107)),U107*(IF(ISNUMBER(SEARCH("LOCAL",S107)),F107,IF(ISNUMBER(SEARCH("EMPATE",S107)),G107,H107))-1),IF(ISNUMBER(SEARCH("[PERDIDA]",S107)),-U107,0))),0)+IFERROR(IF(V107=0,0,IF(ISNUMBER(SEARCH("[GANADA]",T107)),V107*(IF(ISNUMBER(SEARCH("OVER",T107)),I107,J107)-1),IF(ISNUMBER(SEARCH("[PERDIDA]",T107)),-V107,0))),0)</f>
        <v/>
      </c>
      <c r="Y107" s="6">
        <f>Y106+X107</f>
        <v/>
      </c>
      <c r="Z107" s="7">
        <f>IF(OR(Q107="",R107=""),"",(L107-IF(Q107&gt;R107,1,0))^2+(M107-IF(Q107=R107,1,0))^2+(N107-IF(Q107&lt;R107,1,0))^2)</f>
        <v/>
      </c>
      <c r="AA107" s="9" t="n">
        <v>0.7821</v>
      </c>
      <c r="AB107" s="2" t="inlineStr">
        <is>
          <t>NO</t>
        </is>
      </c>
    </row>
    <row r="108">
      <c r="A108" s="2" t="inlineStr">
        <is>
          <t>22/03/2026</t>
        </is>
      </c>
      <c r="B108" s="3" t="inlineStr">
        <is>
          <t>2026-03-22sarmientojuninaldosivi</t>
        </is>
      </c>
      <c r="C108" s="3" t="inlineStr">
        <is>
          <t>Sarmiento (junín) vs Aldosivi</t>
        </is>
      </c>
      <c r="D108" s="3" t="inlineStr">
        <is>
          <t>Sarmiento (junín)</t>
        </is>
      </c>
      <c r="E108" s="3" t="inlineStr">
        <is>
          <t>Aldosivi</t>
        </is>
      </c>
      <c r="F108" s="4" t="n">
        <v>2.26</v>
      </c>
      <c r="G108" s="4" t="n">
        <v>3</v>
      </c>
      <c r="H108" s="4" t="n">
        <v>4</v>
      </c>
      <c r="I108" s="4" t="n">
        <v>3.15</v>
      </c>
      <c r="J108" s="4" t="n">
        <v>1.35</v>
      </c>
      <c r="K108" s="2" t="inlineStr">
        <is>
          <t>Argentina</t>
        </is>
      </c>
      <c r="L108" s="5" t="n">
        <v>0.4574035618650876</v>
      </c>
      <c r="M108" s="5" t="n">
        <v>0.283575640240228</v>
      </c>
      <c r="N108" s="5" t="n">
        <v>0.2590207978946843</v>
      </c>
      <c r="O108" s="5" t="n">
        <v>0.4283291668066846</v>
      </c>
      <c r="P108" s="5" t="n">
        <v>0.5716708331933154</v>
      </c>
      <c r="Q108" s="2" t="n">
        <v>2</v>
      </c>
      <c r="R108" s="2" t="n">
        <v>0</v>
      </c>
      <c r="S108" s="3">
        <f>IF(OR(Q108="",R108=""),"[APOSTAR] LOCAL",IF(Q108&gt;R108,"[GANADA] LOCAL","[PERDIDA] LOCAL"))</f>
        <v/>
      </c>
      <c r="T108" s="3" t="inlineStr">
        <is>
          <t>[PASAR] Margen Predictivo O/U Insuficiente (&lt;15%)</t>
        </is>
      </c>
      <c r="U108" s="6" t="n">
        <v>1338.57</v>
      </c>
      <c r="V108" s="6" t="n">
        <v>0</v>
      </c>
      <c r="W108" s="3">
        <f>IF(L108="","",IF((MAX(L108,M108,N108)-MEDIAN(L108,M108,N108))&gt;0.05,IF(OR(Q108="",R108=""),"[PREDICCION] "&amp;IF(L108=MAX(L108,M108,N108),"LOCAL",IF(M108=MAX(L108,M108,N108),"EMPATE","VISITA")),IF(L108=MAX(L108,M108,N108),IF(Q108&gt;R108,"[ACIERTO]","[FALLO]"),IF(M108=MAX(L108,M108,N108),IF(Q108=R108,"[ACIERTO]","[FALLO]"),IF(Q108&lt;R108,"[ACIERTO]","[FALLO]")))),"[PASAR] Margen Insuf"))</f>
        <v/>
      </c>
      <c r="X108" s="6">
        <f>IFERROR(IF(U108=0,0,IF(ISNUMBER(SEARCH("[GANADA]",S108)),U108*(IF(ISNUMBER(SEARCH("LOCAL",S108)),F108,IF(ISNUMBER(SEARCH("EMPATE",S108)),G108,H108))-1),IF(ISNUMBER(SEARCH("[PERDIDA]",S108)),-U108,0))),0)+IFERROR(IF(V108=0,0,IF(ISNUMBER(SEARCH("[GANADA]",T108)),V108*(IF(ISNUMBER(SEARCH("OVER",T108)),I108,J108)-1),IF(ISNUMBER(SEARCH("[PERDIDA]",T108)),-V108,0))),0)</f>
        <v/>
      </c>
      <c r="Y108" s="6">
        <f>Y107+X108</f>
        <v/>
      </c>
      <c r="Z108" s="7">
        <f>IF(OR(Q108="",R108=""),"",(L108-IF(Q108&gt;R108,1,0))^2+(M108-IF(Q108=R108,1,0))^2+(N108-IF(Q108&lt;R108,1,0))^2)</f>
        <v/>
      </c>
      <c r="AA108" s="9" t="n">
        <v>0.6433</v>
      </c>
      <c r="AB108" s="2" t="inlineStr">
        <is>
          <t>NO</t>
        </is>
      </c>
    </row>
    <row r="109">
      <c r="A109" s="2" t="inlineStr">
        <is>
          <t>22/03/2026</t>
        </is>
      </c>
      <c r="B109" s="3" t="inlineStr">
        <is>
          <t>2026-03-22skbranntromso</t>
        </is>
      </c>
      <c r="C109" s="3" t="inlineStr">
        <is>
          <t>Sk Brann vs Tromso</t>
        </is>
      </c>
      <c r="D109" s="3" t="inlineStr">
        <is>
          <t>Sk Brann</t>
        </is>
      </c>
      <c r="E109" s="3" t="inlineStr">
        <is>
          <t>Tromso</t>
        </is>
      </c>
      <c r="F109" s="4" t="n">
        <v>2.15</v>
      </c>
      <c r="G109" s="4" t="n">
        <v>3.65</v>
      </c>
      <c r="H109" s="4" t="n">
        <v>3.4</v>
      </c>
      <c r="I109" s="4" t="n">
        <v>1.77</v>
      </c>
      <c r="J109" s="4" t="n">
        <v>2.12</v>
      </c>
      <c r="K109" s="2" t="inlineStr">
        <is>
          <t>Noruega</t>
        </is>
      </c>
      <c r="L109" s="5" t="n">
        <v>0.4012742120202197</v>
      </c>
      <c r="M109" s="5" t="n">
        <v>0.2569191123823455</v>
      </c>
      <c r="N109" s="5" t="n">
        <v>0.3418066755974347</v>
      </c>
      <c r="O109" s="5" t="n">
        <v>0.5395525426368118</v>
      </c>
      <c r="P109" s="5" t="n">
        <v>0.4604474573631882</v>
      </c>
      <c r="Q109" s="2" t="n">
        <v>1</v>
      </c>
      <c r="R109" s="2" t="n">
        <v>2</v>
      </c>
      <c r="S109" s="3">
        <f>IF(OR(Q109="",R109=""),"[APOSTAR] VISITA",IF(Q109&lt;R109,"[GANADA] VISITA","[PERDIDA] VISITA"))</f>
        <v/>
      </c>
      <c r="T109" s="3" t="inlineStr">
        <is>
          <t>[PASAR] Margen Predictivo O/U Insuficiente (&lt;15%)</t>
        </is>
      </c>
      <c r="U109" s="6" t="n">
        <v>1443.38</v>
      </c>
      <c r="V109" s="6" t="n">
        <v>0</v>
      </c>
      <c r="W109" s="3">
        <f>IF(L109="","",IF((MAX(L109,M109,N109)-MEDIAN(L109,M109,N109))&gt;0.05,IF(OR(Q109="",R109=""),"[PREDICCION] "&amp;IF(L109=MAX(L109,M109,N109),"LOCAL",IF(M109=MAX(L109,M109,N109),"EMPATE","VISITA")),IF(L109=MAX(L109,M109,N109),IF(Q109&gt;R109,"[ACIERTO]","[FALLO]"),IF(M109=MAX(L109,M109,N109),IF(Q109=R109,"[ACIERTO]","[FALLO]"),IF(Q109&lt;R109,"[ACIERTO]","[FALLO]")))),"[PASAR] Margen Insuf"))</f>
        <v/>
      </c>
      <c r="X109" s="6">
        <f>IFERROR(IF(U109=0,0,IF(ISNUMBER(SEARCH("[GANADA]",S109)),U109*(IF(ISNUMBER(SEARCH("LOCAL",S109)),F109,IF(ISNUMBER(SEARCH("EMPATE",S109)),G109,H109))-1),IF(ISNUMBER(SEARCH("[PERDIDA]",S109)),-U109,0))),0)+IFERROR(IF(V109=0,0,IF(ISNUMBER(SEARCH("[GANADA]",T109)),V109*(IF(ISNUMBER(SEARCH("OVER",T109)),I109,J109)-1),IF(ISNUMBER(SEARCH("[PERDIDA]",T109)),-V109,0))),0)</f>
        <v/>
      </c>
      <c r="Y109" s="6">
        <f>Y108+X109</f>
        <v/>
      </c>
      <c r="Z109" s="7">
        <f>IF(OR(Q109="",R109=""),"",(L109-IF(Q109&gt;R109,1,0))^2+(M109-IF(Q109=R109,1,0))^2+(N109-IF(Q109&lt;R109,1,0))^2)</f>
        <v/>
      </c>
      <c r="AA109" s="9" t="n">
        <v>0.7016</v>
      </c>
      <c r="AB109" s="2" t="inlineStr">
        <is>
          <t>NO</t>
        </is>
      </c>
    </row>
    <row r="110">
      <c r="A110" s="2" t="inlineStr">
        <is>
          <t>22/03/2026</t>
        </is>
      </c>
      <c r="B110" s="3" t="inlineStr">
        <is>
          <t>2026-03-22tottenhamhotspurnottinghamforest</t>
        </is>
      </c>
      <c r="C110" s="3" t="inlineStr">
        <is>
          <t>Tottenham Hotspur vs Nottingham Forest</t>
        </is>
      </c>
      <c r="D110" s="3" t="inlineStr">
        <is>
          <t>Tottenham Hotspur</t>
        </is>
      </c>
      <c r="E110" s="3" t="inlineStr">
        <is>
          <t>Nottingham Forest</t>
        </is>
      </c>
      <c r="F110" s="4" t="n">
        <v>2.36</v>
      </c>
      <c r="G110" s="4" t="n">
        <v>3.5</v>
      </c>
      <c r="H110" s="4" t="n">
        <v>3.4</v>
      </c>
      <c r="I110" s="4" t="n">
        <v>1.97</v>
      </c>
      <c r="J110" s="4" t="n">
        <v>2.02</v>
      </c>
      <c r="K110" s="2" t="inlineStr">
        <is>
          <t>Inglaterra</t>
        </is>
      </c>
      <c r="L110" s="5" t="n">
        <v>0.3189858742001957</v>
      </c>
      <c r="M110" s="5" t="n">
        <v>0.2610953806422436</v>
      </c>
      <c r="N110" s="5" t="n">
        <v>0.4199187451575607</v>
      </c>
      <c r="O110" s="5" t="n">
        <v>0.5305437527495472</v>
      </c>
      <c r="P110" s="5" t="n">
        <v>0.4694562472504527</v>
      </c>
      <c r="Q110" s="2" t="n">
        <v>0</v>
      </c>
      <c r="R110" s="2" t="n">
        <v>3</v>
      </c>
      <c r="S110" s="3">
        <f>IF(OR(Q110="",R110=""),"[APOSTAR] VISITA",IF(Q110&lt;R110,"[GANADA] VISITA","[PERDIDA] VISITA"))</f>
        <v/>
      </c>
      <c r="T110" s="3" t="inlineStr">
        <is>
          <t>[PASAR] Margen Predictivo O/U Insuficiente (&lt;15%)</t>
        </is>
      </c>
      <c r="U110" s="6" t="n">
        <v>1767.77</v>
      </c>
      <c r="V110" s="6" t="n">
        <v>0</v>
      </c>
      <c r="W110" s="3">
        <f>IF(L110="","",IF((MAX(L110,M110,N110)-MEDIAN(L110,M110,N110))&gt;0.05,IF(OR(Q110="",R110=""),"[PREDICCION] "&amp;IF(L110=MAX(L110,M110,N110),"LOCAL",IF(M110=MAX(L110,M110,N110),"EMPATE","VISITA")),IF(L110=MAX(L110,M110,N110),IF(Q110&gt;R110,"[ACIERTO]","[FALLO]"),IF(M110=MAX(L110,M110,N110),IF(Q110=R110,"[ACIERTO]","[FALLO]"),IF(Q110&lt;R110,"[ACIERTO]","[FALLO]")))),"[PASAR] Margen Insuf"))</f>
        <v/>
      </c>
      <c r="X110" s="6">
        <f>IFERROR(IF(U110=0,0,IF(ISNUMBER(SEARCH("[GANADA]",S110)),U110*(IF(ISNUMBER(SEARCH("LOCAL",S110)),F110,IF(ISNUMBER(SEARCH("EMPATE",S110)),G110,H110))-1),IF(ISNUMBER(SEARCH("[PERDIDA]",S110)),-U110,0))),0)+IFERROR(IF(V110=0,0,IF(ISNUMBER(SEARCH("[GANADA]",T110)),V110*(IF(ISNUMBER(SEARCH("OVER",T110)),I110,J110)-1),IF(ISNUMBER(SEARCH("[PERDIDA]",T110)),-V110,0))),0)</f>
        <v/>
      </c>
      <c r="Y110" s="6">
        <f>Y109+X110</f>
        <v/>
      </c>
      <c r="Z110" s="7">
        <f>IF(OR(Q110="",R110=""),"",(L110-IF(Q110&gt;R110,1,0))^2+(M110-IF(Q110=R110,1,0))^2+(N110-IF(Q110&lt;R110,1,0))^2)</f>
        <v/>
      </c>
      <c r="AA110" s="9" t="n">
        <v>0.6999</v>
      </c>
      <c r="AB110" s="2" t="inlineStr">
        <is>
          <t>NO</t>
        </is>
      </c>
    </row>
    <row r="111">
      <c r="A111" s="2" t="inlineStr">
        <is>
          <t>22/03/2026</t>
        </is>
      </c>
      <c r="B111" s="3" t="inlineStr">
        <is>
          <t>2026-03-22vascodagamagremio</t>
        </is>
      </c>
      <c r="C111" s="3" t="inlineStr">
        <is>
          <t>Vasco da Gama vs Grêmio</t>
        </is>
      </c>
      <c r="D111" s="3" t="inlineStr">
        <is>
          <t>Vasco da Gama</t>
        </is>
      </c>
      <c r="E111" s="3" t="inlineStr">
        <is>
          <t>Grêmio</t>
        </is>
      </c>
      <c r="F111" s="4" t="n">
        <v>2.08</v>
      </c>
      <c r="G111" s="4" t="n">
        <v>3.6</v>
      </c>
      <c r="H111" s="4" t="n">
        <v>3.9</v>
      </c>
      <c r="I111" s="4" t="n">
        <v>2</v>
      </c>
      <c r="J111" s="4" t="n">
        <v>1.94</v>
      </c>
      <c r="K111" s="2" t="inlineStr">
        <is>
          <t>Brasil</t>
        </is>
      </c>
      <c r="L111" s="5" t="n">
        <v>0.4889795807113525</v>
      </c>
      <c r="M111" s="5" t="n">
        <v>0.2468011667910914</v>
      </c>
      <c r="N111" s="5" t="n">
        <v>0.2642192524975561</v>
      </c>
      <c r="O111" s="5" t="n">
        <v>0.5611685895584714</v>
      </c>
      <c r="P111" s="5" t="n">
        <v>0.4388314104415286</v>
      </c>
      <c r="Q111" s="2" t="n">
        <v>2</v>
      </c>
      <c r="R111" s="2" t="n">
        <v>1</v>
      </c>
      <c r="S111" s="3" t="inlineStr">
        <is>
          <t>[PASAR] Riesgo/Beneficio</t>
        </is>
      </c>
      <c r="T111" s="3" t="inlineStr">
        <is>
          <t>[PASAR] Margen Predictivo O/U Insuficiente (&lt;15%)</t>
        </is>
      </c>
      <c r="U111" s="6" t="n">
        <v>0</v>
      </c>
      <c r="V111" s="6" t="n">
        <v>0</v>
      </c>
      <c r="W111" s="3">
        <f>IF(L111="","",IF((MAX(L111,M111,N111)-MEDIAN(L111,M111,N111))&gt;0.05,IF(OR(Q111="",R111=""),"[PREDICCION] "&amp;IF(L111=MAX(L111,M111,N111),"LOCAL",IF(M111=MAX(L111,M111,N111),"EMPATE","VISITA")),IF(L111=MAX(L111,M111,N111),IF(Q111&gt;R111,"[ACIERTO]","[FALLO]"),IF(M111=MAX(L111,M111,N111),IF(Q111=R111,"[ACIERTO]","[FALLO]"),IF(Q111&lt;R111,"[ACIERTO]","[FALLO]")))),"[PASAR] Margen Insuf"))</f>
        <v/>
      </c>
      <c r="X111" s="6">
        <f>IFERROR(IF(U111=0,0,IF(ISNUMBER(SEARCH("[GANADA]",S111)),U111*(IF(ISNUMBER(SEARCH("LOCAL",S111)),F111,IF(ISNUMBER(SEARCH("EMPATE",S111)),G111,H111))-1),IF(ISNUMBER(SEARCH("[PERDIDA]",S111)),-U111,0))),0)+IFERROR(IF(V111=0,0,IF(ISNUMBER(SEARCH("[GANADA]",T111)),V111*(IF(ISNUMBER(SEARCH("OVER",T111)),I111,J111)-1),IF(ISNUMBER(SEARCH("[PERDIDA]",T111)),-V111,0))),0)</f>
        <v/>
      </c>
      <c r="Y111" s="6">
        <f>Y110+X111</f>
        <v/>
      </c>
      <c r="Z111" s="7">
        <f>IF(OR(Q111="",R111=""),"",(L111-IF(Q111&gt;R111,1,0))^2+(M111-IF(Q111=R111,1,0))^2+(N111-IF(Q111&lt;R111,1,0))^2)</f>
        <v/>
      </c>
      <c r="AA111" s="9" t="n">
        <v>0.7806</v>
      </c>
      <c r="AB111" s="2" t="inlineStr">
        <is>
          <t>NO</t>
        </is>
      </c>
    </row>
    <row r="112">
      <c r="A112" s="2" t="inlineStr">
        <is>
          <t>22/03/2026</t>
        </is>
      </c>
      <c r="B112" s="3" t="inlineStr">
        <is>
          <t>2026-03-22vitoriamirassol</t>
        </is>
      </c>
      <c r="C112" s="3" t="inlineStr">
        <is>
          <t>Vitória vs Mirassol</t>
        </is>
      </c>
      <c r="D112" s="3" t="inlineStr">
        <is>
          <t>Vitória</t>
        </is>
      </c>
      <c r="E112" s="3" t="inlineStr">
        <is>
          <t>Mirassol</t>
        </is>
      </c>
      <c r="F112" s="4" t="n">
        <v>2.55</v>
      </c>
      <c r="G112" s="4" t="n">
        <v>3.4</v>
      </c>
      <c r="H112" s="4" t="n">
        <v>3.03</v>
      </c>
      <c r="I112" s="4" t="n">
        <v>2.07</v>
      </c>
      <c r="J112" s="4" t="n">
        <v>1.81</v>
      </c>
      <c r="K112" s="2" t="inlineStr">
        <is>
          <t>Brasil</t>
        </is>
      </c>
      <c r="L112" s="5" t="n">
        <v>0.4430345006307215</v>
      </c>
      <c r="M112" s="5" t="n">
        <v>0.2556931470926547</v>
      </c>
      <c r="N112" s="5" t="n">
        <v>0.3012723522766238</v>
      </c>
      <c r="O112" s="5" t="n">
        <v>0.545657589335549</v>
      </c>
      <c r="P112" s="5" t="n">
        <v>0.454342410664451</v>
      </c>
      <c r="Q112" s="2" t="n">
        <v>1</v>
      </c>
      <c r="R112" s="2" t="n">
        <v>0</v>
      </c>
      <c r="S112" s="3">
        <f>IF(OR(Q112="",R112=""),"[APOSTAR] LOCAL",IF(Q112&gt;R112,"[GANADA] LOCAL","[PERDIDA] LOCAL"))</f>
        <v/>
      </c>
      <c r="T112" s="3" t="inlineStr">
        <is>
          <t>[PASAR] Margen Predictivo O/U Insuficiente (&lt;15%)</t>
        </is>
      </c>
      <c r="U112" s="6" t="n">
        <v>1443.38</v>
      </c>
      <c r="V112" s="6" t="n">
        <v>0</v>
      </c>
      <c r="W112" s="3">
        <f>IF(L112="","",IF((MAX(L112,M112,N112)-MEDIAN(L112,M112,N112))&gt;0.05,IF(OR(Q112="",R112=""),"[PREDICCION] "&amp;IF(L112=MAX(L112,M112,N112),"LOCAL",IF(M112=MAX(L112,M112,N112),"EMPATE","VISITA")),IF(L112=MAX(L112,M112,N112),IF(Q112&gt;R112,"[ACIERTO]","[FALLO]"),IF(M112=MAX(L112,M112,N112),IF(Q112=R112,"[ACIERTO]","[FALLO]"),IF(Q112&lt;R112,"[ACIERTO]","[FALLO]")))),"[PASAR] Margen Insuf"))</f>
        <v/>
      </c>
      <c r="X112" s="6">
        <f>IFERROR(IF(U112=0,0,IF(ISNUMBER(SEARCH("[GANADA]",S112)),U112*(IF(ISNUMBER(SEARCH("LOCAL",S112)),F112,IF(ISNUMBER(SEARCH("EMPATE",S112)),G112,H112))-1),IF(ISNUMBER(SEARCH("[PERDIDA]",S112)),-U112,0))),0)+IFERROR(IF(V112=0,0,IF(ISNUMBER(SEARCH("[GANADA]",T112)),V112*(IF(ISNUMBER(SEARCH("OVER",T112)),I112,J112)-1),IF(ISNUMBER(SEARCH("[PERDIDA]",T112)),-V112,0))),0)</f>
        <v/>
      </c>
      <c r="Y112" s="6">
        <f>Y111+X112</f>
        <v/>
      </c>
      <c r="Z112" s="7">
        <f>IF(OR(Q112="",R112=""),"",(L112-IF(Q112&gt;R112,1,0))^2+(M112-IF(Q112=R112,1,0))^2+(N112-IF(Q112&lt;R112,1,0))^2)</f>
        <v/>
      </c>
      <c r="AA112" s="9" t="n">
        <v>0.5823</v>
      </c>
      <c r="AB112" s="2" t="inlineStr">
        <is>
          <t>NO</t>
        </is>
      </c>
    </row>
    <row r="113">
      <c r="A113" s="2" t="inlineStr">
        <is>
          <t>23/03/2026</t>
        </is>
      </c>
      <c r="B113" s="3" t="inlineStr">
        <is>
          <t>2026-03-23argentinosjuniorsplatense</t>
        </is>
      </c>
      <c r="C113" s="3" t="inlineStr">
        <is>
          <t>Argentinos Juniors vs Platense</t>
        </is>
      </c>
      <c r="D113" s="3" t="inlineStr">
        <is>
          <t>Argentinos Juniors</t>
        </is>
      </c>
      <c r="E113" s="3" t="inlineStr">
        <is>
          <t>Platense</t>
        </is>
      </c>
      <c r="F113" s="4" t="n">
        <v>1.79</v>
      </c>
      <c r="G113" s="4" t="n">
        <v>3.4</v>
      </c>
      <c r="H113" s="4" t="n">
        <v>5.95</v>
      </c>
      <c r="I113" s="4" t="n">
        <v>2.72</v>
      </c>
      <c r="J113" s="4" t="n">
        <v>1.44</v>
      </c>
      <c r="K113" s="2" t="inlineStr">
        <is>
          <t>Argentina</t>
        </is>
      </c>
      <c r="L113" s="5" t="n">
        <v>0.4860954661548328</v>
      </c>
      <c r="M113" s="5" t="n">
        <v>0.2826158412025288</v>
      </c>
      <c r="N113" s="5" t="n">
        <v>0.2312886926426385</v>
      </c>
      <c r="O113" s="5" t="n">
        <v>0.4128232474368506</v>
      </c>
      <c r="P113" s="5" t="n">
        <v>0.5871767525631493</v>
      </c>
      <c r="Q113" s="2" t="n">
        <v>1</v>
      </c>
      <c r="R113" s="2" t="n">
        <v>0</v>
      </c>
      <c r="S113" s="3" t="inlineStr">
        <is>
          <t>[PASAR] Riesgo/Beneficio</t>
        </is>
      </c>
      <c r="T113" s="3" t="inlineStr">
        <is>
          <t>[PASAR] Sin Valor</t>
        </is>
      </c>
      <c r="U113" s="6" t="n">
        <v>0</v>
      </c>
      <c r="V113" s="6" t="n">
        <v>0</v>
      </c>
      <c r="W113" s="3">
        <f>IF(L113="","",IF((MAX(L113,M113,N113)-MEDIAN(L113,M113,N113))&gt;0.05,IF(OR(Q113="",R113=""),"[PREDICCION] "&amp;IF(L113=MAX(L113,M113,N113),"LOCAL",IF(M113=MAX(L113,M113,N113),"EMPATE","VISITA")),IF(L113=MAX(L113,M113,N113),IF(Q113&gt;R113,"[ACIERTO]","[FALLO]"),IF(M113=MAX(L113,M113,N113),IF(Q113=R113,"[ACIERTO]","[FALLO]"),IF(Q113&lt;R113,"[ACIERTO]","[FALLO]")))),"[PASAR] Margen Insuf"))</f>
        <v/>
      </c>
      <c r="X113" s="6">
        <f>IFERROR(IF(U113=0,0,IF(ISNUMBER(SEARCH("[GANADA]",S113)),U113*(IF(ISNUMBER(SEARCH("LOCAL",S113)),F113,IF(ISNUMBER(SEARCH("EMPATE",S113)),G113,H113))-1),IF(ISNUMBER(SEARCH("[PERDIDA]",S113)),-U113,0))),0)+IFERROR(IF(V113=0,0,IF(ISNUMBER(SEARCH("[GANADA]",T113)),V113*(IF(ISNUMBER(SEARCH("OVER",T113)),I113,J113)-1),IF(ISNUMBER(SEARCH("[PERDIDA]",T113)),-V113,0))),0)</f>
        <v/>
      </c>
      <c r="Y113" s="6">
        <f>Y112+X113</f>
        <v/>
      </c>
      <c r="Z113" s="7">
        <f>IF(OR(Q113="",R113=""),"",(L113-IF(Q113&gt;R113,1,0))^2+(M113-IF(Q113=R113,1,0))^2+(N113-IF(Q113&lt;R113,1,0))^2)</f>
        <v/>
      </c>
      <c r="AA113" s="9" t="n">
        <v>0.6281</v>
      </c>
      <c r="AB113" s="2" t="inlineStr">
        <is>
          <t>NO</t>
        </is>
      </c>
    </row>
    <row r="114">
      <c r="A114" s="2" t="inlineStr">
        <is>
          <t>23/03/2026</t>
        </is>
      </c>
      <c r="B114" s="3" t="inlineStr">
        <is>
          <t>2026-03-23estudiantesdelaplatacentralcordobasantiagodelestero</t>
        </is>
      </c>
      <c r="C114" s="3" t="inlineStr">
        <is>
          <t>Estudiantes de la Plata vs Central Córdoba (santiago del Estero)</t>
        </is>
      </c>
      <c r="D114" s="3" t="inlineStr">
        <is>
          <t>Estudiantes de la Plata</t>
        </is>
      </c>
      <c r="E114" s="3" t="inlineStr">
        <is>
          <t>Central Córdoba (santiago del Estero)</t>
        </is>
      </c>
      <c r="F114" s="4" t="n">
        <v>1.56</v>
      </c>
      <c r="G114" s="4" t="n">
        <v>4.05</v>
      </c>
      <c r="H114" s="4" t="n">
        <v>7.4</v>
      </c>
      <c r="I114" s="4" t="n">
        <v>2.52</v>
      </c>
      <c r="J114" s="4" t="n">
        <v>1.55</v>
      </c>
      <c r="K114" s="2" t="inlineStr">
        <is>
          <t>Argentina</t>
        </is>
      </c>
      <c r="L114" s="5" t="n">
        <v>0.5733529924655201</v>
      </c>
      <c r="M114" s="5" t="n">
        <v>0.2545191249563157</v>
      </c>
      <c r="N114" s="5" t="n">
        <v>0.1721278825781642</v>
      </c>
      <c r="O114" s="5" t="n">
        <v>0.4463974102627131</v>
      </c>
      <c r="P114" s="5" t="n">
        <v>0.5536025897372868</v>
      </c>
      <c r="Q114" s="2" t="n">
        <v>5</v>
      </c>
      <c r="R114" s="2" t="n">
        <v>0</v>
      </c>
      <c r="S114" s="3" t="inlineStr">
        <is>
          <t>[PASAR] Riesgo/Beneficio</t>
        </is>
      </c>
      <c r="T114" s="3" t="inlineStr">
        <is>
          <t>[PASAR] Margen Predictivo O/U Insuficiente (&lt;15%)</t>
        </is>
      </c>
      <c r="U114" s="6" t="n">
        <v>0</v>
      </c>
      <c r="V114" s="6" t="n">
        <v>0</v>
      </c>
      <c r="W114" s="3">
        <f>IF(L114="","",IF((MAX(L114,M114,N114)-MEDIAN(L114,M114,N114))&gt;0.05,IF(OR(Q114="",R114=""),"[PREDICCION] "&amp;IF(L114=MAX(L114,M114,N114),"LOCAL",IF(M114=MAX(L114,M114,N114),"EMPATE","VISITA")),IF(L114=MAX(L114,M114,N114),IF(Q114&gt;R114,"[ACIERTO]","[FALLO]"),IF(M114=MAX(L114,M114,N114),IF(Q114=R114,"[ACIERTO]","[FALLO]"),IF(Q114&lt;R114,"[ACIERTO]","[FALLO]")))),"[PASAR] Margen Insuf"))</f>
        <v/>
      </c>
      <c r="X114" s="6">
        <f>IFERROR(IF(U114=0,0,IF(ISNUMBER(SEARCH("[GANADA]",S114)),U114*(IF(ISNUMBER(SEARCH("LOCAL",S114)),F114,IF(ISNUMBER(SEARCH("EMPATE",S114)),G114,H114))-1),IF(ISNUMBER(SEARCH("[PERDIDA]",S114)),-U114,0))),0)+IFERROR(IF(V114=0,0,IF(ISNUMBER(SEARCH("[GANADA]",T114)),V114*(IF(ISNUMBER(SEARCH("OVER",T114)),I114,J114)-1),IF(ISNUMBER(SEARCH("[PERDIDA]",T114)),-V114,0))),0)</f>
        <v/>
      </c>
      <c r="Y114" s="6">
        <f>Y113+X114</f>
        <v/>
      </c>
      <c r="Z114" s="7">
        <f>IF(OR(Q114="",R114=""),"",(L114-IF(Q114&gt;R114,1,0))^2+(M114-IF(Q114=R114,1,0))^2+(N114-IF(Q114&lt;R114,1,0))^2)</f>
        <v/>
      </c>
      <c r="AA114" s="9" t="n">
        <v>0.9419</v>
      </c>
      <c r="AB114" s="2" t="inlineStr">
        <is>
          <t>NO</t>
        </is>
      </c>
    </row>
    <row r="115">
      <c r="A115" s="2" t="inlineStr">
        <is>
          <t>23/03/2026</t>
        </is>
      </c>
      <c r="B115" s="3" t="inlineStr">
        <is>
          <t>2026-03-23independienterivadaviarosariocentral</t>
        </is>
      </c>
      <c r="C115" s="3" t="inlineStr">
        <is>
          <t>Independiente Rivadavia vs Rosario Central</t>
        </is>
      </c>
      <c r="D115" s="3" t="inlineStr">
        <is>
          <t>Independiente Rivadavia</t>
        </is>
      </c>
      <c r="E115" s="3" t="inlineStr">
        <is>
          <t>Rosario Central</t>
        </is>
      </c>
      <c r="F115" s="4" t="n">
        <v>2.75</v>
      </c>
      <c r="G115" s="4" t="n">
        <v>3.1</v>
      </c>
      <c r="H115" s="4" t="n">
        <v>3.25</v>
      </c>
      <c r="I115" s="4" t="n">
        <v>2.42</v>
      </c>
      <c r="J115" s="4" t="n">
        <v>1.55</v>
      </c>
      <c r="K115" s="2" t="inlineStr">
        <is>
          <t>Argentina</t>
        </is>
      </c>
      <c r="L115" s="5" t="n">
        <v>0.3573488484815351</v>
      </c>
      <c r="M115" s="5" t="n">
        <v>0.2843480579465902</v>
      </c>
      <c r="N115" s="5" t="n">
        <v>0.3583030935718746</v>
      </c>
      <c r="O115" s="5" t="n">
        <v>0.4546459849409152</v>
      </c>
      <c r="P115" s="5" t="n">
        <v>0.5453540150590849</v>
      </c>
      <c r="Q115" s="2" t="n">
        <v>2</v>
      </c>
      <c r="R115" s="2" t="n">
        <v>0</v>
      </c>
      <c r="S115" s="3" t="inlineStr">
        <is>
          <t>[PASAR] Margen Predictivo Insuficiente (&lt;5%)</t>
        </is>
      </c>
      <c r="T115" s="3" t="inlineStr">
        <is>
          <t>[PASAR] Margen Predictivo O/U Insuficiente (&lt;15%)</t>
        </is>
      </c>
      <c r="U115" s="6" t="n">
        <v>0</v>
      </c>
      <c r="V115" s="6" t="n">
        <v>0</v>
      </c>
      <c r="W115" s="3">
        <f>IF(L115="","",IF((MAX(L115,M115,N115)-MEDIAN(L115,M115,N115))&gt;0.05,IF(OR(Q115="",R115=""),"[PREDICCION] "&amp;IF(L115=MAX(L115,M115,N115),"LOCAL",IF(M115=MAX(L115,M115,N115),"EMPATE","VISITA")),IF(L115=MAX(L115,M115,N115),IF(Q115&gt;R115,"[ACIERTO]","[FALLO]"),IF(M115=MAX(L115,M115,N115),IF(Q115=R115,"[ACIERTO]","[FALLO]"),IF(Q115&lt;R115,"[ACIERTO]","[FALLO]")))),"[PASAR] Margen Insuf"))</f>
        <v/>
      </c>
      <c r="X115" s="6">
        <f>IFERROR(IF(U115=0,0,IF(ISNUMBER(SEARCH("[GANADA]",S115)),U115*(IF(ISNUMBER(SEARCH("LOCAL",S115)),F115,IF(ISNUMBER(SEARCH("EMPATE",S115)),G115,H115))-1),IF(ISNUMBER(SEARCH("[PERDIDA]",S115)),-U115,0))),0)+IFERROR(IF(V115=0,0,IF(ISNUMBER(SEARCH("[GANADA]",T115)),V115*(IF(ISNUMBER(SEARCH("OVER",T115)),I115,J115)-1),IF(ISNUMBER(SEARCH("[PERDIDA]",T115)),-V115,0))),0)</f>
        <v/>
      </c>
      <c r="Y115" s="6">
        <f>Y114+X115</f>
        <v/>
      </c>
      <c r="Z115" s="7">
        <f>IF(OR(Q115="",R115=""),"",(L115-IF(Q115&gt;R115,1,0))^2+(M115-IF(Q115=R115,1,0))^2+(N115-IF(Q115&lt;R115,1,0))^2)</f>
        <v/>
      </c>
      <c r="AA115" s="9" t="n">
        <v>0.5954</v>
      </c>
      <c r="AB115" s="2" t="inlineStr">
        <is>
          <t>NO</t>
        </is>
      </c>
    </row>
    <row r="116">
      <c r="A116" s="2" t="inlineStr">
        <is>
          <t>24/03/2026</t>
        </is>
      </c>
      <c r="B116" s="3" t="inlineStr">
        <is>
          <t>2026-03-24huracanbarracascentral</t>
        </is>
      </c>
      <c r="C116" s="3" t="inlineStr">
        <is>
          <t>Huracán vs Barracas Central</t>
        </is>
      </c>
      <c r="D116" s="3" t="inlineStr">
        <is>
          <t>Huracán</t>
        </is>
      </c>
      <c r="E116" s="3" t="inlineStr">
        <is>
          <t>Barracas Central</t>
        </is>
      </c>
      <c r="F116" s="4" t="n">
        <v>1.83</v>
      </c>
      <c r="G116" s="4" t="n">
        <v>3.18</v>
      </c>
      <c r="H116" s="4" t="n">
        <v>5.9</v>
      </c>
      <c r="I116" s="4" t="n">
        <v>3.05</v>
      </c>
      <c r="J116" s="4" t="n">
        <v>1.37</v>
      </c>
      <c r="K116" s="2" t="inlineStr">
        <is>
          <t>Argentina</t>
        </is>
      </c>
      <c r="L116" s="5" t="n">
        <v>0.4392440867432836</v>
      </c>
      <c r="M116" s="5" t="n">
        <v>0.2953493381936027</v>
      </c>
      <c r="N116" s="5" t="n">
        <v>0.2654065750631137</v>
      </c>
      <c r="O116" s="5" t="n">
        <v>0.3922601733778666</v>
      </c>
      <c r="P116" s="5" t="n">
        <v>0.6077398266221333</v>
      </c>
      <c r="Q116" s="2" t="n">
        <v>0</v>
      </c>
      <c r="R116" s="2" t="n">
        <v>0</v>
      </c>
      <c r="S116" s="3" t="inlineStr">
        <is>
          <t>[PASAR] Riesgo/Beneficio</t>
        </is>
      </c>
      <c r="T116" s="3" t="inlineStr">
        <is>
          <t>[PASAR] Sin Valor</t>
        </is>
      </c>
      <c r="U116" s="6" t="n">
        <v>0</v>
      </c>
      <c r="V116" s="6" t="n">
        <v>0</v>
      </c>
      <c r="W116" s="3">
        <f>IF(L116="","",IF((MAX(L116,M116,N116)-MEDIAN(L116,M116,N116))&gt;0.05,IF(OR(Q116="",R116=""),"[PREDICCION] "&amp;IF(L116=MAX(L116,M116,N116),"LOCAL",IF(M116=MAX(L116,M116,N116),"EMPATE","VISITA")),IF(L116=MAX(L116,M116,N116),IF(Q116&gt;R116,"[ACIERTO]","[FALLO]"),IF(M116=MAX(L116,M116,N116),IF(Q116=R116,"[ACIERTO]","[FALLO]"),IF(Q116&lt;R116,"[ACIERTO]","[FALLO]")))),"[PASAR] Margen Insuf"))</f>
        <v/>
      </c>
      <c r="X116" s="6">
        <f>IFERROR(IF(U116=0,0,IF(ISNUMBER(SEARCH("[GANADA]",S116)),U116*(IF(ISNUMBER(SEARCH("LOCAL",S116)),F116,IF(ISNUMBER(SEARCH("EMPATE",S116)),G116,H116))-1),IF(ISNUMBER(SEARCH("[PERDIDA]",S116)),-U116,0))),0)+IFERROR(IF(V116=0,0,IF(ISNUMBER(SEARCH("[GANADA]",T116)),V116*(IF(ISNUMBER(SEARCH("OVER",T116)),I116,J116)-1),IF(ISNUMBER(SEARCH("[PERDIDA]",T116)),-V116,0))),0)</f>
        <v/>
      </c>
      <c r="Y116" s="6">
        <f>Y115+X116</f>
        <v/>
      </c>
      <c r="Z116" s="7">
        <f>IF(OR(Q116="",R116=""),"",(L116-IF(Q116&gt;R116,1,0))^2+(M116-IF(Q116=R116,1,0))^2+(N116-IF(Q116&lt;R116,1,0))^2)</f>
        <v/>
      </c>
      <c r="AA116" s="9" t="n">
        <v>0.6915</v>
      </c>
      <c r="AB116" s="2" t="inlineStr">
        <is>
          <t>NO</t>
        </is>
      </c>
    </row>
    <row r="117">
      <c r="A117" s="2" t="inlineStr">
        <is>
          <t>25/03/2026</t>
        </is>
      </c>
      <c r="B117" s="3" t="inlineStr">
        <is>
          <t>2026-03-25deportivoriestrasanlorenzo</t>
        </is>
      </c>
      <c r="C117" s="3" t="inlineStr">
        <is>
          <t>Deportivo Riestra vs San Lorenzo</t>
        </is>
      </c>
      <c r="D117" s="3" t="inlineStr">
        <is>
          <t>Deportivo Riestra</t>
        </is>
      </c>
      <c r="E117" s="3" t="inlineStr">
        <is>
          <t>San Lorenzo</t>
        </is>
      </c>
      <c r="F117" s="4" t="n">
        <v>2.55</v>
      </c>
      <c r="G117" s="4" t="n">
        <v>2.75</v>
      </c>
      <c r="H117" s="4" t="n">
        <v>3.66</v>
      </c>
      <c r="I117" s="4" t="n">
        <v>3.55</v>
      </c>
      <c r="J117" s="4" t="n">
        <v>1.29</v>
      </c>
      <c r="K117" s="2" t="inlineStr">
        <is>
          <t>Argentina</t>
        </is>
      </c>
      <c r="L117" s="5" t="n">
        <v>0.4094691656420323</v>
      </c>
      <c r="M117" s="5" t="n">
        <v>0.3142022266959207</v>
      </c>
      <c r="N117" s="5" t="n">
        <v>0.2763286076620469</v>
      </c>
      <c r="O117" s="5" t="n">
        <v>0.2976156163420789</v>
      </c>
      <c r="P117" s="5" t="n">
        <v>0.7023843836579211</v>
      </c>
      <c r="Q117" s="2" t="n">
        <v>1</v>
      </c>
      <c r="R117" s="2" t="n">
        <v>1</v>
      </c>
      <c r="S117" s="3" t="inlineStr">
        <is>
          <t>[PERDIDA] LOCAL</t>
        </is>
      </c>
      <c r="T117" s="3" t="inlineStr">
        <is>
          <t>[PASAR] Sin Valor</t>
        </is>
      </c>
      <c r="U117" s="6" t="n">
        <v>2500</v>
      </c>
      <c r="V117" s="6" t="n">
        <v>0</v>
      </c>
      <c r="W117" s="3">
        <f>IF(L117="","",IF((MAX(L117,M117,N117)-MEDIAN(L117,M117,N117))&gt;0.05,IF(OR(Q117="",R117=""),"[PREDICCION] "&amp;IF(L117=MAX(L117,M117,N117),"LOCAL",IF(M117=MAX(L117,M117,N117),"EMPATE","VISITA")),IF(L117=MAX(L117,M117,N117),IF(Q117&gt;R117,"[ACIERTO]","[FALLO]"),IF(M117=MAX(L117,M117,N117),IF(Q117=R117,"[ACIERTO]","[FALLO]"),IF(Q117&lt;R117,"[ACIERTO]","[FALLO]")))),"[PASAR] Margen Insuf"))</f>
        <v/>
      </c>
      <c r="X117" s="6">
        <f>IFERROR(IF(U117=0,0,IF(ISNUMBER(SEARCH("[GANADA]",S117)),U117*(IF(ISNUMBER(SEARCH("LOCAL",S117)),F117,IF(ISNUMBER(SEARCH("EMPATE",S117)),G117,H117))-1),IF(ISNUMBER(SEARCH("[PERDIDA]",S117)),-U117,0))),0)+IFERROR(IF(V117=0,0,IF(ISNUMBER(SEARCH("[GANADA]",T117)),V117*(IF(ISNUMBER(SEARCH("OVER",T117)),I117,J117)-1),IF(ISNUMBER(SEARCH("[PERDIDA]",T117)),-V117,0))),0)</f>
        <v/>
      </c>
      <c r="Y117" s="6">
        <f>Y116+X117</f>
        <v/>
      </c>
      <c r="Z117" s="7">
        <f>IF(OR(Q117="",R117=""),"",(L117-IF(Q117&gt;R117,1,0))^2+(M117-IF(Q117=R117,1,0))^2+(N117-IF(Q117&lt;R117,1,0))^2)</f>
        <v/>
      </c>
      <c r="AA117" s="8" t="n"/>
      <c r="AB117" s="2" t="inlineStr">
        <is>
          <t>NO</t>
        </is>
      </c>
    </row>
    <row r="118">
      <c r="A118" s="2" t="inlineStr">
        <is>
          <t>26/03/2026</t>
        </is>
      </c>
      <c r="B118" s="3" t="inlineStr">
        <is>
          <t>2026-03-26argentinosjuniorslanus</t>
        </is>
      </c>
      <c r="C118" s="3" t="inlineStr">
        <is>
          <t>Argentinos Juniors vs Lanus</t>
        </is>
      </c>
      <c r="D118" s="3" t="inlineStr">
        <is>
          <t>Argentinos Juniors</t>
        </is>
      </c>
      <c r="E118" s="3" t="inlineStr">
        <is>
          <t>Lanus</t>
        </is>
      </c>
      <c r="F118" s="4" t="n"/>
      <c r="G118" s="4" t="n"/>
      <c r="H118" s="4" t="n"/>
      <c r="I118" s="4" t="n"/>
      <c r="J118" s="4" t="n"/>
      <c r="K118" s="2" t="inlineStr">
        <is>
          <t>Argentina</t>
        </is>
      </c>
      <c r="L118" s="5" t="n">
        <v>0.4958938011102199</v>
      </c>
      <c r="M118" s="5" t="n">
        <v>0.2679207593102701</v>
      </c>
      <c r="N118" s="5" t="n">
        <v>0.23618543957951</v>
      </c>
      <c r="O118" s="5" t="n">
        <v>0.4152526267373821</v>
      </c>
      <c r="P118" s="5" t="n">
        <v>0.5847473732626179</v>
      </c>
      <c r="Q118" s="2" t="n">
        <v>2</v>
      </c>
      <c r="R118" s="2" t="n">
        <v>1</v>
      </c>
      <c r="S118" s="3" t="inlineStr">
        <is>
          <t>[PASAR] Sin Cuotas</t>
        </is>
      </c>
      <c r="T118" s="3" t="inlineStr">
        <is>
          <t>[PASAR] Sin Cuotas</t>
        </is>
      </c>
      <c r="U118" s="6" t="n">
        <v>0</v>
      </c>
      <c r="V118" s="6" t="n">
        <v>0</v>
      </c>
      <c r="W118" s="3">
        <f>IF(L118="","",IF((MAX(L118,M118,N118)-MEDIAN(L118,M118,N118))&gt;0.05,IF(OR(Q118="",R118=""),"[PREDICCION] "&amp;IF(L118=MAX(L118,M118,N118),"LOCAL",IF(M118=MAX(L118,M118,N118),"EMPATE","VISITA")),IF(L118=MAX(L118,M118,N118),IF(Q118&gt;R118,"[ACIERTO]","[FALLO]"),IF(M118=MAX(L118,M118,N118),IF(Q118=R118,"[ACIERTO]","[FALLO]"),IF(Q118&lt;R118,"[ACIERTO]","[FALLO]")))),"[PASAR] Margen Insuf"))</f>
        <v/>
      </c>
      <c r="X118" s="6">
        <f>IFERROR(IF(U118=0,0,IF(ISNUMBER(SEARCH("[GANADA]",S118)),U118*(IF(ISNUMBER(SEARCH("LOCAL",S118)),F118,IF(ISNUMBER(SEARCH("EMPATE",S118)),G118,H118))-1),IF(ISNUMBER(SEARCH("[PERDIDA]",S118)),-U118,0))),0)+IFERROR(IF(V118=0,0,IF(ISNUMBER(SEARCH("[GANADA]",T118)),V118*(IF(ISNUMBER(SEARCH("OVER",T118)),I118,J118)-1),IF(ISNUMBER(SEARCH("[PERDIDA]",T118)),-V118,0))),0)</f>
        <v/>
      </c>
      <c r="Y118" s="6">
        <f>Y117+X118</f>
        <v/>
      </c>
      <c r="Z118" s="7">
        <f>IF(OR(Q118="",R118=""),"",(L118-IF(Q118&gt;R118,1,0))^2+(M118-IF(Q118=R118,1,0))^2+(N118-IF(Q118&lt;R118,1,0))^2)</f>
        <v/>
      </c>
      <c r="AA118" s="8" t="n"/>
      <c r="AB118" s="2" t="inlineStr">
        <is>
          <t>NO</t>
        </is>
      </c>
    </row>
    <row r="119">
      <c r="A119" s="2" t="inlineStr">
        <is>
          <t>29/03/2026</t>
        </is>
      </c>
      <c r="B119" s="3" t="inlineStr">
        <is>
          <t>2026-03-29athleticoparanaensebotafogo</t>
        </is>
      </c>
      <c r="C119" s="3" t="inlineStr">
        <is>
          <t>Athletico Paranaense vs Botafogo</t>
        </is>
      </c>
      <c r="D119" s="3" t="inlineStr">
        <is>
          <t>Athletico Paranaense</t>
        </is>
      </c>
      <c r="E119" s="3" t="inlineStr">
        <is>
          <t>Botafogo</t>
        </is>
      </c>
      <c r="F119" s="4" t="n">
        <v>2</v>
      </c>
      <c r="G119" s="4" t="n">
        <v>3.38</v>
      </c>
      <c r="H119" s="4" t="n">
        <v>4.1</v>
      </c>
      <c r="I119" s="4" t="n"/>
      <c r="J119" s="4" t="n"/>
      <c r="K119" s="2" t="inlineStr">
        <is>
          <t>Brasil</t>
        </is>
      </c>
      <c r="L119" s="5" t="n">
        <v>0.4792198934747284</v>
      </c>
      <c r="M119" s="5" t="n">
        <v>0.2503404114630621</v>
      </c>
      <c r="N119" s="5" t="n">
        <v>0.2704396950622094</v>
      </c>
      <c r="O119" s="5" t="n">
        <v>0.5068581021814974</v>
      </c>
      <c r="P119" s="5" t="n">
        <v>0.4931418978185027</v>
      </c>
      <c r="Q119" s="2" t="n">
        <v>4</v>
      </c>
      <c r="R119" s="2" t="n">
        <v>1</v>
      </c>
      <c r="S119" s="3" t="inlineStr">
        <is>
          <t>[PERDIDA] VISITA</t>
        </is>
      </c>
      <c r="T119" s="3" t="inlineStr">
        <is>
          <t>[PASAR] Sin Cuotas</t>
        </is>
      </c>
      <c r="U119" s="6" t="n">
        <v>2500</v>
      </c>
      <c r="V119" s="6" t="n">
        <v>0</v>
      </c>
      <c r="W119" s="3">
        <f>IF(L119="","",IF((MAX(L119,M119,N119)-MEDIAN(L119,M119,N119))&gt;0.05,IF(OR(Q119="",R119=""),"[PREDICCION] "&amp;IF(L119=MAX(L119,M119,N119),"LOCAL",IF(M119=MAX(L119,M119,N119),"EMPATE","VISITA")),IF(L119=MAX(L119,M119,N119),IF(Q119&gt;R119,"[ACIERTO]","[FALLO]"),IF(M119=MAX(L119,M119,N119),IF(Q119=R119,"[ACIERTO]","[FALLO]"),IF(Q119&lt;R119,"[ACIERTO]","[FALLO]")))),"[PASAR] Margen Insuf"))</f>
        <v/>
      </c>
      <c r="X119" s="6">
        <f>IFERROR(IF(U119=0,0,IF(ISNUMBER(SEARCH("[GANADA]",S119)),U119*(IF(ISNUMBER(SEARCH("LOCAL",S119)),F119,IF(ISNUMBER(SEARCH("EMPATE",S119)),G119,H119))-1),IF(ISNUMBER(SEARCH("[PERDIDA]",S119)),-U119,0))),0)+IFERROR(IF(V119=0,0,IF(ISNUMBER(SEARCH("[GANADA]",T119)),V119*(IF(ISNUMBER(SEARCH("OVER",T119)),I119,J119)-1),IF(ISNUMBER(SEARCH("[PERDIDA]",T119)),-V119,0))),0)</f>
        <v/>
      </c>
      <c r="Y119" s="6">
        <f>Y118+X119</f>
        <v/>
      </c>
      <c r="Z119" s="7">
        <f>IF(OR(Q119="",R119=""),"",(L119-IF(Q119&gt;R119,1,0))^2+(M119-IF(Q119=R119,1,0))^2+(N119-IF(Q119&lt;R119,1,0))^2)</f>
        <v/>
      </c>
      <c r="AA119" s="8" t="n"/>
      <c r="AB119" s="2" t="inlineStr">
        <is>
          <t>NO</t>
        </is>
      </c>
    </row>
    <row r="120">
      <c r="A120" s="2" t="inlineStr">
        <is>
          <t>31/03/2026</t>
        </is>
      </c>
      <c r="B120" s="3" t="inlineStr">
        <is>
          <t>2026-03-31aldosiviargentinosjuniors</t>
        </is>
      </c>
      <c r="C120" s="3" t="inlineStr">
        <is>
          <t>Aldosivi vs Argentinos Juniors</t>
        </is>
      </c>
      <c r="D120" s="3" t="inlineStr">
        <is>
          <t>Aldosivi</t>
        </is>
      </c>
      <c r="E120" s="3" t="inlineStr">
        <is>
          <t>Argentinos Juniors</t>
        </is>
      </c>
      <c r="F120" s="4" t="n">
        <v>4.68</v>
      </c>
      <c r="G120" s="4" t="n">
        <v>3.12</v>
      </c>
      <c r="H120" s="4" t="n">
        <v>1.97</v>
      </c>
      <c r="I120" s="4" t="n">
        <v>2.38</v>
      </c>
      <c r="J120" s="4" t="n">
        <v>1.56</v>
      </c>
      <c r="K120" s="2" t="inlineStr">
        <is>
          <t>Argentina</t>
        </is>
      </c>
      <c r="L120" s="5" t="n">
        <v>0.3592167536462595</v>
      </c>
      <c r="M120" s="5" t="n">
        <v>0.2850352364071356</v>
      </c>
      <c r="N120" s="5" t="n">
        <v>0.3557480099466048</v>
      </c>
      <c r="O120" s="5" t="n">
        <v>0.3991510715073303</v>
      </c>
      <c r="P120" s="5" t="n">
        <v>0.6008489284926697</v>
      </c>
      <c r="Q120" s="2" t="n">
        <v>0</v>
      </c>
      <c r="R120" s="2" t="n">
        <v>2</v>
      </c>
      <c r="S120" s="3" t="inlineStr">
        <is>
          <t>[PASAR] Margen Predictivo Insuficiente (&lt;5%)</t>
        </is>
      </c>
      <c r="T120" s="3" t="inlineStr">
        <is>
          <t>[PASAR] Sin Valor</t>
        </is>
      </c>
      <c r="U120" s="6" t="n">
        <v>0</v>
      </c>
      <c r="V120" s="6" t="n">
        <v>0</v>
      </c>
      <c r="W120" s="3">
        <f>IF(L120="","",IF((MAX(L120,M120,N120)-MEDIAN(L120,M120,N120))&gt;0.05,IF(OR(Q120="",R120=""),"[PREDICCION] "&amp;IF(L120=MAX(L120,M120,N120),"LOCAL",IF(M120=MAX(L120,M120,N120),"EMPATE","VISITA")),IF(L120=MAX(L120,M120,N120),IF(Q120&gt;R120,"[ACIERTO]","[FALLO]"),IF(M120=MAX(L120,M120,N120),IF(Q120=R120,"[ACIERTO]","[FALLO]"),IF(Q120&lt;R120,"[ACIERTO]","[FALLO]")))),"[PASAR] Margen Insuf"))</f>
        <v/>
      </c>
      <c r="X120" s="6">
        <f>IFERROR(IF(U120=0,0,IF(ISNUMBER(SEARCH("[GANADA]",S120)),U120*(IF(ISNUMBER(SEARCH("LOCAL",S120)),F120,IF(ISNUMBER(SEARCH("EMPATE",S120)),G120,H120))-1),IF(ISNUMBER(SEARCH("[PERDIDA]",S120)),-U120,0))),0)+IFERROR(IF(V120=0,0,IF(ISNUMBER(SEARCH("[GANADA]",T120)),V120*(IF(ISNUMBER(SEARCH("OVER",T120)),I120,J120)-1),IF(ISNUMBER(SEARCH("[PERDIDA]",T120)),-V120,0))),0)</f>
        <v/>
      </c>
      <c r="Y120" s="6">
        <f>Y119+X120</f>
        <v/>
      </c>
      <c r="Z120" s="7">
        <f>IF(OR(Q120="",R120=""),"",(L120-IF(Q120&gt;R120,1,0))^2+(M120-IF(Q120=R120,1,0))^2+(N120-IF(Q120&lt;R120,1,0))^2)</f>
        <v/>
      </c>
      <c r="AA120" s="8" t="n"/>
      <c r="AB120" s="2" t="inlineStr">
        <is>
          <t>NO</t>
        </is>
      </c>
    </row>
  </sheetData>
  <autoFilter ref="A1:AB1"/>
  <conditionalFormatting sqref="S2:T120">
    <cfRule type="expression" priority="1" dxfId="0">
      <formula>ISNUMBER(SEARCH("[GANADA]",S2))</formula>
    </cfRule>
    <cfRule type="expression" priority="2" dxfId="1">
      <formula>ISNUMBER(SEARCH("[PERDIDA]",S2))</formula>
    </cfRule>
    <cfRule type="expression" priority="3" dxfId="2">
      <formula>ISNUMBER(SEARCH("[APOSTAR]",S2))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</cols>
  <sheetData>
    <row r="1">
      <c r="A1" s="10" t="inlineStr">
        <is>
          <t>Liga</t>
        </is>
      </c>
      <c r="B1" s="10" t="inlineStr">
        <is>
          <t>Apuestas</t>
        </is>
      </c>
      <c r="C1" s="10" t="inlineStr">
        <is>
          <t>Ganadas</t>
        </is>
      </c>
      <c r="D1" s="10" t="inlineStr">
        <is>
          <t>Perdidas</t>
        </is>
      </c>
      <c r="E1" s="10" t="inlineStr">
        <is>
          <t>% Acierto</t>
        </is>
      </c>
      <c r="F1" s="10" t="inlineStr">
        <is>
          <t>P/L Neto</t>
        </is>
      </c>
      <c r="G1" s="10" t="inlineStr">
        <is>
          <t>Yield</t>
        </is>
      </c>
      <c r="H1" s="10" t="inlineStr">
        <is>
          <t>Volumen</t>
        </is>
      </c>
    </row>
    <row r="2">
      <c r="A2" s="11" t="inlineStr">
        <is>
          <t>Argentina</t>
        </is>
      </c>
      <c r="B2" s="11" t="n">
        <v>2</v>
      </c>
      <c r="C2" s="11" t="n">
        <v>0</v>
      </c>
      <c r="D2" s="11" t="n">
        <v>2</v>
      </c>
      <c r="E2" s="12" t="n">
        <v>0</v>
      </c>
      <c r="F2" s="13" t="n">
        <v>-5000</v>
      </c>
      <c r="G2" s="12" t="n">
        <v>-1</v>
      </c>
      <c r="H2" s="13" t="n">
        <v>5000</v>
      </c>
    </row>
    <row r="3">
      <c r="A3" s="11" t="inlineStr">
        <is>
          <t>Brasil</t>
        </is>
      </c>
      <c r="B3" s="11" t="n">
        <v>5</v>
      </c>
      <c r="C3" s="11" t="n">
        <v>2</v>
      </c>
      <c r="D3" s="11" t="n">
        <v>3</v>
      </c>
      <c r="E3" s="12" t="n">
        <v>0.4</v>
      </c>
      <c r="F3" s="13" t="n">
        <v>1337.5</v>
      </c>
      <c r="G3" s="12" t="n">
        <v>0.1783333333333332</v>
      </c>
      <c r="H3" s="13" t="n">
        <v>7500</v>
      </c>
    </row>
    <row r="4">
      <c r="A4" s="11" t="inlineStr">
        <is>
          <t>Inglaterra</t>
        </is>
      </c>
      <c r="B4" s="11" t="n">
        <v>0</v>
      </c>
      <c r="C4" s="11" t="n">
        <v>0</v>
      </c>
      <c r="D4" s="11" t="n">
        <v>0</v>
      </c>
      <c r="E4" s="12" t="n">
        <v>0</v>
      </c>
      <c r="F4" s="13" t="n">
        <v>0</v>
      </c>
      <c r="G4" s="12" t="n">
        <v>0</v>
      </c>
      <c r="H4" s="13" t="n">
        <v>0</v>
      </c>
    </row>
    <row r="5">
      <c r="A5" s="11" t="inlineStr">
        <is>
          <t>Noruega</t>
        </is>
      </c>
      <c r="B5" s="11" t="n">
        <v>0</v>
      </c>
      <c r="C5" s="11" t="n">
        <v>0</v>
      </c>
      <c r="D5" s="11" t="n">
        <v>0</v>
      </c>
      <c r="E5" s="12" t="n">
        <v>0</v>
      </c>
      <c r="F5" s="13" t="n">
        <v>0</v>
      </c>
      <c r="G5" s="12" t="n">
        <v>0</v>
      </c>
      <c r="H5" s="13" t="n">
        <v>0</v>
      </c>
    </row>
    <row r="6">
      <c r="A6" s="11" t="inlineStr">
        <is>
          <t>Turquia</t>
        </is>
      </c>
      <c r="B6" s="11" t="n">
        <v>0</v>
      </c>
      <c r="C6" s="11" t="n">
        <v>0</v>
      </c>
      <c r="D6" s="11" t="n">
        <v>0</v>
      </c>
      <c r="E6" s="12" t="n">
        <v>0</v>
      </c>
      <c r="F6" s="13" t="n">
        <v>0</v>
      </c>
      <c r="G6" s="12" t="n">
        <v>0</v>
      </c>
      <c r="H6" s="13" t="n">
        <v>0</v>
      </c>
    </row>
    <row r="7">
      <c r="A7" s="14" t="inlineStr">
        <is>
          <t>TOTAL</t>
        </is>
      </c>
      <c r="B7" s="14" t="n">
        <v>7</v>
      </c>
      <c r="C7" s="14" t="n">
        <v>2</v>
      </c>
      <c r="D7" s="14" t="n">
        <v>5</v>
      </c>
      <c r="E7" s="15" t="n">
        <v>0.2857142857142857</v>
      </c>
      <c r="F7" s="16" t="n">
        <v>-3662.5</v>
      </c>
      <c r="G7" s="15" t="n">
        <v>-0.2930000000000001</v>
      </c>
      <c r="H7" s="16" t="n">
        <v>12500</v>
      </c>
    </row>
    <row r="9">
      <c r="A9" s="17" t="inlineStr">
        <is>
          <t>Generado: 02/04/2026 13:11</t>
        </is>
      </c>
    </row>
    <row r="10">
      <c r="A10" s="17" t="inlineStr">
        <is>
          <t>Bankroll base: $100,000.00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2026-04-02T16:11:49Z</dcterms:created>
  <dcterms:modified xmlns:dcterms="http://purl.org/dc/terms/" xmlns:xsi="http://www.w3.org/2001/XMLSchema-instance" xsi:type="dcterms:W3CDTF">2026-04-02T16:11:49Z</dcterms:modified>
</cp:coreProperties>
</file>