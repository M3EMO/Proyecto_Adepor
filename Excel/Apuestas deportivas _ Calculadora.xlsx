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p12\Desktop\Proyecto_Adepor\Excel\"/>
    </mc:Choice>
  </mc:AlternateContent>
  <xr:revisionPtr revIDLastSave="0" documentId="13_ncr:1_{59AAD711-EB9E-4E05-9812-422D3566BC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cktest" sheetId="1" r:id="rId1"/>
    <sheet name="Registro" sheetId="2" r:id="rId2"/>
    <sheet name="Coeficien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 s="1"/>
  <c r="I4" i="2" s="1"/>
  <c r="I5" i="2" s="1"/>
  <c r="I6" i="2" s="1"/>
  <c r="I7" i="2" s="1"/>
  <c r="AA121" i="1"/>
  <c r="AA120" i="1"/>
  <c r="AB120" i="1" s="1"/>
  <c r="AA119" i="1"/>
  <c r="AB119" i="1" s="1"/>
  <c r="W118" i="1"/>
  <c r="V118" i="1"/>
  <c r="AA118" i="1" s="1"/>
  <c r="AB118" i="1" s="1"/>
  <c r="U118" i="1"/>
  <c r="V117" i="1"/>
  <c r="AA117" i="1" s="1"/>
  <c r="AB117" i="1" s="1"/>
  <c r="U117" i="1"/>
  <c r="W116" i="1"/>
  <c r="V116" i="1"/>
  <c r="AA116" i="1" s="1"/>
  <c r="AB116" i="1" s="1"/>
  <c r="U116" i="1"/>
  <c r="W115" i="1"/>
  <c r="V115" i="1"/>
  <c r="AA115" i="1" s="1"/>
  <c r="AB115" i="1" s="1"/>
  <c r="U115" i="1"/>
  <c r="W114" i="1"/>
  <c r="V114" i="1"/>
  <c r="AA114" i="1" s="1"/>
  <c r="AB114" i="1" s="1"/>
  <c r="U114" i="1"/>
  <c r="V113" i="1"/>
  <c r="AA113" i="1" s="1"/>
  <c r="AB113" i="1" s="1"/>
  <c r="U113" i="1"/>
  <c r="V112" i="1"/>
  <c r="AA112" i="1" s="1"/>
  <c r="AB112" i="1" s="1"/>
  <c r="U112" i="1"/>
  <c r="W111" i="1"/>
  <c r="V111" i="1"/>
  <c r="AA111" i="1" s="1"/>
  <c r="AB111" i="1" s="1"/>
  <c r="U111" i="1"/>
  <c r="V110" i="1"/>
  <c r="AA110" i="1" s="1"/>
  <c r="AB110" i="1" s="1"/>
  <c r="U110" i="1"/>
  <c r="AQ109" i="1"/>
  <c r="AO109" i="1"/>
  <c r="AN109" i="1"/>
  <c r="V109" i="1"/>
  <c r="AA109" i="1" s="1"/>
  <c r="AB109" i="1" s="1"/>
  <c r="U109" i="1"/>
  <c r="V108" i="1"/>
  <c r="AA108" i="1" s="1"/>
  <c r="AB108" i="1" s="1"/>
  <c r="U108" i="1"/>
  <c r="AQ107" i="1"/>
  <c r="AO107" i="1"/>
  <c r="AN107" i="1"/>
  <c r="V107" i="1"/>
  <c r="AA107" i="1" s="1"/>
  <c r="AB107" i="1" s="1"/>
  <c r="U107" i="1"/>
  <c r="AO106" i="1"/>
  <c r="V106" i="1"/>
  <c r="AA106" i="1" s="1"/>
  <c r="AB106" i="1" s="1"/>
  <c r="U106" i="1"/>
  <c r="V105" i="1"/>
  <c r="AA105" i="1" s="1"/>
  <c r="AB105" i="1" s="1"/>
  <c r="U105" i="1"/>
  <c r="V104" i="1"/>
  <c r="AA104" i="1" s="1"/>
  <c r="AB104" i="1" s="1"/>
  <c r="U104" i="1"/>
  <c r="AO103" i="1"/>
  <c r="V103" i="1"/>
  <c r="AA103" i="1" s="1"/>
  <c r="AB103" i="1" s="1"/>
  <c r="U103" i="1"/>
  <c r="AO102" i="1"/>
  <c r="V102" i="1"/>
  <c r="AA102" i="1" s="1"/>
  <c r="AB102" i="1" s="1"/>
  <c r="U102" i="1"/>
  <c r="W101" i="1"/>
  <c r="V101" i="1"/>
  <c r="AA101" i="1" s="1"/>
  <c r="AB101" i="1" s="1"/>
  <c r="U101" i="1"/>
  <c r="V100" i="1"/>
  <c r="AA100" i="1" s="1"/>
  <c r="AB100" i="1" s="1"/>
  <c r="U100" i="1"/>
  <c r="V99" i="1"/>
  <c r="AA99" i="1" s="1"/>
  <c r="AB99" i="1" s="1"/>
  <c r="U99" i="1"/>
  <c r="AO98" i="1"/>
  <c r="V98" i="1"/>
  <c r="AA98" i="1" s="1"/>
  <c r="AB98" i="1" s="1"/>
  <c r="U98" i="1"/>
  <c r="AO97" i="1"/>
  <c r="V97" i="1"/>
  <c r="AA97" i="1" s="1"/>
  <c r="AB97" i="1" s="1"/>
  <c r="U97" i="1"/>
  <c r="AO96" i="1"/>
  <c r="V96" i="1"/>
  <c r="AA96" i="1" s="1"/>
  <c r="AB96" i="1" s="1"/>
  <c r="U96" i="1"/>
  <c r="AO95" i="1"/>
  <c r="V95" i="1"/>
  <c r="AA95" i="1" s="1"/>
  <c r="AB95" i="1" s="1"/>
  <c r="U95" i="1"/>
  <c r="V94" i="1"/>
  <c r="AA94" i="1" s="1"/>
  <c r="AB94" i="1" s="1"/>
  <c r="U94" i="1"/>
  <c r="AO93" i="1"/>
  <c r="V93" i="1"/>
  <c r="AA93" i="1" s="1"/>
  <c r="AB93" i="1" s="1"/>
  <c r="U93" i="1"/>
  <c r="AQ92" i="1"/>
  <c r="AO92" i="1"/>
  <c r="V92" i="1"/>
  <c r="AA92" i="1" s="1"/>
  <c r="AB92" i="1" s="1"/>
  <c r="U92" i="1"/>
  <c r="AQ91" i="1"/>
  <c r="AO91" i="1"/>
  <c r="AN91" i="1"/>
  <c r="V91" i="1"/>
  <c r="AA91" i="1" s="1"/>
  <c r="AB91" i="1" s="1"/>
  <c r="U91" i="1"/>
  <c r="AQ90" i="1"/>
  <c r="AO90" i="1"/>
  <c r="AN90" i="1"/>
  <c r="V90" i="1"/>
  <c r="AA90" i="1" s="1"/>
  <c r="AB90" i="1" s="1"/>
  <c r="U90" i="1"/>
  <c r="AQ89" i="1"/>
  <c r="AO89" i="1"/>
  <c r="AN89" i="1"/>
  <c r="V89" i="1"/>
  <c r="AA89" i="1" s="1"/>
  <c r="AB89" i="1" s="1"/>
  <c r="U89" i="1"/>
  <c r="AQ88" i="1"/>
  <c r="AO88" i="1"/>
  <c r="AN88" i="1"/>
  <c r="V88" i="1"/>
  <c r="AA88" i="1" s="1"/>
  <c r="AB88" i="1" s="1"/>
  <c r="U88" i="1"/>
  <c r="AQ87" i="1"/>
  <c r="AO87" i="1"/>
  <c r="V87" i="1"/>
  <c r="AA87" i="1" s="1"/>
  <c r="AB87" i="1" s="1"/>
  <c r="U87" i="1"/>
  <c r="AQ86" i="1"/>
  <c r="AO86" i="1"/>
  <c r="AN86" i="1"/>
  <c r="W86" i="1"/>
  <c r="V86" i="1"/>
  <c r="AA86" i="1" s="1"/>
  <c r="AB86" i="1" s="1"/>
  <c r="U86" i="1"/>
  <c r="AQ85" i="1"/>
  <c r="AO85" i="1"/>
  <c r="AN85" i="1"/>
  <c r="W85" i="1"/>
  <c r="V85" i="1"/>
  <c r="AA85" i="1" s="1"/>
  <c r="AB85" i="1" s="1"/>
  <c r="U85" i="1"/>
  <c r="AQ84" i="1"/>
  <c r="AO84" i="1"/>
  <c r="AN84" i="1"/>
  <c r="V84" i="1"/>
  <c r="AA84" i="1" s="1"/>
  <c r="AB84" i="1" s="1"/>
  <c r="U84" i="1"/>
  <c r="AQ83" i="1"/>
  <c r="AO83" i="1"/>
  <c r="AN83" i="1"/>
  <c r="V83" i="1"/>
  <c r="AA83" i="1" s="1"/>
  <c r="AB83" i="1" s="1"/>
  <c r="U83" i="1"/>
  <c r="AQ82" i="1"/>
  <c r="AO82" i="1"/>
  <c r="AN82" i="1"/>
  <c r="AC82" i="1"/>
  <c r="AA82" i="1"/>
  <c r="AB82" i="1" s="1"/>
  <c r="V82" i="1"/>
  <c r="U82" i="1"/>
  <c r="AQ81" i="1"/>
  <c r="AO81" i="1"/>
  <c r="AN81" i="1"/>
  <c r="V81" i="1"/>
  <c r="AA81" i="1" s="1"/>
  <c r="AB81" i="1" s="1"/>
  <c r="U81" i="1"/>
  <c r="AQ80" i="1"/>
  <c r="AO80" i="1"/>
  <c r="AN80" i="1"/>
  <c r="AC80" i="1"/>
  <c r="W80" i="1"/>
  <c r="V80" i="1"/>
  <c r="AA80" i="1" s="1"/>
  <c r="AB80" i="1" s="1"/>
  <c r="U80" i="1"/>
  <c r="AQ79" i="1"/>
  <c r="AO79" i="1"/>
  <c r="AN79" i="1"/>
  <c r="AC79" i="1"/>
  <c r="V79" i="1"/>
  <c r="AA79" i="1" s="1"/>
  <c r="AB79" i="1" s="1"/>
  <c r="U79" i="1"/>
  <c r="AQ78" i="1"/>
  <c r="AO78" i="1"/>
  <c r="AN78" i="1"/>
  <c r="AC78" i="1"/>
  <c r="W78" i="1"/>
  <c r="V78" i="1"/>
  <c r="AA78" i="1" s="1"/>
  <c r="AB78" i="1" s="1"/>
  <c r="U78" i="1"/>
  <c r="AQ77" i="1"/>
  <c r="AO77" i="1"/>
  <c r="AN77" i="1"/>
  <c r="AC77" i="1"/>
  <c r="V77" i="1"/>
  <c r="AA77" i="1" s="1"/>
  <c r="AB77" i="1" s="1"/>
  <c r="U77" i="1"/>
  <c r="AQ76" i="1"/>
  <c r="AO76" i="1"/>
  <c r="AN76" i="1"/>
  <c r="AC76" i="1"/>
  <c r="V76" i="1"/>
  <c r="AA76" i="1" s="1"/>
  <c r="AB76" i="1" s="1"/>
  <c r="U76" i="1"/>
  <c r="AQ75" i="1"/>
  <c r="AO75" i="1"/>
  <c r="AN75" i="1"/>
  <c r="V75" i="1"/>
  <c r="AA75" i="1" s="1"/>
  <c r="AB75" i="1" s="1"/>
  <c r="U75" i="1"/>
  <c r="AQ74" i="1"/>
  <c r="AO74" i="1"/>
  <c r="AN74" i="1"/>
  <c r="AC74" i="1"/>
  <c r="W74" i="1"/>
  <c r="V74" i="1"/>
  <c r="AA74" i="1" s="1"/>
  <c r="AB74" i="1" s="1"/>
  <c r="U74" i="1"/>
  <c r="AQ73" i="1"/>
  <c r="AO73" i="1"/>
  <c r="AN73" i="1"/>
  <c r="AC73" i="1"/>
  <c r="W73" i="1"/>
  <c r="V73" i="1"/>
  <c r="AA73" i="1" s="1"/>
  <c r="AB73" i="1" s="1"/>
  <c r="U73" i="1"/>
  <c r="AQ72" i="1"/>
  <c r="AO72" i="1"/>
  <c r="AN72" i="1"/>
  <c r="AC72" i="1"/>
  <c r="W72" i="1"/>
  <c r="V72" i="1"/>
  <c r="AA72" i="1" s="1"/>
  <c r="AB72" i="1" s="1"/>
  <c r="U72" i="1"/>
  <c r="AQ71" i="1"/>
  <c r="AO71" i="1"/>
  <c r="AN71" i="1"/>
  <c r="AC71" i="1"/>
  <c r="W71" i="1"/>
  <c r="V71" i="1"/>
  <c r="AA71" i="1" s="1"/>
  <c r="AB71" i="1" s="1"/>
  <c r="U71" i="1"/>
  <c r="AQ70" i="1"/>
  <c r="AO70" i="1"/>
  <c r="AN70" i="1"/>
  <c r="AC70" i="1"/>
  <c r="V70" i="1"/>
  <c r="AA70" i="1" s="1"/>
  <c r="AB70" i="1" s="1"/>
  <c r="U70" i="1"/>
  <c r="AQ69" i="1"/>
  <c r="AO69" i="1"/>
  <c r="AN69" i="1"/>
  <c r="AC69" i="1"/>
  <c r="V69" i="1"/>
  <c r="AA69" i="1" s="1"/>
  <c r="AB69" i="1" s="1"/>
  <c r="U69" i="1"/>
  <c r="AQ68" i="1"/>
  <c r="AO68" i="1"/>
  <c r="AN68" i="1"/>
  <c r="AC68" i="1"/>
  <c r="W68" i="1"/>
  <c r="V68" i="1"/>
  <c r="AA68" i="1" s="1"/>
  <c r="AB68" i="1" s="1"/>
  <c r="U68" i="1"/>
  <c r="AQ67" i="1"/>
  <c r="AO67" i="1"/>
  <c r="AN67" i="1"/>
  <c r="AC67" i="1"/>
  <c r="W67" i="1"/>
  <c r="V67" i="1"/>
  <c r="AA67" i="1" s="1"/>
  <c r="AB67" i="1" s="1"/>
  <c r="U67" i="1"/>
  <c r="AQ66" i="1"/>
  <c r="AO66" i="1"/>
  <c r="AN66" i="1"/>
  <c r="AC66" i="1"/>
  <c r="W66" i="1"/>
  <c r="V66" i="1"/>
  <c r="AA66" i="1" s="1"/>
  <c r="AB66" i="1" s="1"/>
  <c r="U66" i="1"/>
  <c r="AQ65" i="1"/>
  <c r="AO65" i="1"/>
  <c r="AN65" i="1"/>
  <c r="AC65" i="1"/>
  <c r="V65" i="1"/>
  <c r="AA65" i="1" s="1"/>
  <c r="AB65" i="1" s="1"/>
  <c r="U65" i="1"/>
  <c r="AQ64" i="1"/>
  <c r="AO64" i="1"/>
  <c r="AN64" i="1"/>
  <c r="AC64" i="1"/>
  <c r="V64" i="1"/>
  <c r="AA64" i="1" s="1"/>
  <c r="AB64" i="1" s="1"/>
  <c r="U64" i="1"/>
  <c r="AQ63" i="1"/>
  <c r="AO63" i="1"/>
  <c r="AN63" i="1"/>
  <c r="AC63" i="1"/>
  <c r="V63" i="1"/>
  <c r="AA63" i="1" s="1"/>
  <c r="AB63" i="1" s="1"/>
  <c r="U63" i="1"/>
  <c r="AQ62" i="1"/>
  <c r="AO62" i="1"/>
  <c r="AN62" i="1"/>
  <c r="AC62" i="1"/>
  <c r="V62" i="1"/>
  <c r="AA62" i="1" s="1"/>
  <c r="AB62" i="1" s="1"/>
  <c r="U62" i="1"/>
  <c r="AQ61" i="1"/>
  <c r="AO61" i="1"/>
  <c r="AN61" i="1"/>
  <c r="AC61" i="1"/>
  <c r="V61" i="1"/>
  <c r="AA61" i="1" s="1"/>
  <c r="AB61" i="1" s="1"/>
  <c r="U61" i="1"/>
  <c r="AQ60" i="1"/>
  <c r="AO60" i="1"/>
  <c r="AN60" i="1"/>
  <c r="AC60" i="1"/>
  <c r="V60" i="1"/>
  <c r="AA60" i="1" s="1"/>
  <c r="AB60" i="1" s="1"/>
  <c r="U60" i="1"/>
  <c r="AQ59" i="1"/>
  <c r="AO59" i="1"/>
  <c r="AN59" i="1"/>
  <c r="AC59" i="1"/>
  <c r="V59" i="1"/>
  <c r="AA59" i="1" s="1"/>
  <c r="AB59" i="1" s="1"/>
  <c r="U59" i="1"/>
  <c r="AQ58" i="1"/>
  <c r="AO58" i="1"/>
  <c r="AN58" i="1"/>
  <c r="AC58" i="1"/>
  <c r="V58" i="1"/>
  <c r="AA58" i="1" s="1"/>
  <c r="AB58" i="1" s="1"/>
  <c r="U58" i="1"/>
  <c r="AQ57" i="1"/>
  <c r="AO57" i="1"/>
  <c r="AN57" i="1"/>
  <c r="AC57" i="1"/>
  <c r="W57" i="1"/>
  <c r="V57" i="1"/>
  <c r="AA57" i="1" s="1"/>
  <c r="AB57" i="1" s="1"/>
  <c r="U57" i="1"/>
  <c r="AQ56" i="1"/>
  <c r="AO56" i="1"/>
  <c r="AN56" i="1"/>
  <c r="AC56" i="1"/>
  <c r="W56" i="1"/>
  <c r="V56" i="1"/>
  <c r="AA56" i="1" s="1"/>
  <c r="AB56" i="1" s="1"/>
  <c r="U56" i="1"/>
  <c r="AQ55" i="1"/>
  <c r="AO55" i="1"/>
  <c r="AN55" i="1"/>
  <c r="AC55" i="1"/>
  <c r="W55" i="1"/>
  <c r="V55" i="1"/>
  <c r="AA55" i="1" s="1"/>
  <c r="AB55" i="1" s="1"/>
  <c r="U55" i="1"/>
  <c r="AQ54" i="1"/>
  <c r="AO54" i="1"/>
  <c r="AN54" i="1"/>
  <c r="AC54" i="1"/>
  <c r="W54" i="1"/>
  <c r="V54" i="1"/>
  <c r="AA54" i="1" s="1"/>
  <c r="AB54" i="1" s="1"/>
  <c r="U54" i="1"/>
  <c r="AQ53" i="1"/>
  <c r="AO53" i="1"/>
  <c r="AN53" i="1"/>
  <c r="AC53" i="1"/>
  <c r="W53" i="1"/>
  <c r="V53" i="1"/>
  <c r="AA53" i="1" s="1"/>
  <c r="AB53" i="1" s="1"/>
  <c r="U53" i="1"/>
  <c r="AQ52" i="1"/>
  <c r="AO52" i="1"/>
  <c r="AN52" i="1"/>
  <c r="AC52" i="1"/>
  <c r="V52" i="1"/>
  <c r="AA52" i="1" s="1"/>
  <c r="AB52" i="1" s="1"/>
  <c r="U52" i="1"/>
  <c r="AQ51" i="1"/>
  <c r="AO51" i="1"/>
  <c r="AN51" i="1"/>
  <c r="AC51" i="1"/>
  <c r="W51" i="1"/>
  <c r="V51" i="1"/>
  <c r="AA51" i="1" s="1"/>
  <c r="AB51" i="1" s="1"/>
  <c r="U51" i="1"/>
  <c r="AQ50" i="1"/>
  <c r="AO50" i="1"/>
  <c r="AN50" i="1"/>
  <c r="AC50" i="1"/>
  <c r="W50" i="1"/>
  <c r="V50" i="1"/>
  <c r="AA50" i="1" s="1"/>
  <c r="AB50" i="1" s="1"/>
  <c r="U50" i="1"/>
  <c r="AQ49" i="1"/>
  <c r="AO49" i="1"/>
  <c r="AN49" i="1"/>
  <c r="AC49" i="1"/>
  <c r="W49" i="1"/>
  <c r="V49" i="1"/>
  <c r="AA49" i="1" s="1"/>
  <c r="AB49" i="1" s="1"/>
  <c r="U49" i="1"/>
  <c r="AQ48" i="1"/>
  <c r="AO48" i="1"/>
  <c r="AN48" i="1"/>
  <c r="AC48" i="1"/>
  <c r="V48" i="1"/>
  <c r="AA48" i="1" s="1"/>
  <c r="AB48" i="1" s="1"/>
  <c r="U48" i="1"/>
  <c r="AQ47" i="1"/>
  <c r="AO47" i="1"/>
  <c r="AN47" i="1"/>
  <c r="AC47" i="1"/>
  <c r="W47" i="1"/>
  <c r="V47" i="1"/>
  <c r="AA47" i="1" s="1"/>
  <c r="AB47" i="1" s="1"/>
  <c r="U47" i="1"/>
  <c r="AQ46" i="1"/>
  <c r="AO46" i="1"/>
  <c r="AN46" i="1"/>
  <c r="AC46" i="1"/>
  <c r="V46" i="1"/>
  <c r="AA46" i="1" s="1"/>
  <c r="AB46" i="1" s="1"/>
  <c r="U46" i="1"/>
  <c r="AQ45" i="1"/>
  <c r="AO45" i="1"/>
  <c r="AN45" i="1"/>
  <c r="AC45" i="1"/>
  <c r="V45" i="1"/>
  <c r="AA45" i="1" s="1"/>
  <c r="AB45" i="1" s="1"/>
  <c r="U45" i="1"/>
  <c r="AQ44" i="1"/>
  <c r="AO44" i="1"/>
  <c r="AN44" i="1"/>
  <c r="AC44" i="1"/>
  <c r="W44" i="1"/>
  <c r="V44" i="1"/>
  <c r="AA44" i="1" s="1"/>
  <c r="AB44" i="1" s="1"/>
  <c r="U44" i="1"/>
  <c r="AQ43" i="1"/>
  <c r="AO43" i="1"/>
  <c r="AN43" i="1"/>
  <c r="AC43" i="1"/>
  <c r="V43" i="1"/>
  <c r="AA43" i="1" s="1"/>
  <c r="AB43" i="1" s="1"/>
  <c r="U43" i="1"/>
  <c r="AQ42" i="1"/>
  <c r="AO42" i="1"/>
  <c r="AN42" i="1"/>
  <c r="AC42" i="1"/>
  <c r="V42" i="1"/>
  <c r="AA42" i="1" s="1"/>
  <c r="AB42" i="1" s="1"/>
  <c r="U42" i="1"/>
  <c r="AQ41" i="1"/>
  <c r="AO41" i="1"/>
  <c r="AN41" i="1"/>
  <c r="AC41" i="1"/>
  <c r="V41" i="1"/>
  <c r="AA41" i="1" s="1"/>
  <c r="AB41" i="1" s="1"/>
  <c r="U41" i="1"/>
  <c r="AQ40" i="1"/>
  <c r="AO40" i="1"/>
  <c r="AN40" i="1"/>
  <c r="AC40" i="1"/>
  <c r="W40" i="1"/>
  <c r="V40" i="1"/>
  <c r="AA40" i="1" s="1"/>
  <c r="AB40" i="1" s="1"/>
  <c r="U40" i="1"/>
  <c r="AQ39" i="1"/>
  <c r="AO39" i="1"/>
  <c r="AN39" i="1"/>
  <c r="AC39" i="1"/>
  <c r="W39" i="1"/>
  <c r="V39" i="1"/>
  <c r="AA39" i="1" s="1"/>
  <c r="AB39" i="1" s="1"/>
  <c r="U39" i="1"/>
  <c r="AQ38" i="1"/>
  <c r="AO38" i="1"/>
  <c r="AN38" i="1"/>
  <c r="AC38" i="1"/>
  <c r="W38" i="1"/>
  <c r="V38" i="1"/>
  <c r="AA38" i="1" s="1"/>
  <c r="AB38" i="1" s="1"/>
  <c r="U38" i="1"/>
  <c r="AQ37" i="1"/>
  <c r="AO37" i="1"/>
  <c r="AN37" i="1"/>
  <c r="AC37" i="1"/>
  <c r="W37" i="1"/>
  <c r="V37" i="1"/>
  <c r="AA37" i="1" s="1"/>
  <c r="AB37" i="1" s="1"/>
  <c r="U37" i="1"/>
  <c r="AQ36" i="1"/>
  <c r="AO36" i="1"/>
  <c r="AN36" i="1"/>
  <c r="AC36" i="1"/>
  <c r="W36" i="1"/>
  <c r="V36" i="1"/>
  <c r="AA36" i="1" s="1"/>
  <c r="AB36" i="1" s="1"/>
  <c r="U36" i="1"/>
  <c r="AQ35" i="1"/>
  <c r="AO35" i="1"/>
  <c r="AN35" i="1"/>
  <c r="AC35" i="1"/>
  <c r="V35" i="1"/>
  <c r="AA35" i="1" s="1"/>
  <c r="AB35" i="1" s="1"/>
  <c r="U35" i="1"/>
  <c r="AQ34" i="1"/>
  <c r="AO34" i="1"/>
  <c r="AN34" i="1"/>
  <c r="AC34" i="1"/>
  <c r="V34" i="1"/>
  <c r="AA34" i="1" s="1"/>
  <c r="AB34" i="1" s="1"/>
  <c r="U34" i="1"/>
  <c r="AQ33" i="1"/>
  <c r="AO33" i="1"/>
  <c r="AN33" i="1"/>
  <c r="AC33" i="1"/>
  <c r="W33" i="1"/>
  <c r="V33" i="1"/>
  <c r="AA33" i="1" s="1"/>
  <c r="AB33" i="1" s="1"/>
  <c r="U33" i="1"/>
  <c r="AQ32" i="1"/>
  <c r="AO32" i="1"/>
  <c r="AN32" i="1"/>
  <c r="AC32" i="1"/>
  <c r="V32" i="1"/>
  <c r="AA32" i="1" s="1"/>
  <c r="AB32" i="1" s="1"/>
  <c r="U32" i="1"/>
  <c r="AQ31" i="1"/>
  <c r="AO31" i="1"/>
  <c r="AN31" i="1"/>
  <c r="AC31" i="1"/>
  <c r="W31" i="1"/>
  <c r="V31" i="1"/>
  <c r="AA31" i="1" s="1"/>
  <c r="AB31" i="1" s="1"/>
  <c r="U31" i="1"/>
  <c r="AQ30" i="1"/>
  <c r="AO30" i="1"/>
  <c r="AN30" i="1"/>
  <c r="AC30" i="1"/>
  <c r="W30" i="1"/>
  <c r="V30" i="1"/>
  <c r="AA30" i="1" s="1"/>
  <c r="AB30" i="1" s="1"/>
  <c r="U30" i="1"/>
  <c r="AQ29" i="1"/>
  <c r="AO29" i="1"/>
  <c r="AN29" i="1"/>
  <c r="AC29" i="1"/>
  <c r="V29" i="1"/>
  <c r="AA29" i="1" s="1"/>
  <c r="AB29" i="1" s="1"/>
  <c r="U29" i="1"/>
  <c r="AQ28" i="1"/>
  <c r="AO28" i="1"/>
  <c r="AN28" i="1"/>
  <c r="AC28" i="1"/>
  <c r="W28" i="1"/>
  <c r="V28" i="1"/>
  <c r="AA28" i="1" s="1"/>
  <c r="AB28" i="1" s="1"/>
  <c r="U28" i="1"/>
  <c r="AQ27" i="1"/>
  <c r="AO27" i="1"/>
  <c r="AN27" i="1"/>
  <c r="AC27" i="1"/>
  <c r="W27" i="1"/>
  <c r="V27" i="1"/>
  <c r="AA27" i="1" s="1"/>
  <c r="AB27" i="1" s="1"/>
  <c r="U27" i="1"/>
  <c r="AQ26" i="1"/>
  <c r="AO26" i="1"/>
  <c r="AN26" i="1"/>
  <c r="AC26" i="1"/>
  <c r="V26" i="1"/>
  <c r="AA26" i="1" s="1"/>
  <c r="AB26" i="1" s="1"/>
  <c r="U26" i="1"/>
  <c r="AQ25" i="1"/>
  <c r="AO25" i="1"/>
  <c r="AN25" i="1"/>
  <c r="AC25" i="1"/>
  <c r="W25" i="1"/>
  <c r="V25" i="1"/>
  <c r="AA25" i="1" s="1"/>
  <c r="AB25" i="1" s="1"/>
  <c r="U25" i="1"/>
  <c r="AQ24" i="1"/>
  <c r="AO24" i="1"/>
  <c r="AN24" i="1"/>
  <c r="AC24" i="1"/>
  <c r="V24" i="1"/>
  <c r="AA24" i="1" s="1"/>
  <c r="AB24" i="1" s="1"/>
  <c r="U24" i="1"/>
  <c r="AQ23" i="1"/>
  <c r="AO23" i="1"/>
  <c r="AN23" i="1"/>
  <c r="AC23" i="1"/>
  <c r="V23" i="1"/>
  <c r="AA23" i="1" s="1"/>
  <c r="AB23" i="1" s="1"/>
  <c r="U23" i="1"/>
  <c r="AQ22" i="1"/>
  <c r="AO22" i="1"/>
  <c r="AN22" i="1"/>
  <c r="AC22" i="1"/>
  <c r="V22" i="1"/>
  <c r="AA22" i="1" s="1"/>
  <c r="AB22" i="1" s="1"/>
  <c r="U22" i="1"/>
  <c r="AQ21" i="1"/>
  <c r="AO21" i="1"/>
  <c r="AN21" i="1"/>
  <c r="AC21" i="1"/>
  <c r="V21" i="1"/>
  <c r="AA21" i="1" s="1"/>
  <c r="AB21" i="1" s="1"/>
  <c r="U21" i="1"/>
  <c r="AQ20" i="1"/>
  <c r="AO20" i="1"/>
  <c r="AN20" i="1"/>
  <c r="AC20" i="1"/>
  <c r="V20" i="1"/>
  <c r="AA20" i="1" s="1"/>
  <c r="AB20" i="1" s="1"/>
  <c r="U20" i="1"/>
  <c r="AQ19" i="1"/>
  <c r="AO19" i="1"/>
  <c r="AN19" i="1"/>
  <c r="AC19" i="1"/>
  <c r="V19" i="1"/>
  <c r="AA19" i="1" s="1"/>
  <c r="AB19" i="1" s="1"/>
  <c r="U19" i="1"/>
  <c r="AQ18" i="1"/>
  <c r="AO18" i="1"/>
  <c r="AN18" i="1"/>
  <c r="AC18" i="1"/>
  <c r="V18" i="1"/>
  <c r="AA18" i="1" s="1"/>
  <c r="AB18" i="1" s="1"/>
  <c r="U18" i="1"/>
  <c r="AQ17" i="1"/>
  <c r="AO17" i="1"/>
  <c r="AN17" i="1"/>
  <c r="AC17" i="1"/>
  <c r="V17" i="1"/>
  <c r="AA17" i="1" s="1"/>
  <c r="AB17" i="1" s="1"/>
  <c r="U17" i="1"/>
  <c r="AQ16" i="1"/>
  <c r="AO16" i="1"/>
  <c r="AN16" i="1"/>
  <c r="AC16" i="1"/>
  <c r="V16" i="1"/>
  <c r="AA16" i="1" s="1"/>
  <c r="AB16" i="1" s="1"/>
  <c r="U16" i="1"/>
  <c r="AQ15" i="1"/>
  <c r="AO15" i="1"/>
  <c r="AN15" i="1"/>
  <c r="AC15" i="1"/>
  <c r="V15" i="1"/>
  <c r="AA15" i="1" s="1"/>
  <c r="AB15" i="1" s="1"/>
  <c r="U15" i="1"/>
  <c r="AQ14" i="1"/>
  <c r="AO14" i="1"/>
  <c r="AN14" i="1"/>
  <c r="AC14" i="1"/>
  <c r="V14" i="1"/>
  <c r="AA14" i="1" s="1"/>
  <c r="AB14" i="1" s="1"/>
  <c r="U14" i="1"/>
  <c r="AQ13" i="1"/>
  <c r="AO13" i="1"/>
  <c r="AN13" i="1"/>
  <c r="AC13" i="1"/>
  <c r="V13" i="1"/>
  <c r="AA13" i="1" s="1"/>
  <c r="AB13" i="1" s="1"/>
  <c r="U13" i="1"/>
  <c r="AQ12" i="1"/>
  <c r="AO12" i="1"/>
  <c r="AN12" i="1"/>
  <c r="AC12" i="1"/>
  <c r="V12" i="1"/>
  <c r="AA12" i="1" s="1"/>
  <c r="AB12" i="1" s="1"/>
  <c r="U12" i="1"/>
  <c r="AQ11" i="1"/>
  <c r="AO11" i="1"/>
  <c r="AN11" i="1"/>
  <c r="AC11" i="1"/>
  <c r="W11" i="1"/>
  <c r="V11" i="1"/>
  <c r="AA11" i="1" s="1"/>
  <c r="AB11" i="1" s="1"/>
  <c r="U11" i="1"/>
  <c r="AQ10" i="1"/>
  <c r="AO10" i="1"/>
  <c r="AN10" i="1"/>
  <c r="AC10" i="1"/>
  <c r="W10" i="1"/>
  <c r="V10" i="1"/>
  <c r="AA10" i="1" s="1"/>
  <c r="AB10" i="1" s="1"/>
  <c r="U10" i="1"/>
  <c r="AQ9" i="1"/>
  <c r="AO9" i="1"/>
  <c r="AN9" i="1"/>
  <c r="AC9" i="1"/>
  <c r="W9" i="1"/>
  <c r="V9" i="1"/>
  <c r="AA9" i="1" s="1"/>
  <c r="AB9" i="1" s="1"/>
  <c r="U9" i="1"/>
  <c r="AQ8" i="1"/>
  <c r="AO8" i="1"/>
  <c r="AN8" i="1"/>
  <c r="AC8" i="1"/>
  <c r="V8" i="1"/>
  <c r="AA8" i="1" s="1"/>
  <c r="AB8" i="1" s="1"/>
  <c r="U8" i="1"/>
  <c r="AQ7" i="1"/>
  <c r="AO7" i="1"/>
  <c r="AN7" i="1"/>
  <c r="AC7" i="1"/>
  <c r="W7" i="1"/>
  <c r="V7" i="1"/>
  <c r="AA7" i="1" s="1"/>
  <c r="AB7" i="1" s="1"/>
  <c r="U7" i="1"/>
  <c r="BA6" i="1"/>
  <c r="AZ6" i="1"/>
  <c r="AY6" i="1"/>
  <c r="AX6" i="1"/>
  <c r="AW6" i="1"/>
  <c r="AV6" i="1"/>
  <c r="AU6" i="1"/>
  <c r="AQ6" i="1"/>
  <c r="AO6" i="1"/>
  <c r="AN6" i="1"/>
  <c r="AC6" i="1"/>
  <c r="V6" i="1"/>
  <c r="AA6" i="1" s="1"/>
  <c r="AB6" i="1" s="1"/>
  <c r="U6" i="1"/>
  <c r="BA5" i="1"/>
  <c r="AZ5" i="1"/>
  <c r="AY5" i="1"/>
  <c r="AX5" i="1"/>
  <c r="AW5" i="1"/>
  <c r="AV5" i="1"/>
  <c r="AU5" i="1"/>
  <c r="AQ5" i="1"/>
  <c r="AO5" i="1"/>
  <c r="AN5" i="1"/>
  <c r="AC5" i="1"/>
  <c r="W5" i="1"/>
  <c r="V5" i="1"/>
  <c r="AA5" i="1" s="1"/>
  <c r="AB5" i="1" s="1"/>
  <c r="U5" i="1"/>
  <c r="BA4" i="1"/>
  <c r="AZ4" i="1"/>
  <c r="AY4" i="1"/>
  <c r="AX4" i="1"/>
  <c r="AW4" i="1"/>
  <c r="AV4" i="1"/>
  <c r="AU4" i="1"/>
  <c r="AQ4" i="1"/>
  <c r="AO4" i="1"/>
  <c r="AN4" i="1"/>
  <c r="AC4" i="1"/>
  <c r="W4" i="1"/>
  <c r="V4" i="1"/>
  <c r="AA4" i="1" s="1"/>
  <c r="AB4" i="1" s="1"/>
  <c r="U4" i="1"/>
  <c r="BA3" i="1"/>
  <c r="AZ3" i="1"/>
  <c r="AY3" i="1"/>
  <c r="AX3" i="1"/>
  <c r="AW3" i="1"/>
  <c r="AV3" i="1"/>
  <c r="AU3" i="1"/>
  <c r="AQ3" i="1"/>
  <c r="AO3" i="1"/>
  <c r="AN3" i="1"/>
  <c r="AC3" i="1"/>
  <c r="V3" i="1"/>
  <c r="AA3" i="1" s="1"/>
  <c r="AB3" i="1" s="1"/>
  <c r="U3" i="1"/>
  <c r="BA2" i="1"/>
  <c r="AZ2" i="1"/>
  <c r="AY2" i="1"/>
  <c r="AX2" i="1"/>
  <c r="AW2" i="1"/>
  <c r="AV2" i="1"/>
  <c r="AU2" i="1"/>
  <c r="AS2" i="1"/>
  <c r="AM2" i="1" s="1"/>
  <c r="AQ2" i="1"/>
  <c r="AP2" i="1"/>
  <c r="AO2" i="1"/>
  <c r="AR2" i="1" s="1"/>
  <c r="AN2" i="1"/>
  <c r="AK2" i="1"/>
  <c r="AJ2" i="1"/>
  <c r="AL2" i="1" s="1"/>
  <c r="AI2" i="1"/>
  <c r="AC2" i="1"/>
  <c r="W2" i="1"/>
  <c r="V2" i="1"/>
  <c r="AA2" i="1" s="1"/>
  <c r="AB2" i="1" s="1"/>
  <c r="U2" i="1"/>
  <c r="BA1" i="1"/>
  <c r="AZ1" i="1"/>
  <c r="AY1" i="1"/>
  <c r="AX1" i="1"/>
  <c r="AW1" i="1"/>
  <c r="AV1" i="1"/>
  <c r="AU1" i="1"/>
  <c r="AH2" i="1" l="1" a="1"/>
  <c r="AH2" i="1" s="1"/>
  <c r="AG2" i="1"/>
</calcChain>
</file>

<file path=xl/sharedStrings.xml><?xml version="1.0" encoding="utf-8"?>
<sst xmlns="http://schemas.openxmlformats.org/spreadsheetml/2006/main" count="937" uniqueCount="472">
  <si>
    <t>Fecha</t>
  </si>
  <si>
    <t>ID Partido</t>
  </si>
  <si>
    <t>Partido</t>
  </si>
  <si>
    <t>Local</t>
  </si>
  <si>
    <t>Visita</t>
  </si>
  <si>
    <t>Cuota 1</t>
  </si>
  <si>
    <t>Cuota X</t>
  </si>
  <si>
    <t>Cuota 2</t>
  </si>
  <si>
    <t>Cuota +2.5</t>
  </si>
  <si>
    <t>Cuota -2.5</t>
  </si>
  <si>
    <t>Liga</t>
  </si>
  <si>
    <t>Prob 1</t>
  </si>
  <si>
    <t>Prob X</t>
  </si>
  <si>
    <t>Prob 2</t>
  </si>
  <si>
    <t>Prob +2.5</t>
  </si>
  <si>
    <t>Prob -2.5</t>
  </si>
  <si>
    <t>Goles L</t>
  </si>
  <si>
    <t>Goles V</t>
  </si>
  <si>
    <t>Formacion L</t>
  </si>
  <si>
    <t>Formacion V</t>
  </si>
  <si>
    <t>Acierto</t>
  </si>
  <si>
    <t>P/L Neto</t>
  </si>
  <si>
    <t>Apuesta 1X2</t>
  </si>
  <si>
    <t>Apuesta O/U 2,5</t>
  </si>
  <si>
    <t>Stake</t>
  </si>
  <si>
    <t>Stake O/U 2,5</t>
  </si>
  <si>
    <t>Equity curve</t>
  </si>
  <si>
    <t>Drawdown</t>
  </si>
  <si>
    <t>Cuota apostada</t>
  </si>
  <si>
    <t>CLV</t>
  </si>
  <si>
    <t>Dif cuota</t>
  </si>
  <si>
    <t>Sumar Registro</t>
  </si>
  <si>
    <t>Ganancia neta</t>
  </si>
  <si>
    <t>Yield</t>
  </si>
  <si>
    <t>Volumen apuesta</t>
  </si>
  <si>
    <t>% Acierto P</t>
  </si>
  <si>
    <t>% Acierto $</t>
  </si>
  <si>
    <t>% Acierto all</t>
  </si>
  <si>
    <t>P-Value</t>
  </si>
  <si>
    <t>Fraccion Kelly</t>
  </si>
  <si>
    <t>Brier Score</t>
  </si>
  <si>
    <t>Promedio BS</t>
  </si>
  <si>
    <t>BS casa</t>
  </si>
  <si>
    <t>BS global</t>
  </si>
  <si>
    <t>T-score</t>
  </si>
  <si>
    <t>Bankroll</t>
  </si>
  <si>
    <t>Auditoria</t>
  </si>
  <si>
    <t>2026-03-16aldosivihuracan</t>
  </si>
  <si>
    <t>Aldosivi vs Huracan</t>
  </si>
  <si>
    <t>Aldosivi</t>
  </si>
  <si>
    <t>Huracan</t>
  </si>
  <si>
    <t>Argentina</t>
  </si>
  <si>
    <t>[PASAR] Sin Cuotas</t>
  </si>
  <si>
    <t>2026-03-16barracascentralatleticotucuman</t>
  </si>
  <si>
    <t>Barracas Central vs Atletico Tucuman</t>
  </si>
  <si>
    <t>Barracas Central</t>
  </si>
  <si>
    <t>Atletico Tucuman</t>
  </si>
  <si>
    <t>[PASAR] Sin Valor</t>
  </si>
  <si>
    <t>2026-03-16brentfordwolverhamptonwanderers</t>
  </si>
  <si>
    <t>Brentford vs Wolverhampton Wanderers</t>
  </si>
  <si>
    <t>Brentford</t>
  </si>
  <si>
    <t>Wolverhampton Wanderers</t>
  </si>
  <si>
    <t>Inglaterra</t>
  </si>
  <si>
    <t>[PASAR] Margen Predictivo O/U Insuficiente (&lt;15%)</t>
  </si>
  <si>
    <t>2026-03-16chapecoensegremio</t>
  </si>
  <si>
    <t>Chapecoense vs Gremio</t>
  </si>
  <si>
    <t>Chapecoense</t>
  </si>
  <si>
    <t>Gremio</t>
  </si>
  <si>
    <t>Brasil</t>
  </si>
  <si>
    <t>SI</t>
  </si>
  <si>
    <t>2026-03-16institutodecordobaindependiente</t>
  </si>
  <si>
    <t>Instituto de Cordoba vs Independiente</t>
  </si>
  <si>
    <t>Instituto de Cordoba</t>
  </si>
  <si>
    <t>Independiente</t>
  </si>
  <si>
    <t>2026-03-16racingclubestudiantesderiocuarto</t>
  </si>
  <si>
    <t>Racing Club vs Estudiantes de Rio Cuarto</t>
  </si>
  <si>
    <t>Racing Club</t>
  </si>
  <si>
    <t>Estudiantes de Rio Cuarto</t>
  </si>
  <si>
    <t>2026-03-16sanlorenzodefensayjusticia</t>
  </si>
  <si>
    <t>San Lorenzo vs Defensa y Justicia</t>
  </si>
  <si>
    <t>San Lorenzo</t>
  </si>
  <si>
    <t>Defensa y Justicia</t>
  </si>
  <si>
    <t>[PASAR] Margen Predictivo Insuficiente (&lt;5%)</t>
  </si>
  <si>
    <t>2026-03-17centralcordobadeportivoriestra</t>
  </si>
  <si>
    <t>Central Cordoba vs Deportivo Riestra</t>
  </si>
  <si>
    <t>Central Cordoba</t>
  </si>
  <si>
    <t>Deportivo Riestra</t>
  </si>
  <si>
    <t>2026-03-17gimnasiamendozaestudiantes</t>
  </si>
  <si>
    <t>Gimnasia Mendoza vs Estudiantes</t>
  </si>
  <si>
    <t>Gimnasia Mendoza</t>
  </si>
  <si>
    <t>Estudiantes</t>
  </si>
  <si>
    <t>2026-03-17lanusnewells</t>
  </si>
  <si>
    <t>Lanus vs Newells</t>
  </si>
  <si>
    <t>Lanus</t>
  </si>
  <si>
    <t>Newells</t>
  </si>
  <si>
    <t>2026-03-18alanyasporkocaelispor</t>
  </si>
  <si>
    <t>Alanyaspor vs Kocaelispor</t>
  </si>
  <si>
    <t>Alanyaspor</t>
  </si>
  <si>
    <t>Kocaelispor</t>
  </si>
  <si>
    <t>Turquia</t>
  </si>
  <si>
    <t>2026-03-18atleticomineirosaopaulo</t>
  </si>
  <si>
    <t>Atletico Mineiro vs Sao Paulo</t>
  </si>
  <si>
    <t>Atletico Mineiro</t>
  </si>
  <si>
    <t>Sao Paulo</t>
  </si>
  <si>
    <t>2026-03-18atleticoparanaensecruzeiro</t>
  </si>
  <si>
    <t>Atletico Paranaense vs Cruzeiro</t>
  </si>
  <si>
    <t>Atletico Paranaense</t>
  </si>
  <si>
    <t>Cruzeiro</t>
  </si>
  <si>
    <t>2026-03-18bahiabragantinosp</t>
  </si>
  <si>
    <t>Bahia vs Bragantino-sp</t>
  </si>
  <si>
    <t>Bahia</t>
  </si>
  <si>
    <t>Bragantino-sp</t>
  </si>
  <si>
    <t>)</t>
  </si>
  <si>
    <t>2026-03-18caykurrizesporsamsunspor</t>
  </si>
  <si>
    <t>Caykur Rizespor vs Samsunspor</t>
  </si>
  <si>
    <t>Caykur Rizespor</t>
  </si>
  <si>
    <t>Samsunspor</t>
  </si>
  <si>
    <t>2026-03-18eyupsportrabzonspor</t>
  </si>
  <si>
    <t>Eyupspor vs Trabzonspor</t>
  </si>
  <si>
    <t>Eyupspor</t>
  </si>
  <si>
    <t>Trabzonspor</t>
  </si>
  <si>
    <t>2026-03-18goztepegalatasaray</t>
  </si>
  <si>
    <t>Goztepe vs Galatasaray</t>
  </si>
  <si>
    <t>Goztepe</t>
  </si>
  <si>
    <t>Galatasaray</t>
  </si>
  <si>
    <t>2026-03-18istanbulbasaksehirantalyaspor</t>
  </si>
  <si>
    <t>Istanbul Basaksehir vs Antalyaspor</t>
  </si>
  <si>
    <t>Istanbul Basaksehir</t>
  </si>
  <si>
    <t>Antalyaspor</t>
  </si>
  <si>
    <t>2026-03-18mirassolcoritiba</t>
  </si>
  <si>
    <t>Mirassol vs Coritiba</t>
  </si>
  <si>
    <t>Mirassol</t>
  </si>
  <si>
    <t>Coritiba</t>
  </si>
  <si>
    <t>2026-03-18palmeirasbotafogo</t>
  </si>
  <si>
    <t>Palmeiras vs Botafogo</t>
  </si>
  <si>
    <t>Palmeiras</t>
  </si>
  <si>
    <t>Botafogo</t>
  </si>
  <si>
    <t>2026-03-19santosinternacional</t>
  </si>
  <si>
    <t>Santos vs Internacional</t>
  </si>
  <si>
    <t>Santos</t>
  </si>
  <si>
    <t>Internacional</t>
  </si>
  <si>
    <t>2026-03-19vascodagamafluminense</t>
  </si>
  <si>
    <t>Vasco da Gama vs Fluminense</t>
  </si>
  <si>
    <t>Vasco da Gama</t>
  </si>
  <si>
    <t>Fluminense</t>
  </si>
  <si>
    <t>2026-03-20afcbournemouthmanchesterunited</t>
  </si>
  <si>
    <t>AFC Bournemouth vs Manchester United</t>
  </si>
  <si>
    <t>AFC Bournemouth</t>
  </si>
  <si>
    <t>Manchester United</t>
  </si>
  <si>
    <t>2026-03-21atleticotucumangimnasialaplata</t>
  </si>
  <si>
    <t>Atlético Tucumán vs Gimnasia la Plata</t>
  </si>
  <si>
    <t>Atlético Tucumán</t>
  </si>
  <si>
    <t>Gimnasia la Plata</t>
  </si>
  <si>
    <t>2026-03-21banfieldtigre</t>
  </si>
  <si>
    <t>Banfield vs Tigre</t>
  </si>
  <si>
    <t>Banfield</t>
  </si>
  <si>
    <t>Tigre</t>
  </si>
  <si>
    <t>2026-03-21brightonhovealbionliverpool</t>
  </si>
  <si>
    <t>Brighton &amp; Hove Albion vs Liverpool</t>
  </si>
  <si>
    <t>Brighton &amp; Hove Albion</t>
  </si>
  <si>
    <t>Liverpool</t>
  </si>
  <si>
    <t>2026-03-21defensayjusticiaunionsantafe</t>
  </si>
  <si>
    <t>Defensa y Justicia vs Unión (santa Fe)</t>
  </si>
  <si>
    <t>Unión (santa Fe)</t>
  </si>
  <si>
    <t>2026-03-21evertonchelsea</t>
  </si>
  <si>
    <t>Everton vs Chelsea</t>
  </si>
  <si>
    <t>Everton</t>
  </si>
  <si>
    <t>Chelsea</t>
  </si>
  <si>
    <t>2026-03-21fluminenseatleticomg</t>
  </si>
  <si>
    <t>Fluminense vs Atlético-mg</t>
  </si>
  <si>
    <t>Atlético-mg</t>
  </si>
  <si>
    <t>2026-03-21fulhamburnley</t>
  </si>
  <si>
    <t>Fulham vs Burnley</t>
  </si>
  <si>
    <t>Fulham</t>
  </si>
  <si>
    <t>Burnley</t>
  </si>
  <si>
    <t>2026-03-21ikstartaalesund</t>
  </si>
  <si>
    <t>Ik Start vs Aalesund</t>
  </si>
  <si>
    <t>Ik Start</t>
  </si>
  <si>
    <t>Aalesund</t>
  </si>
  <si>
    <t>Noruega</t>
  </si>
  <si>
    <t>2026-03-21independientetallerescordoba</t>
  </si>
  <si>
    <t>Independiente vs Talleres (córdoba)</t>
  </si>
  <si>
    <t>Talleres (córdoba)</t>
  </si>
  <si>
    <t>2026-03-21leedsunitedbrentford</t>
  </si>
  <si>
    <t>Leeds United vs Brentford</t>
  </si>
  <si>
    <t>Leeds United</t>
  </si>
  <si>
    <t>2026-03-21newellsoldboysgimnasiamendoza</t>
  </si>
  <si>
    <t>Newell's Old Boys vs Gimnasia (mendoza)</t>
  </si>
  <si>
    <t>Newell's Old Boys</t>
  </si>
  <si>
    <t>Gimnasia (mendoza)</t>
  </si>
  <si>
    <t>2026-03-21redbullbragantinobotafogo</t>
  </si>
  <si>
    <t>Red Bull Bragantino vs Botafogo</t>
  </si>
  <si>
    <t>Red Bull Bragantino</t>
  </si>
  <si>
    <t>2026-03-21velezsarsfieldlanus</t>
  </si>
  <si>
    <t>Vélez Sarsfield vs Lanús</t>
  </si>
  <si>
    <t>Vélez Sarsfield</t>
  </si>
  <si>
    <t>Lanús</t>
  </si>
  <si>
    <t>2026-03-21vikingfkmolde</t>
  </si>
  <si>
    <t>Viking fk vs Molde</t>
  </si>
  <si>
    <t>Viking fk</t>
  </si>
  <si>
    <t>Molde</t>
  </si>
  <si>
    <t>2026-03-22astonvillawesthamunited</t>
  </si>
  <si>
    <t>Aston Villa vs West Ham United</t>
  </si>
  <si>
    <t>Aston Villa</t>
  </si>
  <si>
    <t>West Ham United</t>
  </si>
  <si>
    <t>2026-03-22athleticoparanaensecoritiba</t>
  </si>
  <si>
    <t>Athletico Paranaense vs Coritiba</t>
  </si>
  <si>
    <t>Athletico Paranaense</t>
  </si>
  <si>
    <t>2026-03-22belgranocordobaracingclub</t>
  </si>
  <si>
    <t>Belgrano (córdoba) vs Racing Club</t>
  </si>
  <si>
    <t>Belgrano (córdoba)</t>
  </si>
  <si>
    <t>2026-03-22bocajuniorsinstitutocordoba</t>
  </si>
  <si>
    <t>Boca Juniors vs Instituto (córdoba)</t>
  </si>
  <si>
    <t>Boca Juniors</t>
  </si>
  <si>
    <t>Instituto (córdoba)</t>
  </si>
  <si>
    <t>2026-03-22corinthiansflamengo</t>
  </si>
  <si>
    <t>Corinthians vs Flamengo</t>
  </si>
  <si>
    <t>Corinthians</t>
  </si>
  <si>
    <t>Flamengo</t>
  </si>
  <si>
    <t>2026-03-22cruzeirosantos</t>
  </si>
  <si>
    <t>Cruzeiro vs Santos</t>
  </si>
  <si>
    <t>2026-03-22estudiantesderiocuartoriverplate</t>
  </si>
  <si>
    <t>Estudiantes de Río Cuarto vs River Plate</t>
  </si>
  <si>
    <t>Estudiantes de Río Cuarto</t>
  </si>
  <si>
    <t>River Plate</t>
  </si>
  <si>
    <t>2026-03-22fredrikstadkfumoslo</t>
  </si>
  <si>
    <t>Fredrikstad vs Kfum Oslo</t>
  </si>
  <si>
    <t>Fredrikstad</t>
  </si>
  <si>
    <t>Kfum Oslo</t>
  </si>
  <si>
    <t>2026-03-22internacionalchapecoense</t>
  </si>
  <si>
    <t>Internacional vs Chapecoense</t>
  </si>
  <si>
    <t>2026-03-22newcastleunitedsunderland</t>
  </si>
  <si>
    <t>Newcastle United vs Sunderland</t>
  </si>
  <si>
    <t>Newcastle United</t>
  </si>
  <si>
    <t>Sunderland</t>
  </si>
  <si>
    <t>2026-03-22remobahia</t>
  </si>
  <si>
    <t>Remo vs Bahia</t>
  </si>
  <si>
    <t>Remo</t>
  </si>
  <si>
    <t>2026-03-22rosenborgvalerenga</t>
  </si>
  <si>
    <t>Rosenborg vs Valerenga</t>
  </si>
  <si>
    <t>Rosenborg</t>
  </si>
  <si>
    <t>Valerenga</t>
  </si>
  <si>
    <t>2026-03-22sandefjordsarpsborgfk</t>
  </si>
  <si>
    <t>Sandefjord vs Sarpsborg fk</t>
  </si>
  <si>
    <t>Sandefjord</t>
  </si>
  <si>
    <t>Sarpsborg fk</t>
  </si>
  <si>
    <t>2026-03-22saopaulopalmeiras</t>
  </si>
  <si>
    <t>São Paulo vs Palmeiras</t>
  </si>
  <si>
    <t>São Paulo</t>
  </si>
  <si>
    <t>2026-03-22sarmientojuninaldosivi</t>
  </si>
  <si>
    <t>Sarmiento (junín) vs Aldosivi</t>
  </si>
  <si>
    <t>Sarmiento (junín)</t>
  </si>
  <si>
    <t>2026-03-22skbranntromso</t>
  </si>
  <si>
    <t>Sk Brann vs Tromso</t>
  </si>
  <si>
    <t>Sk Brann</t>
  </si>
  <si>
    <t>Tromso</t>
  </si>
  <si>
    <t>2026-03-22tottenhamhotspurnottinghamforest</t>
  </si>
  <si>
    <t>Tottenham Hotspur vs Nottingham Forest</t>
  </si>
  <si>
    <t>Tottenham Hotspur</t>
  </si>
  <si>
    <t>Nottingham Forest</t>
  </si>
  <si>
    <t>2026-03-22vascodagamagremio</t>
  </si>
  <si>
    <t>Vasco da Gama vs Grêmio</t>
  </si>
  <si>
    <t>Grêmio</t>
  </si>
  <si>
    <t>2026-03-22vitoriamirassol</t>
  </si>
  <si>
    <t>Vitória vs Mirassol</t>
  </si>
  <si>
    <t>Vitória</t>
  </si>
  <si>
    <t>2026-03-23argentinosjuniorsplatense</t>
  </si>
  <si>
    <t>Argentinos Juniors vs Platense</t>
  </si>
  <si>
    <t>Argentinos Juniors</t>
  </si>
  <si>
    <t>Platense</t>
  </si>
  <si>
    <t>2026-03-23estudiantesdelaplatacentralcordobasantiagodelestero</t>
  </si>
  <si>
    <t>Estudiantes de la Plata vs Central Córdoba (santiago del Estero)</t>
  </si>
  <si>
    <t>Estudiantes de la Plata</t>
  </si>
  <si>
    <t>Central Córdoba (santiago del Estero)</t>
  </si>
  <si>
    <t>2026-03-23independienterivadaviarosariocentral</t>
  </si>
  <si>
    <t>Independiente Rivadavia vs Rosario Central</t>
  </si>
  <si>
    <t>Independiente Rivadavia</t>
  </si>
  <si>
    <t>Rosario Central</t>
  </si>
  <si>
    <t>2026-03-24huracanbarracascentral</t>
  </si>
  <si>
    <t>Huracán vs Barracas Central</t>
  </si>
  <si>
    <t>Huracán</t>
  </si>
  <si>
    <t>2026-03-25deportivoriestrasanlorenzo</t>
  </si>
  <si>
    <t>Deportivo Riestra vs San Lorenzo</t>
  </si>
  <si>
    <t>[PERDIDA] LOCAL</t>
  </si>
  <si>
    <t>2026-03-26argentinosjuniorslanus</t>
  </si>
  <si>
    <t>Argentinos Juniors vs Lanus</t>
  </si>
  <si>
    <t>2026-03-29athleticoparanaensebotafogo</t>
  </si>
  <si>
    <t>Athletico Paranaense vs Botafogo</t>
  </si>
  <si>
    <t>[PERDIDA] VISITA</t>
  </si>
  <si>
    <t>2026-03-31aldosiviargentinosjuniors</t>
  </si>
  <si>
    <t>Aldosivi vs Argentinos Juniors</t>
  </si>
  <si>
    <t>2026-04-01bahiaathleticoparanaense</t>
  </si>
  <si>
    <t>Bahia vs Athletico Paranaense</t>
  </si>
  <si>
    <t>2026-04-01botafogomirassol</t>
  </si>
  <si>
    <t>Botafogo vs Mirassol</t>
  </si>
  <si>
    <t>2026-04-01coritibavascodagama</t>
  </si>
  <si>
    <t>Coritiba vs Vasco da Gama</t>
  </si>
  <si>
    <t>2026-04-01cruzeirovitoria</t>
  </si>
  <si>
    <t>Cruzeiro vs Vitória</t>
  </si>
  <si>
    <t>2026-04-01fluminensecorinthians</t>
  </si>
  <si>
    <t>Fluminense vs Corinthians</t>
  </si>
  <si>
    <t>2026-04-01internacionalsaopaulo</t>
  </si>
  <si>
    <t>Internacional vs São Paulo</t>
  </si>
  <si>
    <t>2026-04-01lanusplatense</t>
  </si>
  <si>
    <t>Lanús vs Platense</t>
  </si>
  <si>
    <t>2026-04-02barracascentralsarmientojunin</t>
  </si>
  <si>
    <t>Barracas Central vs Sarmiento (junin)</t>
  </si>
  <si>
    <t>Sarmiento (junin)</t>
  </si>
  <si>
    <t>2026-04-02chapecoenseatleticomg</t>
  </si>
  <si>
    <t>Chapecoense vs Atlético-mg</t>
  </si>
  <si>
    <t>2026-04-02fluminensecorinthians</t>
  </si>
  <si>
    <t>2026-04-02palmeirasgremio</t>
  </si>
  <si>
    <t>Palmeiras vs Grêmio</t>
  </si>
  <si>
    <t>2026-04-02redbullbragantinoflamengo</t>
  </si>
  <si>
    <t>Red Bull Bragantino vs Flamengo</t>
  </si>
  <si>
    <t>2026-04-02santosremo</t>
  </si>
  <si>
    <t>Santos vs Remo</t>
  </si>
  <si>
    <t>2026-04-02tallerescordobabocajuniors</t>
  </si>
  <si>
    <t>Talleres (córdoba) vs Boca Juniors</t>
  </si>
  <si>
    <t>2026-04-02tigreindependienterivadavia</t>
  </si>
  <si>
    <t>Tigre vs Independiente Rivadavia</t>
  </si>
  <si>
    <t>2026-04-03gimnasiamendozavelezsarsfield</t>
  </si>
  <si>
    <t>Gimnasia Mendoza vs Velez Sarsfield</t>
  </si>
  <si>
    <t>Velez Sarsfield</t>
  </si>
  <si>
    <t>2026-04-03palmeirasgremio</t>
  </si>
  <si>
    <t>Palmeiras vs Gremio</t>
  </si>
  <si>
    <t>2026-04-03redbullbragantinoflamengo</t>
  </si>
  <si>
    <t>2026-04-03sanlorenzoestudiantesdelaplata</t>
  </si>
  <si>
    <t>San Lorenzo vs Estudiantes de la Plata</t>
  </si>
  <si>
    <t>2026-04-03unionsantafedeportivoriestra</t>
  </si>
  <si>
    <t>Union (santa Fe) vs Deportivo Riestra</t>
  </si>
  <si>
    <t>Union (santa Fe)</t>
  </si>
  <si>
    <t>2026-04-04aldosiviestudiantesderiocuarto</t>
  </si>
  <si>
    <t>Aldosivi vs Estudiantes de Rio Cuarto</t>
  </si>
  <si>
    <t>2026-04-04coritibafluminense</t>
  </si>
  <si>
    <t>Coritiba vs Fluminense</t>
  </si>
  <si>
    <t>2026-04-04gaziantepfkalanyaspor</t>
  </si>
  <si>
    <t>Gaziantep FK vs Alanyaspor</t>
  </si>
  <si>
    <t>Gaziantep FK</t>
  </si>
  <si>
    <t>2026-04-04genclerbirligigoztepe</t>
  </si>
  <si>
    <t>Genclerbirligi vs Goztepe</t>
  </si>
  <si>
    <t>Genclerbirligi</t>
  </si>
  <si>
    <t>2026-04-04independienteracingclub</t>
  </si>
  <si>
    <t>Independiente vs Racing Club</t>
  </si>
  <si>
    <t>2026-04-04kasimpasakayserispor</t>
  </si>
  <si>
    <t>Kasimpasa vs Kayserispor</t>
  </si>
  <si>
    <t>Kasimpasa</t>
  </si>
  <si>
    <t>Kayserispor</t>
  </si>
  <si>
    <t>2026-04-04saopaulocruzeiro</t>
  </si>
  <si>
    <t>Sao Paulo vs Cruzeiro</t>
  </si>
  <si>
    <t>2026-04-04trabzonsporgalatasaray</t>
  </si>
  <si>
    <t>Trabzonspor vs Galatasaray</t>
  </si>
  <si>
    <t>2026-04-05antalyasporeyupspor</t>
  </si>
  <si>
    <t>Antalyaspor vs Eyupspor</t>
  </si>
  <si>
    <t>2026-04-05atleticomgathleticoparanaense</t>
  </si>
  <si>
    <t>Atlético-mg vs Athletico Paranaense</t>
  </si>
  <si>
    <t>2026-04-05bahiapalmeiras</t>
  </si>
  <si>
    <t>Bahia vs Palmeiras</t>
  </si>
  <si>
    <t>2026-04-05centralcordobasantiagodelesteronewellsoldboys</t>
  </si>
  <si>
    <t>Central Córdoba (santiago del Estero) vs Newell's Old Boys</t>
  </si>
  <si>
    <t>2026-04-05chapecoensevitoria</t>
  </si>
  <si>
    <t>Chapecoense vs Vitoria</t>
  </si>
  <si>
    <t>Vitoria</t>
  </si>
  <si>
    <t>2026-04-05corinthiansinternacional</t>
  </si>
  <si>
    <t>Corinthians vs Internacional</t>
  </si>
  <si>
    <t>2026-04-05fatihkaragumrukcaykurrizespor</t>
  </si>
  <si>
    <t>Fatih Karagümrük vs Caykur Rizespor</t>
  </si>
  <si>
    <t>Fatih Karagümrük</t>
  </si>
  <si>
    <t>2026-04-05fenerbahcebesiktas</t>
  </si>
  <si>
    <t>Fenerbahce vs Besiktas</t>
  </si>
  <si>
    <t>Fenerbahce</t>
  </si>
  <si>
    <t>Besiktas</t>
  </si>
  <si>
    <t>2026-04-05flamengosantos</t>
  </si>
  <si>
    <t>Flamengo vs Santos</t>
  </si>
  <si>
    <t>2026-04-05gimnasialaplatahuracan</t>
  </si>
  <si>
    <t>Gimnasia la Plata vs Huracan</t>
  </si>
  <si>
    <t>2026-04-05gremioremo</t>
  </si>
  <si>
    <t>Gremio vs Remo</t>
  </si>
  <si>
    <t>2026-04-05mirassolredbullbragantino</t>
  </si>
  <si>
    <t>Mirassol vs Red Bull Bragantino</t>
  </si>
  <si>
    <t>2026-04-05riverplatebelgranocordoba</t>
  </si>
  <si>
    <t>River Plate vs Belgrano (cordoba)</t>
  </si>
  <si>
    <t>Belgrano (cordoba)</t>
  </si>
  <si>
    <t>2026-04-05rosariocentralatleticotucuman</t>
  </si>
  <si>
    <t>Rosario Central vs Atletico Tucuman</t>
  </si>
  <si>
    <t>2026-04-05samsunsporkonyaspor</t>
  </si>
  <si>
    <t>Samsunspor vs Konyaspor</t>
  </si>
  <si>
    <t>Konyaspor</t>
  </si>
  <si>
    <t>2026-04-05vascodagamabotafogo</t>
  </si>
  <si>
    <t>Vasco da Gama vs Botafogo</t>
  </si>
  <si>
    <t>2026-04-06argentinosjuniorsbanfield</t>
  </si>
  <si>
    <t>Argentinos Juniors vs Banfield</t>
  </si>
  <si>
    <t>2026-04-06hamkamskbrann</t>
  </si>
  <si>
    <t>Hamkam vs Sk Brann</t>
  </si>
  <si>
    <t>Hamkam</t>
  </si>
  <si>
    <t>2026-04-06kocaelisporistanbulbasaksehir</t>
  </si>
  <si>
    <t>Kocaelispor vs Istanbul Basaksehir</t>
  </si>
  <si>
    <t>2026-04-06kristiansundbkbodoglimt</t>
  </si>
  <si>
    <t>Kristiansund bk vs Bodo/glimt</t>
  </si>
  <si>
    <t>Kristiansund bk</t>
  </si>
  <si>
    <t>Bodo/glimt</t>
  </si>
  <si>
    <t>2026-04-06moldelillestrom</t>
  </si>
  <si>
    <t>Molde vs Lillestrom</t>
  </si>
  <si>
    <t>Lillestrom</t>
  </si>
  <si>
    <t>2026-04-06sarpsborgfkikstart</t>
  </si>
  <si>
    <t>Sarpsborg fk vs Ik Start</t>
  </si>
  <si>
    <t>2026-04-06tromsorosenborg</t>
  </si>
  <si>
    <t>Tromso vs Rosenborg</t>
  </si>
  <si>
    <t>2026-04-06valerengavikingfk</t>
  </si>
  <si>
    <t>Valerenga vs Viking fk</t>
  </si>
  <si>
    <t>2026-04-07institutocordobadefensayjusticia</t>
  </si>
  <si>
    <t>Instituto (córdoba) vs Defensa y Justicia</t>
  </si>
  <si>
    <t>Id</t>
  </si>
  <si>
    <t>Apuesta</t>
  </si>
  <si>
    <t>Resultado</t>
  </si>
  <si>
    <t>Bankroll dinamico</t>
  </si>
  <si>
    <t>Bankroll inicial</t>
  </si>
  <si>
    <t>Coeficiente</t>
  </si>
  <si>
    <t>Rango de Altitud</t>
  </si>
  <si>
    <t>Multiplicador xG (Ataque)</t>
  </si>
  <si>
    <t>Multiplicador xGA (Defensa)</t>
  </si>
  <si>
    <t>Equipo Local (Altura)</t>
  </si>
  <si>
    <t>Altitud (msnm)</t>
  </si>
  <si>
    <t>Premier League (Inglaterra)</t>
  </si>
  <si>
    <t>Llano (0 - 1500m)</t>
  </si>
  <si>
    <t>Always Ready</t>
  </si>
  <si>
    <t>La Liga (España)</t>
  </si>
  <si>
    <t>Media (1501 - 2500m)</t>
  </si>
  <si>
    <t>Nacional Potosí</t>
  </si>
  <si>
    <t>Serie A (Italia)</t>
  </si>
  <si>
    <t>Alta (2501 - 3000m)</t>
  </si>
  <si>
    <t>San José</t>
  </si>
  <si>
    <t>Bundesliga (Alemania)</t>
  </si>
  <si>
    <t>Extrema (3001 - 3600m)</t>
  </si>
  <si>
    <t>Gualberto Villarroel</t>
  </si>
  <si>
    <t>Ligue 1 (Francia)</t>
  </si>
  <si>
    <t>La Muerte (3601m+)</t>
  </si>
  <si>
    <t>Bolívar</t>
  </si>
  <si>
    <t>Primeira Liga (Portugal)</t>
  </si>
  <si>
    <t>The Strongest</t>
  </si>
  <si>
    <t>Eredivisie (Países Bajos)</t>
  </si>
  <si>
    <t>Cienciano</t>
  </si>
  <si>
    <t>Süper Lig (Turquía)</t>
  </si>
  <si>
    <t>Cusco FC</t>
  </si>
  <si>
    <t>Eliteserien (Noruega)</t>
  </si>
  <si>
    <t>Deportivo Garcilaso</t>
  </si>
  <si>
    <t>Serie A Brasil</t>
  </si>
  <si>
    <t>Sport Huancayo</t>
  </si>
  <si>
    <t>Primera División (Argentina)</t>
  </si>
  <si>
    <t>Mushuc Runa</t>
  </si>
  <si>
    <t>Primera A (Colombia)</t>
  </si>
  <si>
    <t>UTC Cajamarca</t>
  </si>
  <si>
    <t>Liga Pro (Ecuador)</t>
  </si>
  <si>
    <t>LDU Quito</t>
  </si>
  <si>
    <t>Primera División (Uruguay)</t>
  </si>
  <si>
    <t>Independiente del Valle</t>
  </si>
  <si>
    <t>Primera División (Paraguay)</t>
  </si>
  <si>
    <t>El Nacional</t>
  </si>
  <si>
    <t>Primera División (Chile)</t>
  </si>
  <si>
    <t>Universidad Católica (Ecu)</t>
  </si>
  <si>
    <t>Liga 1 (Perú)</t>
  </si>
  <si>
    <t>Millonarios</t>
  </si>
  <si>
    <t>Primera División (Bolivia)</t>
  </si>
  <si>
    <t>Independiente Santa Fe</t>
  </si>
  <si>
    <t>Primera División (Venezuela)</t>
  </si>
  <si>
    <t>La Equidad</t>
  </si>
  <si>
    <t>Macará</t>
  </si>
  <si>
    <t>Técnico Universitario</t>
  </si>
  <si>
    <t>Jorge Wilstermann</t>
  </si>
  <si>
    <t>Deportivo Cuenca</t>
  </si>
  <si>
    <t>Deportivo Pasto</t>
  </si>
  <si>
    <t>FBC Melgar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</si>
</sst>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 $]#,##0.00"/>
    <numFmt numFmtId="165" formatCode="dd/mm/yyyy"/>
    <numFmt numFmtId="166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</font>
    <font>
      <u/>
      <sz val="10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57BB8A"/>
        <bgColor rgb="FF57BB8A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D5A6BD"/>
        <bgColor rgb="FFD5A6BD"/>
      </patternFill>
    </fill>
    <fill>
      <patternFill patternType="solid">
        <fgColor rgb="FF00A245"/>
        <bgColor rgb="FF00A245"/>
      </patternFill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1" fillId="0" borderId="0" xfId="0" applyFont="1"/>
    <xf numFmtId="0" fontId="3" fillId="5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0" fontId="3" fillId="2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10" fontId="3" fillId="4" borderId="0" xfId="0" applyNumberFormat="1" applyFont="1" applyFill="1" applyAlignment="1">
      <alignment horizontal="center"/>
    </xf>
    <xf numFmtId="165" fontId="3" fillId="5" borderId="0" xfId="0" applyNumberFormat="1" applyFont="1" applyFill="1" applyAlignment="1">
      <alignment horizontal="center"/>
    </xf>
    <xf numFmtId="10" fontId="3" fillId="5" borderId="0" xfId="0" applyNumberFormat="1" applyFont="1" applyFill="1" applyAlignment="1">
      <alignment horizontal="center"/>
    </xf>
    <xf numFmtId="164" fontId="1" fillId="0" borderId="0" xfId="0" applyNumberFormat="1" applyFont="1"/>
    <xf numFmtId="49" fontId="1" fillId="0" borderId="0" xfId="0" applyNumberFormat="1" applyFont="1"/>
    <xf numFmtId="14" fontId="1" fillId="0" borderId="0" xfId="0" applyNumberFormat="1" applyFont="1"/>
    <xf numFmtId="10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5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A245"/>
          <bgColor rgb="FF00A245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00A245"/>
          <bgColor rgb="FF00A24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00A245"/>
          <bgColor rgb="FF00A24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A245"/>
          <bgColor rgb="FF00A24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00A245"/>
          <bgColor rgb="FF00A245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45818E"/>
          <bgColor rgb="FF45818E"/>
        </patternFill>
      </fill>
    </dxf>
    <dxf>
      <font>
        <color rgb="FF000000"/>
      </font>
      <fill>
        <patternFill patternType="solid">
          <fgColor rgb="FF45818E"/>
          <bgColor rgb="FF45818E"/>
        </patternFill>
      </fill>
    </dxf>
    <dxf>
      <font>
        <color rgb="FF000000"/>
      </font>
      <fill>
        <patternFill patternType="solid">
          <fgColor rgb="FF45818E"/>
          <bgColor rgb="FF45818E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45818E"/>
          <bgColor rgb="FF45818E"/>
        </patternFill>
      </fill>
    </dxf>
    <dxf>
      <font>
        <color rgb="FF000000"/>
      </font>
      <fill>
        <patternFill patternType="solid">
          <fgColor rgb="FF45818E"/>
          <bgColor rgb="FF45818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00A245"/>
          <bgColor rgb="FF00A24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A4C2F4"/>
          <bgColor rgb="FFA4C2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Backtest!$AA$1</c:f>
              <c:strCache>
                <c:ptCount val="1"/>
                <c:pt idx="0">
                  <c:v>Equity curve</c:v>
                </c:pt>
              </c:strCache>
            </c:strRef>
          </c:tx>
          <c:spPr>
            <a:ln w="38100" cmpd="sng">
              <a:solidFill>
                <a:srgbClr val="38761D">
                  <a:alpha val="90196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Backtest!$A$2:$A$69</c:f>
              <c:numCache>
                <c:formatCode>dd/mm/yyyy</c:formatCode>
                <c:ptCount val="68"/>
                <c:pt idx="0">
                  <c:v>46097</c:v>
                </c:pt>
                <c:pt idx="1">
                  <c:v>46097</c:v>
                </c:pt>
                <c:pt idx="2">
                  <c:v>46097</c:v>
                </c:pt>
                <c:pt idx="3">
                  <c:v>46097</c:v>
                </c:pt>
                <c:pt idx="4">
                  <c:v>46097</c:v>
                </c:pt>
                <c:pt idx="5">
                  <c:v>46097</c:v>
                </c:pt>
                <c:pt idx="6">
                  <c:v>46097</c:v>
                </c:pt>
                <c:pt idx="7">
                  <c:v>46098</c:v>
                </c:pt>
                <c:pt idx="8">
                  <c:v>46098</c:v>
                </c:pt>
                <c:pt idx="9">
                  <c:v>46098</c:v>
                </c:pt>
                <c:pt idx="10">
                  <c:v>46099</c:v>
                </c:pt>
                <c:pt idx="11">
                  <c:v>46099</c:v>
                </c:pt>
                <c:pt idx="12">
                  <c:v>46099</c:v>
                </c:pt>
                <c:pt idx="13">
                  <c:v>46099</c:v>
                </c:pt>
                <c:pt idx="14">
                  <c:v>46099</c:v>
                </c:pt>
                <c:pt idx="15">
                  <c:v>46099</c:v>
                </c:pt>
                <c:pt idx="16">
                  <c:v>46099</c:v>
                </c:pt>
                <c:pt idx="17">
                  <c:v>46099</c:v>
                </c:pt>
                <c:pt idx="18">
                  <c:v>46099</c:v>
                </c:pt>
                <c:pt idx="19">
                  <c:v>46099</c:v>
                </c:pt>
                <c:pt idx="20">
                  <c:v>46100</c:v>
                </c:pt>
                <c:pt idx="21">
                  <c:v>46100</c:v>
                </c:pt>
                <c:pt idx="22">
                  <c:v>46101</c:v>
                </c:pt>
                <c:pt idx="23">
                  <c:v>46102</c:v>
                </c:pt>
                <c:pt idx="24">
                  <c:v>46102</c:v>
                </c:pt>
                <c:pt idx="25">
                  <c:v>46102</c:v>
                </c:pt>
                <c:pt idx="26">
                  <c:v>46102</c:v>
                </c:pt>
                <c:pt idx="27">
                  <c:v>46102</c:v>
                </c:pt>
                <c:pt idx="28">
                  <c:v>46102</c:v>
                </c:pt>
                <c:pt idx="29">
                  <c:v>46102</c:v>
                </c:pt>
                <c:pt idx="30">
                  <c:v>46102</c:v>
                </c:pt>
                <c:pt idx="31">
                  <c:v>46102</c:v>
                </c:pt>
                <c:pt idx="32">
                  <c:v>46102</c:v>
                </c:pt>
                <c:pt idx="33">
                  <c:v>46102</c:v>
                </c:pt>
                <c:pt idx="34">
                  <c:v>46102</c:v>
                </c:pt>
                <c:pt idx="35">
                  <c:v>46102</c:v>
                </c:pt>
                <c:pt idx="36">
                  <c:v>46102</c:v>
                </c:pt>
                <c:pt idx="37">
                  <c:v>46103</c:v>
                </c:pt>
                <c:pt idx="38">
                  <c:v>46103</c:v>
                </c:pt>
                <c:pt idx="39">
                  <c:v>46103</c:v>
                </c:pt>
                <c:pt idx="40">
                  <c:v>46103</c:v>
                </c:pt>
                <c:pt idx="41">
                  <c:v>46103</c:v>
                </c:pt>
                <c:pt idx="42">
                  <c:v>46103</c:v>
                </c:pt>
                <c:pt idx="43">
                  <c:v>46103</c:v>
                </c:pt>
                <c:pt idx="44">
                  <c:v>46103</c:v>
                </c:pt>
                <c:pt idx="45">
                  <c:v>46103</c:v>
                </c:pt>
                <c:pt idx="46">
                  <c:v>46103</c:v>
                </c:pt>
                <c:pt idx="47">
                  <c:v>46103</c:v>
                </c:pt>
                <c:pt idx="48">
                  <c:v>46103</c:v>
                </c:pt>
                <c:pt idx="49">
                  <c:v>46103</c:v>
                </c:pt>
                <c:pt idx="50">
                  <c:v>46103</c:v>
                </c:pt>
                <c:pt idx="51">
                  <c:v>46103</c:v>
                </c:pt>
                <c:pt idx="52">
                  <c:v>46103</c:v>
                </c:pt>
                <c:pt idx="53">
                  <c:v>46103</c:v>
                </c:pt>
                <c:pt idx="54">
                  <c:v>46103</c:v>
                </c:pt>
                <c:pt idx="55">
                  <c:v>46103</c:v>
                </c:pt>
                <c:pt idx="56">
                  <c:v>46104</c:v>
                </c:pt>
                <c:pt idx="57">
                  <c:v>46104</c:v>
                </c:pt>
                <c:pt idx="58">
                  <c:v>46104</c:v>
                </c:pt>
                <c:pt idx="59">
                  <c:v>46105</c:v>
                </c:pt>
                <c:pt idx="60">
                  <c:v>46106</c:v>
                </c:pt>
                <c:pt idx="61">
                  <c:v>46107</c:v>
                </c:pt>
                <c:pt idx="62">
                  <c:v>46110</c:v>
                </c:pt>
                <c:pt idx="63">
                  <c:v>46112</c:v>
                </c:pt>
                <c:pt idx="64">
                  <c:v>46113</c:v>
                </c:pt>
                <c:pt idx="65">
                  <c:v>46113</c:v>
                </c:pt>
                <c:pt idx="66">
                  <c:v>46113</c:v>
                </c:pt>
                <c:pt idx="67">
                  <c:v>46113</c:v>
                </c:pt>
              </c:numCache>
            </c:numRef>
          </c:cat>
          <c:val>
            <c:numRef>
              <c:f>Backtest!$AA$2:$AA$69</c:f>
              <c:numCache>
                <c:formatCode>[$ $]#,##0.00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0-45AC-87F1-2EBADA299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666718"/>
        <c:axId val="1213406896"/>
      </c:lineChart>
      <c:dateAx>
        <c:axId val="1826666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dd/mm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213406896"/>
        <c:crosses val="autoZero"/>
        <c:auto val="1"/>
        <c:lblOffset val="100"/>
        <c:baseTimeUnit val="days"/>
      </c:dateAx>
      <c:valAx>
        <c:axId val="1213406896"/>
        <c:scaling>
          <c:orientation val="minMax"/>
          <c:min val="95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[$ $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82666671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85725</xdr:colOff>
      <xdr:row>2</xdr:row>
      <xdr:rowOff>28575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123"/>
  <sheetViews>
    <sheetView tabSelected="1" topLeftCell="X1" workbookViewId="0">
      <selection activeCell="V4" sqref="V4"/>
    </sheetView>
  </sheetViews>
  <sheetFormatPr baseColWidth="10" defaultColWidth="12.5703125" defaultRowHeight="15.75" customHeight="1" x14ac:dyDescent="0.2"/>
  <cols>
    <col min="1" max="1" width="9.42578125" customWidth="1"/>
    <col min="2" max="2" width="50.140625" customWidth="1"/>
    <col min="3" max="3" width="49.42578125" customWidth="1"/>
    <col min="4" max="4" width="20.42578125" customWidth="1"/>
    <col min="5" max="5" width="29.42578125" customWidth="1"/>
    <col min="6" max="6" width="6.85546875" customWidth="1"/>
    <col min="7" max="7" width="7" customWidth="1"/>
    <col min="8" max="8" width="6.85546875" customWidth="1"/>
    <col min="9" max="9" width="9.28515625" customWidth="1"/>
    <col min="10" max="10" width="8.7109375" customWidth="1"/>
    <col min="11" max="11" width="8.140625" customWidth="1"/>
    <col min="12" max="14" width="6.5703125" customWidth="1"/>
    <col min="15" max="15" width="8.28515625" customWidth="1"/>
    <col min="16" max="16" width="7.85546875" customWidth="1"/>
    <col min="17" max="17" width="6.7109375" customWidth="1"/>
    <col min="18" max="18" width="6.85546875" customWidth="1"/>
    <col min="19" max="20" width="10.5703125" customWidth="1"/>
    <col min="21" max="21" width="27.42578125" customWidth="1"/>
    <col min="22" max="22" width="8" customWidth="1"/>
    <col min="23" max="23" width="36.140625" customWidth="1"/>
    <col min="24" max="24" width="39.42578125" customWidth="1"/>
    <col min="25" max="25" width="8.85546875" customWidth="1"/>
    <col min="26" max="26" width="11.42578125" customWidth="1"/>
    <col min="27" max="27" width="10.140625" customWidth="1"/>
    <col min="28" max="28" width="8.85546875" customWidth="1"/>
    <col min="29" max="32" width="13.140625" customWidth="1"/>
    <col min="33" max="33" width="11.85546875" customWidth="1"/>
    <col min="34" max="34" width="6.5703125" customWidth="1"/>
    <col min="35" max="35" width="13.85546875" customWidth="1"/>
    <col min="36" max="38" width="10.42578125" customWidth="1"/>
    <col min="39" max="39" width="21.42578125" customWidth="1"/>
    <col min="40" max="40" width="11.42578125" customWidth="1"/>
  </cols>
  <sheetData>
    <row r="1" spans="1:5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4" t="s">
        <v>24</v>
      </c>
      <c r="Z1" s="4" t="s">
        <v>25</v>
      </c>
      <c r="AA1" s="1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4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tr">
        <f ca="1">IFERROR(__xludf.DUMMYFUNCTION("LET(
  ligasRango, Backtest!K2:K123,
  res1X2, Backtest!W2:W123,
  resOU, Backtest!X2:X123,
  stake1X2, Backtest!Y2:Y123,
  stakeOU, Backtest!Z2:Z123,
  plTotal, Backtest!V2:V123,
  ligasUnicas, SORT(UNIQUE(FILTER(ligasRango, ligasRango&lt;&gt;""""))),
  "&amp;"matriz, MAP(ligasUnicas, LAMBDA(liga, LET(
    ganadas1X2, COUNTIFS(ligasRango, liga, res1X2, ""✅ GANADA""),
    perdidas1X2, COUNTIFS(ligasRango, liga, res1X2, ""❌ PERDIDA""),
    ganadasOU, COUNTIFS(ligasRango, liga, resOU, ""✅ GANADA""),
    perdidasOU"&amp;", COUNTIFS(ligasRango, liga, resOU, ""❌ PERDIDA""),
    totGanadas, ganadas1X2 + ganadasOU,
    totPerdidas, perdidas1X2 + perdidasOU,
    totApuestas, totGanadas + totPerdidas,
    pctAcierto, IF(totApuestas=0, 0, totGanadas / totApuestas),
   "&amp;" 
    vol1X2, SUMIFS(stake1X2, ligasRango, liga, res1X2, ""✅ GANADA"") + SUMIFS(stake1X2, ligasRango, liga, res1X2, ""❌ PERDIDA""),
    volOU, SUMIFS(stakeOU, ligasRango, liga, resOU, ""✅ GANADA"") + SUMIFS(stakeOU, ligasRango, liga, resOU, ""❌ PERDIDA"")"&amp;",
    totVolumen, vol1X2 + volOU,
    totPL, SUMIFS(plTotal, ligasRango, liga),
    yieldLiga, IF(totVolumen=0, 0, totPL / totVolumen),
    HSTACK(liga, totApuestas, totGanadas, totPerdidas, pctAcierto, totPL, yieldLiga)
  ))),
  cabecer"&amp;"as, HSTACK(""LIGA"", ""APUESTAS"", ""GANADAS"", ""PERDIDAS"", ""% ACIERTO"", ""P/L NETO"", ""YIELD""),
  VSTACK(cabeceras, matriz)
)"),"LIGA")</f>
        <v>LIGA</v>
      </c>
      <c r="AV1" s="1" t="str">
        <f ca="1">IFERROR(__xludf.DUMMYFUNCTION("""COMPUTED_VALUE"""),"APUESTAS")</f>
        <v>APUESTAS</v>
      </c>
      <c r="AW1" s="1" t="str">
        <f ca="1">IFERROR(__xludf.DUMMYFUNCTION("""COMPUTED_VALUE"""),"GANADAS")</f>
        <v>GANADAS</v>
      </c>
      <c r="AX1" s="5" t="str">
        <f ca="1">IFERROR(__xludf.DUMMYFUNCTION("""COMPUTED_VALUE"""),"PERDIDAS")</f>
        <v>PERDIDAS</v>
      </c>
      <c r="AY1" s="5" t="str">
        <f ca="1">IFERROR(__xludf.DUMMYFUNCTION("""COMPUTED_VALUE"""),"% ACIERTO")</f>
        <v>% ACIERTO</v>
      </c>
      <c r="AZ1" s="5" t="str">
        <f ca="1">IFERROR(__xludf.DUMMYFUNCTION("""COMPUTED_VALUE"""),"P/L NETO")</f>
        <v>P/L NETO</v>
      </c>
      <c r="BA1" s="5" t="str">
        <f ca="1">IFERROR(__xludf.DUMMYFUNCTION("""COMPUTED_VALUE"""),"YIELD")</f>
        <v>YIELD</v>
      </c>
      <c r="BB1" s="1" t="s">
        <v>46</v>
      </c>
    </row>
    <row r="2" spans="1:54" x14ac:dyDescent="0.2">
      <c r="A2" s="7">
        <v>46097</v>
      </c>
      <c r="B2" s="1" t="s">
        <v>47</v>
      </c>
      <c r="C2" s="1" t="s">
        <v>48</v>
      </c>
      <c r="D2" s="1" t="s">
        <v>49</v>
      </c>
      <c r="E2" s="1" t="s">
        <v>50</v>
      </c>
      <c r="F2" s="1">
        <v>4.25</v>
      </c>
      <c r="G2" s="1">
        <v>1.81</v>
      </c>
      <c r="H2" s="1">
        <v>3.45</v>
      </c>
      <c r="I2" s="1"/>
      <c r="J2" s="1"/>
      <c r="K2" s="1" t="s">
        <v>51</v>
      </c>
      <c r="L2" s="5">
        <v>0.39360000000000001</v>
      </c>
      <c r="M2" s="5">
        <v>0.28860000000000002</v>
      </c>
      <c r="N2" s="5">
        <v>0.31780000000000003</v>
      </c>
      <c r="O2" s="5">
        <v>0.38269999999999998</v>
      </c>
      <c r="P2" s="5">
        <v>0.61729999999999996</v>
      </c>
      <c r="Q2" s="8">
        <v>0</v>
      </c>
      <c r="R2" s="8">
        <v>0</v>
      </c>
      <c r="S2" s="3"/>
      <c r="T2" s="3"/>
      <c r="U2" s="9" t="str">
        <f t="shared" ref="U2:U118" si="0">IF(L2="", "", IF((MAX(L2:N2) - MEDIAN(L2:N2)) &gt; 0.05, IF(OR(Q2="", R2=""), "[PREDICCION] " &amp; IF(MAX(L2:N2)=L2, "LOCAL", IF(MAX(L2:N2)=M2, "EMPATE", "VISITA")), IF(MAX(L2:N2)=L2, IF(Q2&gt;R2, "[ACIERTO]", "[FALLO]"), IF(MAX(L2:N2)=M2, IF(Q2=R2, "[ACIERTO]", "[FALLO]"), IF(Q2&lt;R2, "[ACIERTO]", "[FALLO]")))), "[PASAR] Margen Insuficiente (&lt;5%)"))</f>
        <v>[FALLO]</v>
      </c>
      <c r="V2" s="10">
        <f ca="1">IFERROR(__xludf.DUMMYFUNCTION("IF(B2="""", """", IFERROR(IF(VALUE(REGEXEXTRACT(TO_TEXT(Y2), ""[0-9.,]+"")) &gt; 0, IF(ISNUMBER(SEARCH(""[GANADA]"", W2)), VALUE(REGEXEXTRACT(TO_TEXT(Y2), ""[0-9.,]+"")) * (IF(ISNUMBER(SEARCH(""LOCAL"", W2)), VALUE(REGEXEXTRACT(TO_TEXT(F2), ""[0-9.,]+"")), I"&amp;"F(ISNUMBER(SEARCH(""EMPATE"", W2)), VALUE(REGEXEXTRACT(TO_TEXT(G2), ""[0-9.,]+"")), VALUE(REGEXEXTRACT(TO_TEXT(H2), ""[0-9.,]+"")))) - 1), IF(ISNUMBER(SEARCH(""[PERDIDA]"", W2)), -VALUE(REGEXEXTRACT(TO_TEXT(Y2), ""[0-9.,]+"")), 0)), 0), 0) + IFERROR(IF(VA"&amp;"LUE(REGEXEXTRACT(TO_TEXT(Z2), ""[0-9.,]+"")) &gt; 0, IF(ISNUMBER(SEARCH(""[GANADA]"", X2)), VALUE(REGEXEXTRACT(TO_TEXT(Z2), ""[0-9.,]+"")) * (IF(ISNUMBER(SEARCH(""OVER"", X2)), VALUE(REGEXEXTRACT(TO_TEXT(I2), ""[0-9.,]+"")), VALUE(REGEXEXTRACT(TO_TEXT(J2), "&amp;"""[0-9.,]+""))) - 1), IF(ISNUMBER(SEARCH(""[PERDIDA]"", X2)), -VALUE(REGEXEXTRACT(TO_TEXT(Z2), ""[0-9.,]+"")), 0)), 0), 0))"),-1767.77)</f>
        <v>-1767.77</v>
      </c>
      <c r="W2" s="1" t="str">
        <f>IF(OR(Q2="", R2=""), "[APOSTAR] LOCAL", IF(Q2&gt;R2, "[GANADA] LOCAL", "[PERDIDA] LOCAL"))</f>
        <v>[PERDIDA] LOCAL</v>
      </c>
      <c r="X2" s="1" t="s">
        <v>52</v>
      </c>
      <c r="Y2" s="11">
        <v>1767.77</v>
      </c>
      <c r="Z2" s="11">
        <v>0</v>
      </c>
      <c r="AA2" s="4" t="e">
        <f ca="1">IF(A2="", "", _xludf.LET(
  prevBank, IF(ROW()=2, $AT2, AA1),
  ganancia, IF(V2="", 0, V2),
  prevBank + ganancia
))</f>
        <v>#NAME?</v>
      </c>
      <c r="AB2" s="5" t="e">
        <f t="shared" ref="AB2:AB120" ca="1" si="1">IF(AA2="", "", (AA2 - MAX($AA$2:AA2)) / MAX($AA$2:AA2))</f>
        <v>#NAME?</v>
      </c>
      <c r="AC2" s="6" t="e">
        <f t="shared" ref="AC2:AC74" ca="1" si="2">_xludf.LET(valY, IF(Y2="", 0, Y2), valZ, IF(Z2="", 0, Z2), IF(AND(valY=0, valZ=0), "NO APOSTADO", _xludf.LET(suma1X2, IF((L2+M2+N2)=0, 1, L2+M2+N2), evL, IFERROR(((L2/suma1X2)*F2)-1, -100), evX, IFERROR(((M2/suma1X2)*G2)-1, -100), evV, IFERROR(((N2/suma1X2)*H2)-1, -100), max1X2, MAX(evL, evX, evV), cuota1X2, IF(max1X2=evL, F2, IF(max1X2=evX, G2, H2)), sumaOU, IF((O2+P2)=0, 1, O2+P2), evO, IFERROR(((O2/sumaOU)*I2)-1, -100), evU, IFERROR(((P2/sumaOU)*J2)-1, -100), maxOU, MAX(evO, evU), cuotaOU, IF(maxOU=evO, I2, J2), IF(valY &gt;= valZ, cuota1X2, cuotaOU))))</f>
        <v>#NAME?</v>
      </c>
      <c r="AD2" s="6"/>
      <c r="AE2" s="6"/>
      <c r="AF2" s="6" t="b">
        <v>0</v>
      </c>
      <c r="AG2" s="5" t="e">
        <f ca="1">DIVIDE(SUM(V2:V123),AT2)</f>
        <v>#NAME?</v>
      </c>
      <c r="AH2" s="5">
        <f t="array" aca="1" ref="AH2" ca="1">IFERROR(SUM(N(V2:V123)) / SUM(N(Z2:Z123) + N(Y2:Y123)), 0)</f>
        <v>-1</v>
      </c>
      <c r="AI2" s="1">
        <f>COUNTIF(W2:W123, "*[GANADA]*") + COUNTIF(W2:W123, "*[PERDIDA]*") + COUNTIF(X2:X123, "*[GANADA]*") + COUNTIF(X2:X123, "*[PERDIDA]*")</f>
        <v>30</v>
      </c>
      <c r="AJ2" s="5">
        <f>IFERROR(COUNTIF(U2:U123, "*[ACIERTO]*") / (COUNTIF(U2:U123, "*[ACIERTO]*") + COUNTIF(U2:U123, "*[FALLO]*")), 0)</f>
        <v>0.66666666666666663</v>
      </c>
      <c r="AK2" s="5">
        <f>IFERROR((COUNTIF(W2:W123, "*[GANADA]*") + COUNTIF(X2:X123, "*[GANADA]*")) / ((COUNTIF(W2:W123, "*[GANADA]*") + COUNTIF(W2:W123, "*[PERDIDA]*")) + (COUNTIF(X2:X123, "*[GANADA]*") + COUNTIF(X2:X123, "*[PERDIDA]*"))), 0)</f>
        <v>0.46666666666666667</v>
      </c>
      <c r="AL2" s="5">
        <f>(AJ2 + AK2) / 2</f>
        <v>0.56666666666666665</v>
      </c>
      <c r="AM2" s="5">
        <f ca="1">IF(AS2="", "", IFERROR(IF((AS2*1)&lt;=0, 1, _xlfn.T.DIST.RT(AS2*1, MAX(1, (COUNTIF(W$2:W2, "*[GANADA]*") + COUNTIF(W$2:W2, "*[PERDIDA]*") + COUNTIF(X$2:X2, "*[GANADA]*") + COUNTIF(X$2:X2, "*[PERDIDA]*")) - 1))), 1))</f>
        <v>0.18758694078278482</v>
      </c>
      <c r="AN2" s="5" t="e">
        <f t="shared" ref="AN2:AN86" ca="1" si="3">IF(A2="", "", _xludf.LET(
    sumaTot, L2+M2+N2,
    probL_n, L2/sumaTot, probX_n, M2/sumaTot, probV_n, N2/sumaTot,
    evL, IFERROR((probL_n * F2) - 1, -100),
    evX, IFERROR((probX_n * G2) - 1, -100),
    evV, IFERROR((probV_n * H2) - 1, -100),
    maxEV, MAX(evL, evX, evV),
    cuotaElegida, IF(maxEV=evL, F2, IF(maxEV=evX, G2, H2)),
    kelly_bruto, IF(cuotaElegida &gt; 1, maxEV / (cuotaElegida - 1), 0),
    kelly_fraccionado, kelly_bruto * 0.25,
    MAX(0, MIN(0.05, kelly_fraccionado))
))</f>
        <v>#NAME?</v>
      </c>
      <c r="AO2" s="1" t="e">
        <f t="shared" ref="AO2:AO93" ca="1" si="4">IF(OR(Q2="", R2=""), "", _xludf.LET(oLocal, IF(Q2&gt;R2, 1, 0), oEmpate, IF(Q2=R2, 1, 0), oVisita, IF(Q2&lt;R2, 1, 0), oOver, IF((Q2+R2)&gt;2, 1, 0), oUnder, IF((Q2+R2)&lt;3, 1, 0), score1X2, (L2 - oLocal)^2 + (M2 - oEmpate)^2 + (N2 - oVisita)^2, scoreOU, (O2 - oOver)^2 + (P2 - oUnder)^2, (score1X2 + scoreOU) / 2))</f>
        <v>#NAME?</v>
      </c>
      <c r="AP2" s="1" t="str">
        <f ca="1">IFERROR(AVERAGE(AO24:AO123), "Esperando resultados...")</f>
        <v>Esperando resultados...</v>
      </c>
      <c r="AQ2" s="1" t="e">
        <f t="shared" ref="AQ2:AQ92" ca="1" si="5">IF(OR(Q2="", R2="", F2=""), "", _xludf.LET(
    inv_1, 1/F2, inv_X, 1/G2, inv_2, 1/H2,
    sumBookie, inv_1 + inv_X + inv_2,
    prob_b1, inv_1/sumBookie, prob_bx, inv_X/sumBookie, prob_b2, inv_2/sumBookie,
    res_1, IF(Q2&gt;R2, 1, 0), res_X, IF(Q2=R2, 1, 0), res_2, IF(Q2&lt;R2, 1, 0),
    (prob_b1 - res_1)^2 + (prob_bx - res_X)^2 + (prob_b2 - res_2)^2
))</f>
        <v>#NAME?</v>
      </c>
      <c r="AR2" s="5" t="str">
        <f ca="1">IFERROR(1 - (AVERAGE(AO2:AO123) / AVERAGE(AQ24:AQ123)), "Recopilando...")</f>
        <v>Recopilando...</v>
      </c>
      <c r="AS2" s="1">
        <f ca="1">IFERROR(__xludf.DUMMYFUNCTION("IFERROR(AVERAGE(FILTER(V2:V123, (ISNUMBER(SEARCH(""[GANADA]"", W2:W123)) + ISNUMBER(SEARCH(""[PERDIDA]"", W2:W123)) + ISNUMBER(SEARCH(""[GANADA]"", X2:X123)) + ISNUMBER(SEARCH(""[PERDIDA]"", X2:X123))) &gt; 0)) / (STDEV(FILTER(V2:V123, (ISNUMBER(SEARCH(""[GA"&amp;"NADA]"", W2:W123)) + ISNUMBER(SEARCH(""[PERDIDA]"", W2:W123)) + ISNUMBER(SEARCH(""[GANADA]"", X2:X123)) + ISNUMBER(SEARCH(""[PERDIDA]"", X2:X123))) &gt; 0)) / SQRT(AI2)), 0)"),1.49572122159737)</f>
        <v>1.4957212215973701</v>
      </c>
      <c r="AT2" s="4">
        <v>100000</v>
      </c>
      <c r="AU2" s="9" t="str">
        <f ca="1">IFERROR(__xludf.DUMMYFUNCTION("""COMPUTED_VALUE"""),"Argentina")</f>
        <v>Argentina</v>
      </c>
      <c r="AV2" s="9">
        <f ca="1">IFERROR(__xludf.DUMMYFUNCTION("""COMPUTED_VALUE"""),0)</f>
        <v>0</v>
      </c>
      <c r="AW2" s="9">
        <f ca="1">IFERROR(__xludf.DUMMYFUNCTION("""COMPUTED_VALUE"""),0)</f>
        <v>0</v>
      </c>
      <c r="AX2" s="9">
        <f ca="1">IFERROR(__xludf.DUMMYFUNCTION("""COMPUTED_VALUE"""),0)</f>
        <v>0</v>
      </c>
      <c r="AY2" s="9">
        <f ca="1">IFERROR(__xludf.DUMMYFUNCTION("""COMPUTED_VALUE"""),0)</f>
        <v>0</v>
      </c>
      <c r="AZ2" s="9">
        <f ca="1">IFERROR(__xludf.DUMMYFUNCTION("""COMPUTED_VALUE"""),1034.13199999999)</f>
        <v>1034.1319999999901</v>
      </c>
      <c r="BA2" s="9">
        <f ca="1">IFERROR(__xludf.DUMMYFUNCTION("""COMPUTED_VALUE"""),0)</f>
        <v>0</v>
      </c>
      <c r="BB2" s="9"/>
    </row>
    <row r="3" spans="1:54" x14ac:dyDescent="0.2">
      <c r="A3" s="7">
        <v>46097</v>
      </c>
      <c r="B3" s="1" t="s">
        <v>53</v>
      </c>
      <c r="C3" s="1" t="s">
        <v>54</v>
      </c>
      <c r="D3" s="1" t="s">
        <v>55</v>
      </c>
      <c r="E3" s="1" t="s">
        <v>56</v>
      </c>
      <c r="F3" s="1">
        <v>1.36</v>
      </c>
      <c r="G3" s="1">
        <v>3.75</v>
      </c>
      <c r="H3" s="1">
        <v>13</v>
      </c>
      <c r="I3" s="1"/>
      <c r="J3" s="1"/>
      <c r="K3" s="1" t="s">
        <v>51</v>
      </c>
      <c r="L3" s="5">
        <v>0.45660000000000001</v>
      </c>
      <c r="M3" s="5">
        <v>0.25619999999999998</v>
      </c>
      <c r="N3" s="5">
        <v>0.28720000000000001</v>
      </c>
      <c r="O3" s="5">
        <v>0.49280000000000002</v>
      </c>
      <c r="P3" s="5">
        <v>0.50719999999999998</v>
      </c>
      <c r="Q3" s="8">
        <v>2</v>
      </c>
      <c r="R3" s="8">
        <v>1</v>
      </c>
      <c r="S3" s="3"/>
      <c r="T3" s="3"/>
      <c r="U3" s="9" t="str">
        <f t="shared" si="0"/>
        <v>[ACIERTO]</v>
      </c>
      <c r="V3" s="10">
        <f ca="1">IFERROR(__xludf.DUMMYFUNCTION("IF(B3="""", """", IFERROR(IF(VALUE(REGEXEXTRACT(TO_TEXT(Y3), ""[0-9.,]+"")) &gt; 0, IF(ISNUMBER(SEARCH(""[GANADA]"", W3)), VALUE(REGEXEXTRACT(TO_TEXT(Y3), ""[0-9.,]+"")) * (IF(ISNUMBER(SEARCH(""LOCAL"", W3)), VALUE(REGEXEXTRACT(TO_TEXT(F3), ""[0-9.,]+"")), I"&amp;"F(ISNUMBER(SEARCH(""EMPATE"", W3)), VALUE(REGEXEXTRACT(TO_TEXT(G3), ""[0-9.,]+"")), VALUE(REGEXEXTRACT(TO_TEXT(H3), ""[0-9.,]+"")))) - 1), IF(ISNUMBER(SEARCH(""[PERDIDA]"", W3)), -VALUE(REGEXEXTRACT(TO_TEXT(Y3), ""[0-9.,]+"")), 0)), 0), 0) + IFERROR(IF(VA"&amp;"LUE(REGEXEXTRACT(TO_TEXT(Z3), ""[0-9.,]+"")) &gt; 0, IF(ISNUMBER(SEARCH(""[GANADA]"", X3)), VALUE(REGEXEXTRACT(TO_TEXT(Z3), ""[0-9.,]+"")) * (IF(ISNUMBER(SEARCH(""OVER"", X3)), VALUE(REGEXEXTRACT(TO_TEXT(I3), ""[0-9.,]+"")), VALUE(REGEXEXTRACT(TO_TEXT(J3), "&amp;"""[0-9.,]+""))) - 1), IF(ISNUMBER(SEARCH(""[PERDIDA]"", X3)), -VALUE(REGEXEXTRACT(TO_TEXT(Z3), ""[0-9.,]+"")), 0)), 0), 0))"),0)</f>
        <v>0</v>
      </c>
      <c r="W3" s="1" t="s">
        <v>57</v>
      </c>
      <c r="X3" s="1" t="s">
        <v>52</v>
      </c>
      <c r="Y3" s="4">
        <v>0</v>
      </c>
      <c r="Z3" s="12">
        <v>0</v>
      </c>
      <c r="AA3" s="4" t="e">
        <f t="shared" ref="AA3:AA121" ca="1" si="6">IF(A3="", "", _xludf.LET(
  prevBank, IF(ROW()=2,#REF!, AA2),
  ganancia, IF(V3="", 0, V3),
  prevBank + ganancia
))</f>
        <v>#NAME?</v>
      </c>
      <c r="AB3" s="5" t="e">
        <f t="shared" ca="1" si="1"/>
        <v>#NAME?</v>
      </c>
      <c r="AC3" s="6" t="e">
        <f t="shared" ca="1" si="2"/>
        <v>#NAME?</v>
      </c>
      <c r="AD3" s="6"/>
      <c r="AE3" s="6"/>
      <c r="AF3" s="6" t="b">
        <v>0</v>
      </c>
      <c r="AG3" s="5"/>
      <c r="AH3" s="1"/>
      <c r="AI3" s="1"/>
      <c r="AJ3" s="1"/>
      <c r="AK3" s="1"/>
      <c r="AL3" s="1"/>
      <c r="AM3" s="1"/>
      <c r="AN3" s="5" t="e">
        <f t="shared" ca="1" si="3"/>
        <v>#NAME?</v>
      </c>
      <c r="AO3" s="1" t="e">
        <f t="shared" ca="1" si="4"/>
        <v>#NAME?</v>
      </c>
      <c r="AP3" s="1"/>
      <c r="AQ3" s="1" t="e">
        <f t="shared" ca="1" si="5"/>
        <v>#NAME?</v>
      </c>
      <c r="AR3" s="9"/>
      <c r="AS3" s="9"/>
      <c r="AT3" s="9"/>
      <c r="AU3" s="9" t="str">
        <f ca="1">IFERROR(__xludf.DUMMYFUNCTION("""COMPUTED_VALUE"""),"Brasil")</f>
        <v>Brasil</v>
      </c>
      <c r="AV3" s="9">
        <f ca="1">IFERROR(__xludf.DUMMYFUNCTION("""COMPUTED_VALUE"""),0)</f>
        <v>0</v>
      </c>
      <c r="AW3" s="9">
        <f ca="1">IFERROR(__xludf.DUMMYFUNCTION("""COMPUTED_VALUE"""),0)</f>
        <v>0</v>
      </c>
      <c r="AX3" s="9">
        <f ca="1">IFERROR(__xludf.DUMMYFUNCTION("""COMPUTED_VALUE"""),0)</f>
        <v>0</v>
      </c>
      <c r="AY3" s="9">
        <f ca="1">IFERROR(__xludf.DUMMYFUNCTION("""COMPUTED_VALUE"""),0)</f>
        <v>0</v>
      </c>
      <c r="AZ3" s="9">
        <f ca="1">IFERROR(__xludf.DUMMYFUNCTION("""COMPUTED_VALUE"""),1888.9977)</f>
        <v>1888.9976999999999</v>
      </c>
      <c r="BA3" s="9">
        <f ca="1">IFERROR(__xludf.DUMMYFUNCTION("""COMPUTED_VALUE"""),0)</f>
        <v>0</v>
      </c>
      <c r="BB3" s="9"/>
    </row>
    <row r="4" spans="1:54" x14ac:dyDescent="0.2">
      <c r="A4" s="7">
        <v>46097</v>
      </c>
      <c r="B4" s="1" t="s">
        <v>58</v>
      </c>
      <c r="C4" s="1" t="s">
        <v>59</v>
      </c>
      <c r="D4" s="1" t="s">
        <v>60</v>
      </c>
      <c r="E4" s="1" t="s">
        <v>61</v>
      </c>
      <c r="F4" s="1">
        <v>1.55</v>
      </c>
      <c r="G4" s="1">
        <v>4.55</v>
      </c>
      <c r="H4" s="1">
        <v>5.9</v>
      </c>
      <c r="I4" s="1">
        <v>1.65</v>
      </c>
      <c r="J4" s="1">
        <v>2.25</v>
      </c>
      <c r="K4" s="1" t="s">
        <v>62</v>
      </c>
      <c r="L4" s="5">
        <v>0.43959999999999999</v>
      </c>
      <c r="M4" s="5">
        <v>0.26379999999999998</v>
      </c>
      <c r="N4" s="5">
        <v>0.29659999999999997</v>
      </c>
      <c r="O4" s="5">
        <v>0.46650000000000003</v>
      </c>
      <c r="P4" s="5">
        <v>0.53349999999999997</v>
      </c>
      <c r="Q4" s="13">
        <v>2</v>
      </c>
      <c r="R4" s="13">
        <v>2</v>
      </c>
      <c r="S4" s="3"/>
      <c r="T4" s="3"/>
      <c r="U4" s="9" t="str">
        <f t="shared" si="0"/>
        <v>[FALLO]</v>
      </c>
      <c r="V4" s="10">
        <f ca="1">IFERROR(__xludf.DUMMYFUNCTION("IF(B4="""", """", IFERROR(IF(VALUE(REGEXEXTRACT(TO_TEXT(Y4), ""[0-9.,]+"")) &gt; 0, IF(ISNUMBER(SEARCH(""[GANADA]"", W4)), VALUE(REGEXEXTRACT(TO_TEXT(Y4), ""[0-9.,]+"")) * (IF(ISNUMBER(SEARCH(""LOCAL"", W4)), VALUE(REGEXEXTRACT(TO_TEXT(F4), ""[0-9.,]+"")), I"&amp;"F(ISNUMBER(SEARCH(""EMPATE"", W4)), VALUE(REGEXEXTRACT(TO_TEXT(G4), ""[0-9.,]+"")), VALUE(REGEXEXTRACT(TO_TEXT(H4), ""[0-9.,]+"")))) - 1), IF(ISNUMBER(SEARCH(""[PERDIDA]"", W4)), -VALUE(REGEXEXTRACT(TO_TEXT(Y4), ""[0-9.,]+"")), 0)), 0), 0) + IFERROR(IF(VA"&amp;"LUE(REGEXEXTRACT(TO_TEXT(Z4), ""[0-9.,]+"")) &gt; 0, IF(ISNUMBER(SEARCH(""[GANADA]"", X4)), VALUE(REGEXEXTRACT(TO_TEXT(Z4), ""[0-9.,]+"")) * (IF(ISNUMBER(SEARCH(""OVER"", X4)), VALUE(REGEXEXTRACT(TO_TEXT(I4), ""[0-9.,]+"")), VALUE(REGEXEXTRACT(TO_TEXT(J4), "&amp;"""[0-9.,]+""))) - 1), IF(ISNUMBER(SEARCH(""[PERDIDA]"", X4)), -VALUE(REGEXEXTRACT(TO_TEXT(Z4), ""[0-9.,]+"")), 0)), 0), 0))"),8875)</f>
        <v>8875</v>
      </c>
      <c r="W4" s="1" t="str">
        <f>IF(OR(Q4="", R4=""), "[APOSTAR] EMPATE", IF(Q4=R4, "[GANADA] EMPATE", "[PERDIDA] EMPATE"))</f>
        <v>[GANADA] EMPATE</v>
      </c>
      <c r="X4" s="14" t="s">
        <v>63</v>
      </c>
      <c r="Y4" s="4">
        <v>2500</v>
      </c>
      <c r="Z4" s="12">
        <v>0</v>
      </c>
      <c r="AA4" s="4" t="e">
        <f t="shared" ca="1" si="6"/>
        <v>#NAME?</v>
      </c>
      <c r="AB4" s="5" t="e">
        <f t="shared" ca="1" si="1"/>
        <v>#NAME?</v>
      </c>
      <c r="AC4" s="6" t="e">
        <f t="shared" ca="1" si="2"/>
        <v>#NAME?</v>
      </c>
      <c r="AD4" s="6"/>
      <c r="AE4" s="6"/>
      <c r="AF4" s="6" t="b">
        <v>0</v>
      </c>
      <c r="AG4" s="5"/>
      <c r="AH4" s="1"/>
      <c r="AI4" s="1"/>
      <c r="AJ4" s="1"/>
      <c r="AK4" s="1"/>
      <c r="AL4" s="1"/>
      <c r="AM4" s="1"/>
      <c r="AN4" s="5" t="e">
        <f t="shared" ca="1" si="3"/>
        <v>#NAME?</v>
      </c>
      <c r="AO4" s="1" t="e">
        <f t="shared" ca="1" si="4"/>
        <v>#NAME?</v>
      </c>
      <c r="AP4" s="1"/>
      <c r="AQ4" s="1" t="e">
        <f t="shared" ca="1" si="5"/>
        <v>#NAME?</v>
      </c>
      <c r="AR4" s="9"/>
      <c r="AS4" s="9"/>
      <c r="AT4" s="9"/>
      <c r="AU4" s="9" t="str">
        <f ca="1">IFERROR(__xludf.DUMMYFUNCTION("""COMPUTED_VALUE"""),"Inglaterra")</f>
        <v>Inglaterra</v>
      </c>
      <c r="AV4" s="9">
        <f ca="1">IFERROR(__xludf.DUMMYFUNCTION("""COMPUTED_VALUE"""),0)</f>
        <v>0</v>
      </c>
      <c r="AW4" s="9">
        <f ca="1">IFERROR(__xludf.DUMMYFUNCTION("""COMPUTED_VALUE"""),0)</f>
        <v>0</v>
      </c>
      <c r="AX4" s="9">
        <f ca="1">IFERROR(__xludf.DUMMYFUNCTION("""COMPUTED_VALUE"""),0)</f>
        <v>0</v>
      </c>
      <c r="AY4" s="9">
        <f ca="1">IFERROR(__xludf.DUMMYFUNCTION("""COMPUTED_VALUE"""),0)</f>
        <v>0</v>
      </c>
      <c r="AZ4" s="9">
        <f ca="1">IFERROR(__xludf.DUMMYFUNCTION("""COMPUTED_VALUE"""),13651.3604999999)</f>
        <v>13651.360499999901</v>
      </c>
      <c r="BA4" s="9">
        <f ca="1">IFERROR(__xludf.DUMMYFUNCTION("""COMPUTED_VALUE"""),0)</f>
        <v>0</v>
      </c>
      <c r="BB4" s="9"/>
    </row>
    <row r="5" spans="1:54" x14ac:dyDescent="0.2">
      <c r="A5" s="7">
        <v>46097</v>
      </c>
      <c r="B5" s="1" t="s">
        <v>64</v>
      </c>
      <c r="C5" s="1" t="s">
        <v>65</v>
      </c>
      <c r="D5" s="1" t="s">
        <v>66</v>
      </c>
      <c r="E5" s="1" t="s">
        <v>67</v>
      </c>
      <c r="F5" s="1">
        <v>2.75</v>
      </c>
      <c r="G5" s="1">
        <v>3.3</v>
      </c>
      <c r="H5" s="1">
        <v>2.2999999999999998</v>
      </c>
      <c r="I5" s="1">
        <v>1.92</v>
      </c>
      <c r="J5" s="1">
        <v>1.93</v>
      </c>
      <c r="K5" s="1" t="s">
        <v>68</v>
      </c>
      <c r="L5" s="5">
        <v>0.43440000000000001</v>
      </c>
      <c r="M5" s="5">
        <v>0.25019999999999998</v>
      </c>
      <c r="N5" s="5">
        <v>0.31540000000000001</v>
      </c>
      <c r="O5" s="5">
        <v>0.53149999999999997</v>
      </c>
      <c r="P5" s="5">
        <v>0.46850000000000003</v>
      </c>
      <c r="Q5" s="15">
        <v>1</v>
      </c>
      <c r="R5" s="15">
        <v>1</v>
      </c>
      <c r="S5" s="3"/>
      <c r="T5" s="3"/>
      <c r="U5" s="9" t="str">
        <f t="shared" si="0"/>
        <v>[FALLO]</v>
      </c>
      <c r="V5" s="10">
        <f ca="1">IFERROR(__xludf.DUMMYFUNCTION("IF(B5="""", """", IFERROR(IF(VALUE(REGEXEXTRACT(TO_TEXT(Y5), ""[0-9.,]+"")) &gt; 0, IF(ISNUMBER(SEARCH(""[GANADA]"", W5)), VALUE(REGEXEXTRACT(TO_TEXT(Y5), ""[0-9.,]+"")) * (IF(ISNUMBER(SEARCH(""LOCAL"", W5)), VALUE(REGEXEXTRACT(TO_TEXT(F5), ""[0-9.,]+"")), I"&amp;"F(ISNUMBER(SEARCH(""EMPATE"", W5)), VALUE(REGEXEXTRACT(TO_TEXT(G5), ""[0-9.,]+"")), VALUE(REGEXEXTRACT(TO_TEXT(H5), ""[0-9.,]+"")))) - 1), IF(ISNUMBER(SEARCH(""[PERDIDA]"", W5)), -VALUE(REGEXEXTRACT(TO_TEXT(Y5), ""[0-9.,]+"")), 0)), 0), 0) + IFERROR(IF(VA"&amp;"LUE(REGEXEXTRACT(TO_TEXT(Z5), ""[0-9.,]+"")) &gt; 0, IF(ISNUMBER(SEARCH(""[GANADA]"", X5)), VALUE(REGEXEXTRACT(TO_TEXT(Z5), ""[0-9.,]+"")) * (IF(ISNUMBER(SEARCH(""OVER"", X5)), VALUE(REGEXEXTRACT(TO_TEXT(I5), ""[0-9.,]+"")), VALUE(REGEXEXTRACT(TO_TEXT(J5), "&amp;"""[0-9.,]+""))) - 1), IF(ISNUMBER(SEARCH(""[PERDIDA]"", X5)), -VALUE(REGEXEXTRACT(TO_TEXT(Z5), ""[0-9.,]+"")), 0)), 0), 0))"),-2500)</f>
        <v>-2500</v>
      </c>
      <c r="W5" s="1" t="str">
        <f>IF(OR(Q5="", R5=""), "[APOSTAR] LOCAL", IF(Q5&gt;R5, "[GANADA] LOCAL", "[PERDIDA] LOCAL"))</f>
        <v>[PERDIDA] LOCAL</v>
      </c>
      <c r="X5" s="14" t="s">
        <v>63</v>
      </c>
      <c r="Y5" s="11">
        <v>2500</v>
      </c>
      <c r="Z5" s="11">
        <v>0</v>
      </c>
      <c r="AA5" s="4" t="e">
        <f t="shared" ca="1" si="6"/>
        <v>#NAME?</v>
      </c>
      <c r="AB5" s="5" t="e">
        <f t="shared" ca="1" si="1"/>
        <v>#NAME?</v>
      </c>
      <c r="AC5" s="6" t="e">
        <f t="shared" ca="1" si="2"/>
        <v>#NAME?</v>
      </c>
      <c r="AD5" s="6"/>
      <c r="AE5" s="6"/>
      <c r="AF5" s="6" t="b">
        <v>0</v>
      </c>
      <c r="AG5" s="5"/>
      <c r="AH5" s="1"/>
      <c r="AI5" s="1"/>
      <c r="AJ5" s="1"/>
      <c r="AK5" s="1"/>
      <c r="AL5" s="1"/>
      <c r="AM5" s="1"/>
      <c r="AN5" s="5" t="e">
        <f t="shared" ca="1" si="3"/>
        <v>#NAME?</v>
      </c>
      <c r="AO5" s="1" t="e">
        <f t="shared" ca="1" si="4"/>
        <v>#NAME?</v>
      </c>
      <c r="AP5" s="1"/>
      <c r="AQ5" s="1" t="e">
        <f t="shared" ca="1" si="5"/>
        <v>#NAME?</v>
      </c>
      <c r="AR5" s="1"/>
      <c r="AS5" s="1"/>
      <c r="AT5" s="1"/>
      <c r="AU5" s="1" t="str">
        <f ca="1">IFERROR(__xludf.DUMMYFUNCTION("""COMPUTED_VALUE"""),"Noruega")</f>
        <v>Noruega</v>
      </c>
      <c r="AV5" s="1">
        <f ca="1">IFERROR(__xludf.DUMMYFUNCTION("""COMPUTED_VALUE"""),0)</f>
        <v>0</v>
      </c>
      <c r="AW5" s="1">
        <f ca="1">IFERROR(__xludf.DUMMYFUNCTION("""COMPUTED_VALUE"""),0)</f>
        <v>0</v>
      </c>
      <c r="AX5" s="5">
        <f ca="1">IFERROR(__xludf.DUMMYFUNCTION("""COMPUTED_VALUE"""),0)</f>
        <v>0</v>
      </c>
      <c r="AY5" s="5">
        <f ca="1">IFERROR(__xludf.DUMMYFUNCTION("""COMPUTED_VALUE"""),0)</f>
        <v>0</v>
      </c>
      <c r="AZ5" s="5">
        <f ca="1">IFERROR(__xludf.DUMMYFUNCTION("""COMPUTED_VALUE"""),7373.999)</f>
        <v>7373.9989999999998</v>
      </c>
      <c r="BA5" s="5">
        <f ca="1">IFERROR(__xludf.DUMMYFUNCTION("""COMPUTED_VALUE"""),0)</f>
        <v>0</v>
      </c>
      <c r="BB5" s="1" t="s">
        <v>69</v>
      </c>
    </row>
    <row r="6" spans="1:54" x14ac:dyDescent="0.2">
      <c r="A6" s="16">
        <v>46097</v>
      </c>
      <c r="B6" s="8" t="s">
        <v>70</v>
      </c>
      <c r="C6" s="8" t="s">
        <v>71</v>
      </c>
      <c r="D6" s="8" t="s">
        <v>72</v>
      </c>
      <c r="E6" s="8" t="s">
        <v>73</v>
      </c>
      <c r="F6" s="8">
        <v>2.63</v>
      </c>
      <c r="G6" s="8">
        <v>3</v>
      </c>
      <c r="H6" s="8">
        <v>2.85</v>
      </c>
      <c r="I6" s="8">
        <v>2.68</v>
      </c>
      <c r="J6" s="8">
        <v>1.46</v>
      </c>
      <c r="K6" s="8" t="s">
        <v>51</v>
      </c>
      <c r="L6" s="17">
        <v>0.38450000000000001</v>
      </c>
      <c r="M6" s="17">
        <v>0.28370000000000001</v>
      </c>
      <c r="N6" s="17">
        <v>0.33179999999999998</v>
      </c>
      <c r="O6" s="17">
        <v>0.40189999999999998</v>
      </c>
      <c r="P6" s="17">
        <v>0.59809999999999997</v>
      </c>
      <c r="Q6" s="8">
        <v>2</v>
      </c>
      <c r="R6" s="8">
        <v>1</v>
      </c>
      <c r="S6" s="18"/>
      <c r="T6" s="18"/>
      <c r="U6" s="9" t="str">
        <f t="shared" si="0"/>
        <v>[ACIERTO]</v>
      </c>
      <c r="V6" s="10">
        <f ca="1">IFERROR(__xludf.DUMMYFUNCTION("IF(B6="""", """", IFERROR(IF(VALUE(REGEXEXTRACT(TO_TEXT(Y6), ""[0-9.,]+"")) &gt; 0, IF(ISNUMBER(SEARCH(""[GANADA]"", W6)), VALUE(REGEXEXTRACT(TO_TEXT(Y6), ""[0-9.,]+"")) * (IF(ISNUMBER(SEARCH(""LOCAL"", W6)), VALUE(REGEXEXTRACT(TO_TEXT(F6), ""[0-9.,]+"")), I"&amp;"F(ISNUMBER(SEARCH(""EMPATE"", W6)), VALUE(REGEXEXTRACT(TO_TEXT(G6), ""[0-9.,]+"")), VALUE(REGEXEXTRACT(TO_TEXT(H6), ""[0-9.,]+"")))) - 1), IF(ISNUMBER(SEARCH(""[PERDIDA]"", W6)), -VALUE(REGEXEXTRACT(TO_TEXT(Y6), ""[0-9.,]+"")), 0)), 0), 0) + IFERROR(IF(VA"&amp;"LUE(REGEXEXTRACT(TO_TEXT(Z6), ""[0-9.,]+"")) &gt; 0, IF(ISNUMBER(SEARCH(""[GANADA]"", X6)), VALUE(REGEXEXTRACT(TO_TEXT(Z6), ""[0-9.,]+"")) * (IF(ISNUMBER(SEARCH(""OVER"", X6)), VALUE(REGEXEXTRACT(TO_TEXT(I6), ""[0-9.,]+"")), VALUE(REGEXEXTRACT(TO_TEXT(J6), "&amp;"""[0-9.,]+""))) - 1), IF(ISNUMBER(SEARCH(""[PERDIDA]"", X6)), -VALUE(REGEXEXTRACT(TO_TEXT(Z6), ""[0-9.,]+"")), 0)), 0), 0))"),0)</f>
        <v>0</v>
      </c>
      <c r="W6" s="1" t="s">
        <v>57</v>
      </c>
      <c r="X6" s="14" t="s">
        <v>57</v>
      </c>
      <c r="Y6" s="11">
        <v>0</v>
      </c>
      <c r="Z6" s="11">
        <v>0</v>
      </c>
      <c r="AA6" s="4" t="e">
        <f t="shared" ca="1" si="6"/>
        <v>#NAME?</v>
      </c>
      <c r="AB6" s="5" t="e">
        <f t="shared" ca="1" si="1"/>
        <v>#NAME?</v>
      </c>
      <c r="AC6" s="6" t="e">
        <f t="shared" ca="1" si="2"/>
        <v>#NAME?</v>
      </c>
      <c r="AD6" s="6"/>
      <c r="AE6" s="6"/>
      <c r="AF6" s="6" t="b">
        <v>0</v>
      </c>
      <c r="AG6" s="5"/>
      <c r="AH6" s="1"/>
      <c r="AI6" s="1"/>
      <c r="AJ6" s="1"/>
      <c r="AK6" s="1"/>
      <c r="AL6" s="1"/>
      <c r="AM6" s="1"/>
      <c r="AN6" s="5" t="e">
        <f t="shared" ca="1" si="3"/>
        <v>#NAME?</v>
      </c>
      <c r="AO6" s="1" t="e">
        <f t="shared" ca="1" si="4"/>
        <v>#NAME?</v>
      </c>
      <c r="AP6" s="1"/>
      <c r="AQ6" s="1" t="e">
        <f t="shared" ca="1" si="5"/>
        <v>#NAME?</v>
      </c>
      <c r="AR6" s="1"/>
      <c r="AS6" s="1"/>
      <c r="AT6" s="1"/>
      <c r="AU6" s="1" t="str">
        <f ca="1">IFERROR(__xludf.DUMMYFUNCTION("""COMPUTED_VALUE"""),"Turquia")</f>
        <v>Turquia</v>
      </c>
      <c r="AV6" s="1">
        <f ca="1">IFERROR(__xludf.DUMMYFUNCTION("""COMPUTED_VALUE"""),0)</f>
        <v>0</v>
      </c>
      <c r="AW6" s="1">
        <f ca="1">IFERROR(__xludf.DUMMYFUNCTION("""COMPUTED_VALUE"""),0)</f>
        <v>0</v>
      </c>
      <c r="AX6" s="1">
        <f ca="1">IFERROR(__xludf.DUMMYFUNCTION("""COMPUTED_VALUE"""),0)</f>
        <v>0</v>
      </c>
      <c r="AY6" s="5">
        <f ca="1">IFERROR(__xludf.DUMMYFUNCTION("""COMPUTED_VALUE"""),0)</f>
        <v>0</v>
      </c>
      <c r="AZ6" s="4">
        <f ca="1">IFERROR(__xludf.DUMMYFUNCTION("""COMPUTED_VALUE"""),0)</f>
        <v>0</v>
      </c>
      <c r="BA6" s="5">
        <f ca="1">IFERROR(__xludf.DUMMYFUNCTION("""COMPUTED_VALUE"""),0)</f>
        <v>0</v>
      </c>
      <c r="BB6" s="1"/>
    </row>
    <row r="7" spans="1:54" x14ac:dyDescent="0.2">
      <c r="A7" s="7">
        <v>46097</v>
      </c>
      <c r="B7" s="1" t="s">
        <v>74</v>
      </c>
      <c r="C7" s="1" t="s">
        <v>75</v>
      </c>
      <c r="D7" s="1" t="s">
        <v>76</v>
      </c>
      <c r="E7" s="1" t="s">
        <v>77</v>
      </c>
      <c r="F7" s="1">
        <v>1.42</v>
      </c>
      <c r="G7" s="1">
        <v>4.2</v>
      </c>
      <c r="H7" s="1">
        <v>8.5</v>
      </c>
      <c r="I7" s="1">
        <v>2.2000000000000002</v>
      </c>
      <c r="J7" s="1">
        <v>1.63</v>
      </c>
      <c r="K7" s="1" t="s">
        <v>51</v>
      </c>
      <c r="L7" s="5">
        <v>0.4632</v>
      </c>
      <c r="M7" s="5">
        <v>0.2702</v>
      </c>
      <c r="N7" s="5">
        <v>0.2666</v>
      </c>
      <c r="O7" s="5">
        <v>0.42720000000000002</v>
      </c>
      <c r="P7" s="5">
        <v>0.57279999999999998</v>
      </c>
      <c r="Q7" s="8">
        <v>2</v>
      </c>
      <c r="R7" s="8">
        <v>0</v>
      </c>
      <c r="S7" s="3"/>
      <c r="T7" s="3"/>
      <c r="U7" s="9" t="str">
        <f t="shared" si="0"/>
        <v>[ACIERTO]</v>
      </c>
      <c r="V7" s="10">
        <f ca="1">IFERROR(__xludf.DUMMYFUNCTION("IF(B7="""", """", IFERROR(IF(VALUE(REGEXEXTRACT(TO_TEXT(Y7), ""[0-9.,]+"")) &gt; 0, IF(ISNUMBER(SEARCH(""[GANADA]"", W7)), VALUE(REGEXEXTRACT(TO_TEXT(Y7), ""[0-9.,]+"")) * (IF(ISNUMBER(SEARCH(""LOCAL"", W7)), VALUE(REGEXEXTRACT(TO_TEXT(F7), ""[0-9.,]+"")), I"&amp;"F(ISNUMBER(SEARCH(""EMPATE"", W7)), VALUE(REGEXEXTRACT(TO_TEXT(G7), ""[0-9.,]+"")), VALUE(REGEXEXTRACT(TO_TEXT(H7), ""[0-9.,]+"")))) - 1), IF(ISNUMBER(SEARCH(""[PERDIDA]"", W7)), -VALUE(REGEXEXTRACT(TO_TEXT(Y7), ""[0-9.,]+"")), 0)), 0), 0) + IFERROR(IF(VA"&amp;"LUE(REGEXEXTRACT(TO_TEXT(Z7), ""[0-9.,]+"")) &gt; 0, IF(ISNUMBER(SEARCH(""[GANADA]"", X7)), VALUE(REGEXEXTRACT(TO_TEXT(Z7), ""[0-9.,]+"")) * (IF(ISNUMBER(SEARCH(""OVER"", X7)), VALUE(REGEXEXTRACT(TO_TEXT(I7), ""[0-9.,]+"")), VALUE(REGEXEXTRACT(TO_TEXT(J7), "&amp;"""[0-9.,]+""))) - 1), IF(ISNUMBER(SEARCH(""[PERDIDA]"", X7)), -VALUE(REGEXEXTRACT(TO_TEXT(Z7), ""[0-9.,]+"")), 0)), 0), 0))"),-1767.77)</f>
        <v>-1767.77</v>
      </c>
      <c r="W7" s="1" t="str">
        <f>IF(OR(Q7="", R7=""), "[APOSTAR] EMPATE", IF(Q7=R7, "[GANADA] EMPATE", "[PERDIDA] EMPATE"))</f>
        <v>[PERDIDA] EMPATE</v>
      </c>
      <c r="X7" s="14" t="s">
        <v>63</v>
      </c>
      <c r="Y7" s="4">
        <v>1767.77</v>
      </c>
      <c r="Z7" s="12">
        <v>0</v>
      </c>
      <c r="AA7" s="4" t="e">
        <f t="shared" ca="1" si="6"/>
        <v>#NAME?</v>
      </c>
      <c r="AB7" s="5" t="e">
        <f t="shared" ca="1" si="1"/>
        <v>#NAME?</v>
      </c>
      <c r="AC7" s="6" t="e">
        <f t="shared" ca="1" si="2"/>
        <v>#NAME?</v>
      </c>
      <c r="AD7" s="6"/>
      <c r="AE7" s="6"/>
      <c r="AF7" s="6" t="b">
        <v>0</v>
      </c>
      <c r="AG7" s="5"/>
      <c r="AH7" s="1"/>
      <c r="AI7" s="1"/>
      <c r="AJ7" s="1"/>
      <c r="AK7" s="1"/>
      <c r="AL7" s="1"/>
      <c r="AM7" s="1"/>
      <c r="AN7" s="5" t="e">
        <f t="shared" ca="1" si="3"/>
        <v>#NAME?</v>
      </c>
      <c r="AO7" s="1" t="e">
        <f t="shared" ca="1" si="4"/>
        <v>#NAME?</v>
      </c>
      <c r="AP7" s="1"/>
      <c r="AQ7" s="1" t="e">
        <f t="shared" ca="1" si="5"/>
        <v>#NAME?</v>
      </c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8" spans="1:54" x14ac:dyDescent="0.2">
      <c r="A8" s="16">
        <v>46097</v>
      </c>
      <c r="B8" s="8" t="s">
        <v>78</v>
      </c>
      <c r="C8" s="8" t="s">
        <v>79</v>
      </c>
      <c r="D8" s="8" t="s">
        <v>80</v>
      </c>
      <c r="E8" s="8" t="s">
        <v>81</v>
      </c>
      <c r="F8" s="8">
        <v>2.2000000000000002</v>
      </c>
      <c r="G8" s="8">
        <v>2.95</v>
      </c>
      <c r="H8" s="8">
        <v>3.7</v>
      </c>
      <c r="I8" s="8">
        <v>2.95</v>
      </c>
      <c r="J8" s="8">
        <v>1.39</v>
      </c>
      <c r="K8" s="8" t="s">
        <v>51</v>
      </c>
      <c r="L8" s="17">
        <v>0.38679999999999998</v>
      </c>
      <c r="M8" s="17">
        <v>0.27089999999999997</v>
      </c>
      <c r="N8" s="17">
        <v>0.34229999999999999</v>
      </c>
      <c r="O8" s="17">
        <v>0.45129999999999998</v>
      </c>
      <c r="P8" s="17">
        <v>0.54869999999999997</v>
      </c>
      <c r="Q8" s="8">
        <v>2</v>
      </c>
      <c r="R8" s="8">
        <v>5</v>
      </c>
      <c r="S8" s="18"/>
      <c r="T8" s="18"/>
      <c r="U8" s="9" t="str">
        <f t="shared" si="0"/>
        <v>[PASAR] Margen Insuficiente (&lt;5%)</v>
      </c>
      <c r="V8" s="10">
        <f ca="1">IFERROR(__xludf.DUMMYFUNCTION("IF(B8="""", """", IFERROR(IF(VALUE(REGEXEXTRACT(TO_TEXT(Y8), ""[0-9.,]+"")) &gt; 0, IF(ISNUMBER(SEARCH(""[GANADA]"", W8)), VALUE(REGEXEXTRACT(TO_TEXT(Y8), ""[0-9.,]+"")) * (IF(ISNUMBER(SEARCH(""LOCAL"", W8)), VALUE(REGEXEXTRACT(TO_TEXT(F8), ""[0-9.,]+"")), I"&amp;"F(ISNUMBER(SEARCH(""EMPATE"", W8)), VALUE(REGEXEXTRACT(TO_TEXT(G8), ""[0-9.,]+"")), VALUE(REGEXEXTRACT(TO_TEXT(H8), ""[0-9.,]+"")))) - 1), IF(ISNUMBER(SEARCH(""[PERDIDA]"", W8)), -VALUE(REGEXEXTRACT(TO_TEXT(Y8), ""[0-9.,]+"")), 0)), 0), 0) + IFERROR(IF(VA"&amp;"LUE(REGEXEXTRACT(TO_TEXT(Z8), ""[0-9.,]+"")) &gt; 0, IF(ISNUMBER(SEARCH(""[GANADA]"", X8)), VALUE(REGEXEXTRACT(TO_TEXT(Z8), ""[0-9.,]+"")) * (IF(ISNUMBER(SEARCH(""OVER"", X8)), VALUE(REGEXEXTRACT(TO_TEXT(I8), ""[0-9.,]+"")), VALUE(REGEXEXTRACT(TO_TEXT(J8), "&amp;"""[0-9.,]+""))) - 1), IF(ISNUMBER(SEARCH(""[PERDIDA]"", X8)), -VALUE(REGEXEXTRACT(TO_TEXT(Z8), ""[0-9.,]+"")), 0)), 0), 0))"),0)</f>
        <v>0</v>
      </c>
      <c r="W8" s="1" t="s">
        <v>82</v>
      </c>
      <c r="X8" s="14" t="s">
        <v>63</v>
      </c>
      <c r="Y8" s="11">
        <v>0</v>
      </c>
      <c r="Z8" s="11">
        <v>0</v>
      </c>
      <c r="AA8" s="4" t="e">
        <f t="shared" ca="1" si="6"/>
        <v>#NAME?</v>
      </c>
      <c r="AB8" s="5" t="e">
        <f t="shared" ca="1" si="1"/>
        <v>#NAME?</v>
      </c>
      <c r="AC8" s="6" t="e">
        <f t="shared" ca="1" si="2"/>
        <v>#NAME?</v>
      </c>
      <c r="AD8" s="6"/>
      <c r="AE8" s="6"/>
      <c r="AF8" s="6" t="b">
        <v>0</v>
      </c>
      <c r="AG8" s="5"/>
      <c r="AH8" s="1"/>
      <c r="AI8" s="1"/>
      <c r="AJ8" s="1"/>
      <c r="AK8" s="1"/>
      <c r="AL8" s="1"/>
      <c r="AM8" s="1"/>
      <c r="AN8" s="5" t="e">
        <f t="shared" ca="1" si="3"/>
        <v>#NAME?</v>
      </c>
      <c r="AO8" s="1" t="e">
        <f t="shared" ca="1" si="4"/>
        <v>#NAME?</v>
      </c>
      <c r="AP8" s="1"/>
      <c r="AQ8" s="1" t="e">
        <f t="shared" ca="1" si="5"/>
        <v>#NAME?</v>
      </c>
      <c r="AR8" s="1"/>
      <c r="AS8" s="1"/>
      <c r="AT8" s="1"/>
      <c r="AU8" s="1"/>
      <c r="AV8" s="1"/>
      <c r="AW8" s="1"/>
      <c r="AX8" s="1"/>
      <c r="AY8" s="5"/>
      <c r="AZ8" s="4"/>
      <c r="BA8" s="5"/>
      <c r="BB8" s="1"/>
    </row>
    <row r="9" spans="1:54" x14ac:dyDescent="0.2">
      <c r="A9" s="16">
        <v>46098</v>
      </c>
      <c r="B9" s="8" t="s">
        <v>83</v>
      </c>
      <c r="C9" s="8" t="s">
        <v>84</v>
      </c>
      <c r="D9" s="8" t="s">
        <v>85</v>
      </c>
      <c r="E9" s="8" t="s">
        <v>86</v>
      </c>
      <c r="F9" s="8">
        <v>2.9</v>
      </c>
      <c r="G9" s="8">
        <v>2.6</v>
      </c>
      <c r="H9" s="8">
        <v>3.05</v>
      </c>
      <c r="I9" s="8">
        <v>3.7</v>
      </c>
      <c r="J9" s="8">
        <v>1.27</v>
      </c>
      <c r="K9" s="8" t="s">
        <v>51</v>
      </c>
      <c r="L9" s="17">
        <v>0.4133</v>
      </c>
      <c r="M9" s="17">
        <v>0.26900000000000002</v>
      </c>
      <c r="N9" s="17">
        <v>0.31780000000000003</v>
      </c>
      <c r="O9" s="17">
        <v>0.45390000000000003</v>
      </c>
      <c r="P9" s="17">
        <v>0.54610000000000003</v>
      </c>
      <c r="Q9" s="8">
        <v>1</v>
      </c>
      <c r="R9" s="8">
        <v>0</v>
      </c>
      <c r="S9" s="18"/>
      <c r="T9" s="18"/>
      <c r="U9" s="9" t="str">
        <f t="shared" si="0"/>
        <v>[ACIERTO]</v>
      </c>
      <c r="V9" s="10">
        <f ca="1">IFERROR(__xludf.DUMMYFUNCTION("IF(B9="""", """", IFERROR(IF(VALUE(REGEXEXTRACT(TO_TEXT(Y9), ""[0-9.,]+"")) &gt; 0, IF(ISNUMBER(SEARCH(""[GANADA]"", W9)), VALUE(REGEXEXTRACT(TO_TEXT(Y9), ""[0-9.,]+"")) * (IF(ISNUMBER(SEARCH(""LOCAL"", W9)), VALUE(REGEXEXTRACT(TO_TEXT(F9), ""[0-9.,]+"")), I"&amp;"F(ISNUMBER(SEARCH(""EMPATE"", W9)), VALUE(REGEXEXTRACT(TO_TEXT(G9), ""[0-9.,]+"")), VALUE(REGEXEXTRACT(TO_TEXT(H9), ""[0-9.,]+"")))) - 1), IF(ISNUMBER(SEARCH(""[PERDIDA]"", W9)), -VALUE(REGEXEXTRACT(TO_TEXT(Y9), ""[0-9.,]+"")), 0)), 0), 0) + IFERROR(IF(VA"&amp;"LUE(REGEXEXTRACT(TO_TEXT(Z9), ""[0-9.,]+"")) &gt; 0, IF(ISNUMBER(SEARCH(""[GANADA]"", X9)), VALUE(REGEXEXTRACT(TO_TEXT(Z9), ""[0-9.,]+"")) * (IF(ISNUMBER(SEARCH(""OVER"", X9)), VALUE(REGEXEXTRACT(TO_TEXT(I9), ""[0-9.,]+"")), VALUE(REGEXEXTRACT(TO_TEXT(J9), "&amp;"""[0-9.,]+""))) - 1), IF(ISNUMBER(SEARCH(""[PERDIDA]"", X9)), -VALUE(REGEXEXTRACT(TO_TEXT(Z9), ""[0-9.,]+"")), 0)), 0), 0))"),2742.422)</f>
        <v>2742.422</v>
      </c>
      <c r="W9" s="19" t="str">
        <f t="shared" ref="W9:W10" si="7">IF(OR(Q9="", R9=""), "[APOSTAR] LOCAL", IF(Q9&gt;R9, "[GANADA] LOCAL", "[PERDIDA] LOCAL"))</f>
        <v>[GANADA] LOCAL</v>
      </c>
      <c r="X9" s="14" t="s">
        <v>63</v>
      </c>
      <c r="Y9" s="11">
        <v>1443.38</v>
      </c>
      <c r="Z9" s="11">
        <v>0</v>
      </c>
      <c r="AA9" s="4" t="e">
        <f t="shared" ca="1" si="6"/>
        <v>#NAME?</v>
      </c>
      <c r="AB9" s="5" t="e">
        <f t="shared" ca="1" si="1"/>
        <v>#NAME?</v>
      </c>
      <c r="AC9" s="6" t="e">
        <f t="shared" ca="1" si="2"/>
        <v>#NAME?</v>
      </c>
      <c r="AD9" s="6"/>
      <c r="AE9" s="6"/>
      <c r="AF9" s="6" t="b">
        <v>0</v>
      </c>
      <c r="AG9" s="5"/>
      <c r="AH9" s="1"/>
      <c r="AI9" s="1"/>
      <c r="AJ9" s="1"/>
      <c r="AK9" s="1"/>
      <c r="AL9" s="1"/>
      <c r="AM9" s="1"/>
      <c r="AN9" s="5" t="e">
        <f t="shared" ca="1" si="3"/>
        <v>#NAME?</v>
      </c>
      <c r="AO9" s="1" t="e">
        <f t="shared" ca="1" si="4"/>
        <v>#NAME?</v>
      </c>
      <c r="AP9" s="1"/>
      <c r="AQ9" s="1" t="e">
        <f t="shared" ca="1" si="5"/>
        <v>#NAME?</v>
      </c>
      <c r="AR9" s="1"/>
      <c r="AS9" s="1"/>
      <c r="AT9" s="1"/>
      <c r="AU9" s="1"/>
      <c r="AV9" s="1"/>
      <c r="AW9" s="1"/>
      <c r="AX9" s="1"/>
      <c r="AY9" s="5"/>
      <c r="AZ9" s="4"/>
      <c r="BA9" s="5"/>
      <c r="BB9" s="1"/>
    </row>
    <row r="10" spans="1:54" x14ac:dyDescent="0.2">
      <c r="A10" s="7">
        <v>46098</v>
      </c>
      <c r="B10" s="1" t="s">
        <v>87</v>
      </c>
      <c r="C10" s="1" t="s">
        <v>88</v>
      </c>
      <c r="D10" s="1" t="s">
        <v>89</v>
      </c>
      <c r="E10" s="1" t="s">
        <v>90</v>
      </c>
      <c r="F10" s="1">
        <v>3.6</v>
      </c>
      <c r="G10" s="1">
        <v>2.85</v>
      </c>
      <c r="H10" s="1">
        <v>2.3199999999999998</v>
      </c>
      <c r="I10" s="1">
        <v>3.15</v>
      </c>
      <c r="J10" s="1">
        <v>1.35</v>
      </c>
      <c r="K10" s="1" t="s">
        <v>51</v>
      </c>
      <c r="L10" s="5">
        <v>0.3322</v>
      </c>
      <c r="M10" s="5">
        <v>0.28120000000000001</v>
      </c>
      <c r="N10" s="5">
        <v>0.38650000000000001</v>
      </c>
      <c r="O10" s="5">
        <v>0.41089999999999999</v>
      </c>
      <c r="P10" s="5">
        <v>0.58909999999999996</v>
      </c>
      <c r="Q10" s="8">
        <v>1</v>
      </c>
      <c r="R10" s="8">
        <v>2</v>
      </c>
      <c r="S10" s="3"/>
      <c r="T10" s="3"/>
      <c r="U10" s="9" t="str">
        <f t="shared" si="0"/>
        <v>[ACIERTO]</v>
      </c>
      <c r="V10" s="10">
        <f ca="1">IFERROR(__xludf.DUMMYFUNCTION("IF(B10="""", """", IFERROR(IF(VALUE(REGEXEXTRACT(TO_TEXT(Y10), ""[0-9.,]+"")) &gt; 0, IF(ISNUMBER(SEARCH(""[GANADA]"", W10)), VALUE(REGEXEXTRACT(TO_TEXT(Y10), ""[0-9.,]+"")) * (IF(ISNUMBER(SEARCH(""LOCAL"", W10)), VALUE(REGEXEXTRACT(TO_TEXT(F10), ""[0-9.,]+"&amp;""")), IF(ISNUMBER(SEARCH(""EMPATE"", W10)), VALUE(REGEXEXTRACT(TO_TEXT(G10), ""[0-9.,]+"")), VALUE(REGEXEXTRACT(TO_TEXT(H10), ""[0-9.,]+"")))) - 1), IF(ISNUMBER(SEARCH(""[PERDIDA]"", W10)), -VALUE(REGEXEXTRACT(TO_TEXT(Y10), ""[0-9.,]+"")), 0)), 0), 0) + I"&amp;"FERROR(IF(VALUE(REGEXEXTRACT(TO_TEXT(Z10), ""[0-9.,]+"")) &gt; 0, IF(ISNUMBER(SEARCH(""[GANADA]"", X10)), VALUE(REGEXEXTRACT(TO_TEXT(Z10), ""[0-9.,]+"")) * (IF(ISNUMBER(SEARCH(""OVER"", X10)), VALUE(REGEXEXTRACT(TO_TEXT(I10), ""[0-9.,]+"")), VALUE(REGEXEXTRA"&amp;"CT(TO_TEXT(J10), ""[0-9.,]+""))) - 1), IF(ISNUMBER(SEARCH(""[PERDIDA]"", X10)), -VALUE(REGEXEXTRACT(TO_TEXT(Z10), ""[0-9.,]+"")), 0)), 0), 0))"),-1443.38)</f>
        <v>-1443.38</v>
      </c>
      <c r="W10" s="1" t="str">
        <f t="shared" si="7"/>
        <v>[PERDIDA] LOCAL</v>
      </c>
      <c r="X10" s="14" t="s">
        <v>57</v>
      </c>
      <c r="Y10" s="4">
        <v>1443.38</v>
      </c>
      <c r="Z10" s="12">
        <v>0</v>
      </c>
      <c r="AA10" s="4" t="e">
        <f t="shared" ca="1" si="6"/>
        <v>#NAME?</v>
      </c>
      <c r="AB10" s="5" t="e">
        <f t="shared" ca="1" si="1"/>
        <v>#NAME?</v>
      </c>
      <c r="AC10" s="6" t="e">
        <f t="shared" ca="1" si="2"/>
        <v>#NAME?</v>
      </c>
      <c r="AD10" s="6"/>
      <c r="AE10" s="6"/>
      <c r="AF10" s="6" t="b">
        <v>0</v>
      </c>
      <c r="AG10" s="5"/>
      <c r="AH10" s="1"/>
      <c r="AI10" s="1"/>
      <c r="AJ10" s="1"/>
      <c r="AK10" s="1"/>
      <c r="AL10" s="1"/>
      <c r="AM10" s="1"/>
      <c r="AN10" s="5" t="e">
        <f t="shared" ca="1" si="3"/>
        <v>#NAME?</v>
      </c>
      <c r="AO10" s="1" t="e">
        <f t="shared" ca="1" si="4"/>
        <v>#NAME?</v>
      </c>
      <c r="AP10" s="1"/>
      <c r="AQ10" s="1" t="e">
        <f t="shared" ca="1" si="5"/>
        <v>#NAME?</v>
      </c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spans="1:54" x14ac:dyDescent="0.2">
      <c r="A11" s="7">
        <v>46098</v>
      </c>
      <c r="B11" s="1" t="s">
        <v>91</v>
      </c>
      <c r="C11" s="1" t="s">
        <v>92</v>
      </c>
      <c r="D11" s="1" t="s">
        <v>93</v>
      </c>
      <c r="E11" s="1" t="s">
        <v>94</v>
      </c>
      <c r="F11" s="1">
        <v>1.75</v>
      </c>
      <c r="G11" s="1">
        <v>3.45</v>
      </c>
      <c r="H11" s="1">
        <v>5.0999999999999996</v>
      </c>
      <c r="I11" s="1">
        <v>2.2999999999999998</v>
      </c>
      <c r="J11" s="1">
        <v>1.6</v>
      </c>
      <c r="K11" s="1" t="s">
        <v>51</v>
      </c>
      <c r="L11" s="5">
        <v>0.42180000000000001</v>
      </c>
      <c r="M11" s="5">
        <v>0.25559999999999999</v>
      </c>
      <c r="N11" s="5">
        <v>0.3226</v>
      </c>
      <c r="O11" s="5">
        <v>0.51029999999999998</v>
      </c>
      <c r="P11" s="5">
        <v>0.48970000000000002</v>
      </c>
      <c r="Q11" s="8">
        <v>5</v>
      </c>
      <c r="R11" s="8">
        <v>0</v>
      </c>
      <c r="S11" s="3"/>
      <c r="T11" s="3"/>
      <c r="U11" s="9" t="str">
        <f t="shared" si="0"/>
        <v>[ACIERTO]</v>
      </c>
      <c r="V11" s="10">
        <f ca="1">IFERROR(__xludf.DUMMYFUNCTION("IF(B11="""", """", IFERROR(IF(VALUE(REGEXEXTRACT(TO_TEXT(Y11), ""[0-9.,]+"")) &gt; 0, IF(ISNUMBER(SEARCH(""[GANADA]"", W11)), VALUE(REGEXEXTRACT(TO_TEXT(Y11), ""[0-9.,]+"")) * (IF(ISNUMBER(SEARCH(""LOCAL"", W11)), VALUE(REGEXEXTRACT(TO_TEXT(F11), ""[0-9.,]+"&amp;""")), IF(ISNUMBER(SEARCH(""EMPATE"", W11)), VALUE(REGEXEXTRACT(TO_TEXT(G11), ""[0-9.,]+"")), VALUE(REGEXEXTRACT(TO_TEXT(H11), ""[0-9.,]+"")))) - 1), IF(ISNUMBER(SEARCH(""[PERDIDA]"", W11)), -VALUE(REGEXEXTRACT(TO_TEXT(Y11), ""[0-9.,]+"")), 0)), 0), 0) + I"&amp;"FERROR(IF(VALUE(REGEXEXTRACT(TO_TEXT(Z11), ""[0-9.,]+"")) &gt; 0, IF(ISNUMBER(SEARCH(""[GANADA]"", X11)), VALUE(REGEXEXTRACT(TO_TEXT(Z11), ""[0-9.,]+"")) * (IF(ISNUMBER(SEARCH(""OVER"", X11)), VALUE(REGEXEXTRACT(TO_TEXT(I11), ""[0-9.,]+"")), VALUE(REGEXEXTRA"&amp;"CT(TO_TEXT(J11), ""[0-9.,]+""))) - 1), IF(ISNUMBER(SEARCH(""[PERDIDA]"", X11)), -VALUE(REGEXEXTRACT(TO_TEXT(Z11), ""[0-9.,]+"")), 0)), 0), 0))"),-1443.38)</f>
        <v>-1443.38</v>
      </c>
      <c r="W11" s="1" t="str">
        <f>IF(OR(Q11="", R11=""), "[APOSTAR] VISITA", IF(Q11&lt;R11, "[GANADA] VISITA", "[PERDIDA] VISITA"))</f>
        <v>[PERDIDA] VISITA</v>
      </c>
      <c r="X11" s="14" t="s">
        <v>63</v>
      </c>
      <c r="Y11" s="1">
        <v>1443.38</v>
      </c>
      <c r="Z11" s="12">
        <v>0</v>
      </c>
      <c r="AA11" s="4" t="e">
        <f t="shared" ca="1" si="6"/>
        <v>#NAME?</v>
      </c>
      <c r="AB11" s="5" t="e">
        <f t="shared" ca="1" si="1"/>
        <v>#NAME?</v>
      </c>
      <c r="AC11" s="6" t="e">
        <f t="shared" ca="1" si="2"/>
        <v>#NAME?</v>
      </c>
      <c r="AD11" s="6"/>
      <c r="AE11" s="6"/>
      <c r="AF11" s="6" t="b">
        <v>0</v>
      </c>
      <c r="AG11" s="5"/>
      <c r="AH11" s="1"/>
      <c r="AI11" s="1"/>
      <c r="AJ11" s="1"/>
      <c r="AK11" s="1"/>
      <c r="AL11" s="1"/>
      <c r="AM11" s="1"/>
      <c r="AN11" s="5" t="e">
        <f t="shared" ca="1" si="3"/>
        <v>#NAME?</v>
      </c>
      <c r="AO11" s="1" t="e">
        <f t="shared" ca="1" si="4"/>
        <v>#NAME?</v>
      </c>
      <c r="AP11" s="1"/>
      <c r="AQ11" s="1" t="e">
        <f t="shared" ca="1" si="5"/>
        <v>#NAME?</v>
      </c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4" x14ac:dyDescent="0.2">
      <c r="A12" s="16">
        <v>46099</v>
      </c>
      <c r="B12" s="8" t="s">
        <v>95</v>
      </c>
      <c r="C12" s="8" t="s">
        <v>96</v>
      </c>
      <c r="D12" s="8" t="s">
        <v>97</v>
      </c>
      <c r="E12" s="8" t="s">
        <v>98</v>
      </c>
      <c r="F12" s="8"/>
      <c r="G12" s="8"/>
      <c r="H12" s="8"/>
      <c r="I12" s="8"/>
      <c r="J12" s="8"/>
      <c r="K12" s="8" t="s">
        <v>99</v>
      </c>
      <c r="L12" s="17">
        <v>0.4773</v>
      </c>
      <c r="M12" s="17">
        <v>0.2712</v>
      </c>
      <c r="N12" s="17">
        <v>0.25159999999999999</v>
      </c>
      <c r="O12" s="17">
        <v>0.41470000000000001</v>
      </c>
      <c r="P12" s="17">
        <v>0.58530000000000004</v>
      </c>
      <c r="Q12" s="20">
        <v>5</v>
      </c>
      <c r="R12" s="20">
        <v>0</v>
      </c>
      <c r="S12" s="18"/>
      <c r="T12" s="18"/>
      <c r="U12" s="9" t="str">
        <f t="shared" si="0"/>
        <v>[ACIERTO]</v>
      </c>
      <c r="V12" s="10">
        <f ca="1">IFERROR(__xludf.DUMMYFUNCTION("IF(B12="""", """", IFERROR(IF(VALUE(REGEXEXTRACT(TO_TEXT(Y12), ""[0-9.,]+"")) &gt; 0, IF(ISNUMBER(SEARCH(""[GANADA]"", W12)), VALUE(REGEXEXTRACT(TO_TEXT(Y12), ""[0-9.,]+"")) * (IF(ISNUMBER(SEARCH(""LOCAL"", W12)), VALUE(REGEXEXTRACT(TO_TEXT(F12), ""[0-9.,]+"&amp;""")), IF(ISNUMBER(SEARCH(""EMPATE"", W12)), VALUE(REGEXEXTRACT(TO_TEXT(G12), ""[0-9.,]+"")), VALUE(REGEXEXTRACT(TO_TEXT(H12), ""[0-9.,]+"")))) - 1), IF(ISNUMBER(SEARCH(""[PERDIDA]"", W12)), -VALUE(REGEXEXTRACT(TO_TEXT(Y12), ""[0-9.,]+"")), 0)), 0), 0) + I"&amp;"FERROR(IF(VALUE(REGEXEXTRACT(TO_TEXT(Z12), ""[0-9.,]+"")) &gt; 0, IF(ISNUMBER(SEARCH(""[GANADA]"", X12)), VALUE(REGEXEXTRACT(TO_TEXT(Z12), ""[0-9.,]+"")) * (IF(ISNUMBER(SEARCH(""OVER"", X12)), VALUE(REGEXEXTRACT(TO_TEXT(I12), ""[0-9.,]+"")), VALUE(REGEXEXTRA"&amp;"CT(TO_TEXT(J12), ""[0-9.,]+""))) - 1), IF(ISNUMBER(SEARCH(""[PERDIDA]"", X12)), -VALUE(REGEXEXTRACT(TO_TEXT(Z12), ""[0-9.,]+"")), 0)), 0), 0))"),0)</f>
        <v>0</v>
      </c>
      <c r="W12" s="21" t="s">
        <v>52</v>
      </c>
      <c r="X12" s="21" t="s">
        <v>52</v>
      </c>
      <c r="Y12" s="11">
        <v>0</v>
      </c>
      <c r="Z12" s="11">
        <v>0</v>
      </c>
      <c r="AA12" s="4" t="e">
        <f t="shared" ca="1" si="6"/>
        <v>#NAME?</v>
      </c>
      <c r="AB12" s="5" t="e">
        <f t="shared" ca="1" si="1"/>
        <v>#NAME?</v>
      </c>
      <c r="AC12" s="6" t="e">
        <f t="shared" ca="1" si="2"/>
        <v>#NAME?</v>
      </c>
      <c r="AD12" s="6"/>
      <c r="AE12" s="6"/>
      <c r="AF12" s="6" t="b">
        <v>0</v>
      </c>
      <c r="AG12" s="5"/>
      <c r="AH12" s="1"/>
      <c r="AI12" s="1"/>
      <c r="AJ12" s="1"/>
      <c r="AK12" s="1"/>
      <c r="AL12" s="1"/>
      <c r="AM12" s="1"/>
      <c r="AN12" s="5" t="e">
        <f t="shared" ca="1" si="3"/>
        <v>#NAME?</v>
      </c>
      <c r="AO12" s="1" t="e">
        <f t="shared" ca="1" si="4"/>
        <v>#NAME?</v>
      </c>
      <c r="AP12" s="1"/>
      <c r="AQ12" s="1" t="str">
        <f t="shared" si="5"/>
        <v/>
      </c>
      <c r="AR12" s="1"/>
      <c r="AS12" s="1"/>
      <c r="AT12" s="1"/>
      <c r="AU12" s="1"/>
      <c r="AV12" s="1"/>
      <c r="AW12" s="1"/>
      <c r="AX12" s="1"/>
      <c r="AY12" s="5"/>
      <c r="AZ12" s="4"/>
      <c r="BA12" s="5"/>
      <c r="BB12" s="1"/>
    </row>
    <row r="13" spans="1:54" x14ac:dyDescent="0.2">
      <c r="A13" s="7">
        <v>46099</v>
      </c>
      <c r="B13" s="1" t="s">
        <v>100</v>
      </c>
      <c r="C13" s="1" t="s">
        <v>101</v>
      </c>
      <c r="D13" s="1" t="s">
        <v>102</v>
      </c>
      <c r="E13" s="1" t="s">
        <v>103</v>
      </c>
      <c r="F13" s="1"/>
      <c r="G13" s="1">
        <v>3.05</v>
      </c>
      <c r="H13" s="1"/>
      <c r="I13" s="1"/>
      <c r="J13" s="1"/>
      <c r="K13" s="1" t="s">
        <v>68</v>
      </c>
      <c r="L13" s="5">
        <v>0.50060000000000004</v>
      </c>
      <c r="M13" s="5">
        <v>0.2447</v>
      </c>
      <c r="N13" s="5">
        <v>0.25469999999999998</v>
      </c>
      <c r="O13" s="5">
        <v>0.51890000000000003</v>
      </c>
      <c r="P13" s="5">
        <v>0.48110000000000003</v>
      </c>
      <c r="Q13" s="15">
        <v>1</v>
      </c>
      <c r="R13" s="15">
        <v>0</v>
      </c>
      <c r="S13" s="3"/>
      <c r="T13" s="3"/>
      <c r="U13" s="9" t="str">
        <f t="shared" si="0"/>
        <v>[ACIERTO]</v>
      </c>
      <c r="V13" s="10">
        <f ca="1">IFERROR(__xludf.DUMMYFUNCTION("IF(B13="""", """", IFERROR(IF(VALUE(REGEXEXTRACT(TO_TEXT(Y13), ""[0-9.,]+"")) &gt; 0, IF(ISNUMBER(SEARCH(""[GANADA]"", W13)), VALUE(REGEXEXTRACT(TO_TEXT(Y13), ""[0-9.,]+"")) * (IF(ISNUMBER(SEARCH(""LOCAL"", W13)), VALUE(REGEXEXTRACT(TO_TEXT(F13), ""[0-9.,]+"&amp;""")), IF(ISNUMBER(SEARCH(""EMPATE"", W13)), VALUE(REGEXEXTRACT(TO_TEXT(G13), ""[0-9.,]+"")), VALUE(REGEXEXTRACT(TO_TEXT(H13), ""[0-9.,]+"")))) - 1), IF(ISNUMBER(SEARCH(""[PERDIDA]"", W13)), -VALUE(REGEXEXTRACT(TO_TEXT(Y13), ""[0-9.,]+"")), 0)), 0), 0) + I"&amp;"FERROR(IF(VALUE(REGEXEXTRACT(TO_TEXT(Z13), ""[0-9.,]+"")) &gt; 0, IF(ISNUMBER(SEARCH(""[GANADA]"", X13)), VALUE(REGEXEXTRACT(TO_TEXT(Z13), ""[0-9.,]+"")) * (IF(ISNUMBER(SEARCH(""OVER"", X13)), VALUE(REGEXEXTRACT(TO_TEXT(I13), ""[0-9.,]+"")), VALUE(REGEXEXTRA"&amp;"CT(TO_TEXT(J13), ""[0-9.,]+""))) - 1), IF(ISNUMBER(SEARCH(""[PERDIDA]"", X13)), -VALUE(REGEXEXTRACT(TO_TEXT(Z13), ""[0-9.,]+"")), 0)), 0), 0))"),0)</f>
        <v>0</v>
      </c>
      <c r="W13" s="1" t="s">
        <v>52</v>
      </c>
      <c r="X13" s="1" t="s">
        <v>52</v>
      </c>
      <c r="Y13" s="11">
        <v>0</v>
      </c>
      <c r="Z13" s="11">
        <v>0</v>
      </c>
      <c r="AA13" s="4" t="e">
        <f t="shared" ca="1" si="6"/>
        <v>#NAME?</v>
      </c>
      <c r="AB13" s="5" t="e">
        <f t="shared" ca="1" si="1"/>
        <v>#NAME?</v>
      </c>
      <c r="AC13" s="6" t="e">
        <f t="shared" ca="1" si="2"/>
        <v>#NAME?</v>
      </c>
      <c r="AD13" s="6"/>
      <c r="AE13" s="6"/>
      <c r="AF13" s="6" t="b">
        <v>0</v>
      </c>
      <c r="AG13" s="5"/>
      <c r="AH13" s="1"/>
      <c r="AI13" s="1"/>
      <c r="AJ13" s="1"/>
      <c r="AK13" s="1"/>
      <c r="AL13" s="1"/>
      <c r="AM13" s="1"/>
      <c r="AN13" s="5" t="e">
        <f t="shared" ca="1" si="3"/>
        <v>#NAME?</v>
      </c>
      <c r="AO13" s="1" t="e">
        <f t="shared" ca="1" si="4"/>
        <v>#NAME?</v>
      </c>
      <c r="AP13" s="1"/>
      <c r="AQ13" s="1" t="str">
        <f t="shared" si="5"/>
        <v/>
      </c>
      <c r="AR13" s="1"/>
      <c r="AS13" s="1"/>
      <c r="AT13" s="1"/>
      <c r="AU13" s="1"/>
      <c r="AV13" s="1"/>
      <c r="AW13" s="1"/>
      <c r="AX13" s="5"/>
      <c r="AY13" s="5"/>
      <c r="AZ13" s="5"/>
      <c r="BA13" s="5"/>
      <c r="BB13" s="1" t="s">
        <v>69</v>
      </c>
    </row>
    <row r="14" spans="1:54" x14ac:dyDescent="0.2">
      <c r="A14" s="7">
        <v>46099</v>
      </c>
      <c r="B14" s="1" t="s">
        <v>104</v>
      </c>
      <c r="C14" s="1" t="s">
        <v>105</v>
      </c>
      <c r="D14" s="1" t="s">
        <v>106</v>
      </c>
      <c r="E14" s="1" t="s">
        <v>107</v>
      </c>
      <c r="F14" s="1"/>
      <c r="G14" s="1">
        <v>3.2</v>
      </c>
      <c r="H14" s="1"/>
      <c r="I14" s="1"/>
      <c r="J14" s="1"/>
      <c r="K14" s="1" t="s">
        <v>68</v>
      </c>
      <c r="L14" s="5">
        <v>0.48480000000000001</v>
      </c>
      <c r="M14" s="5">
        <v>0.24779999999999999</v>
      </c>
      <c r="N14" s="5">
        <v>0.26740000000000003</v>
      </c>
      <c r="O14" s="5">
        <v>0.51539999999999997</v>
      </c>
      <c r="P14" s="5">
        <v>0.48459999999999998</v>
      </c>
      <c r="Q14" s="15">
        <v>2</v>
      </c>
      <c r="R14" s="15">
        <v>1</v>
      </c>
      <c r="S14" s="3"/>
      <c r="T14" s="3"/>
      <c r="U14" s="9" t="str">
        <f t="shared" si="0"/>
        <v>[ACIERTO]</v>
      </c>
      <c r="V14" s="10">
        <f ca="1">IFERROR(__xludf.DUMMYFUNCTION("IF(B14="""", """", IFERROR(IF(VALUE(REGEXEXTRACT(TO_TEXT(Y14), ""[0-9.,]+"")) &gt; 0, IF(ISNUMBER(SEARCH(""[GANADA]"", W14)), VALUE(REGEXEXTRACT(TO_TEXT(Y14), ""[0-9.,]+"")) * (IF(ISNUMBER(SEARCH(""LOCAL"", W14)), VALUE(REGEXEXTRACT(TO_TEXT(F14), ""[0-9.,]+"&amp;""")), IF(ISNUMBER(SEARCH(""EMPATE"", W14)), VALUE(REGEXEXTRACT(TO_TEXT(G14), ""[0-9.,]+"")), VALUE(REGEXEXTRACT(TO_TEXT(H14), ""[0-9.,]+"")))) - 1), IF(ISNUMBER(SEARCH(""[PERDIDA]"", W14)), -VALUE(REGEXEXTRACT(TO_TEXT(Y14), ""[0-9.,]+"")), 0)), 0), 0) + I"&amp;"FERROR(IF(VALUE(REGEXEXTRACT(TO_TEXT(Z14), ""[0-9.,]+"")) &gt; 0, IF(ISNUMBER(SEARCH(""[GANADA]"", X14)), VALUE(REGEXEXTRACT(TO_TEXT(Z14), ""[0-9.,]+"")) * (IF(ISNUMBER(SEARCH(""OVER"", X14)), VALUE(REGEXEXTRACT(TO_TEXT(I14), ""[0-9.,]+"")), VALUE(REGEXEXTRA"&amp;"CT(TO_TEXT(J14), ""[0-9.,]+""))) - 1), IF(ISNUMBER(SEARCH(""[PERDIDA]"", X14)), -VALUE(REGEXEXTRACT(TO_TEXT(Z14), ""[0-9.,]+"")), 0)), 0), 0))"),0)</f>
        <v>0</v>
      </c>
      <c r="W14" s="1" t="s">
        <v>52</v>
      </c>
      <c r="X14" s="1" t="s">
        <v>52</v>
      </c>
      <c r="Y14" s="11">
        <v>0</v>
      </c>
      <c r="Z14" s="11">
        <v>0</v>
      </c>
      <c r="AA14" s="4" t="e">
        <f t="shared" ca="1" si="6"/>
        <v>#NAME?</v>
      </c>
      <c r="AB14" s="5" t="e">
        <f t="shared" ca="1" si="1"/>
        <v>#NAME?</v>
      </c>
      <c r="AC14" s="6" t="e">
        <f t="shared" ca="1" si="2"/>
        <v>#NAME?</v>
      </c>
      <c r="AD14" s="6"/>
      <c r="AE14" s="6"/>
      <c r="AF14" s="6" t="b">
        <v>0</v>
      </c>
      <c r="AG14" s="5"/>
      <c r="AH14" s="1"/>
      <c r="AI14" s="1"/>
      <c r="AJ14" s="1"/>
      <c r="AK14" s="1"/>
      <c r="AL14" s="1"/>
      <c r="AM14" s="1"/>
      <c r="AN14" s="5" t="e">
        <f t="shared" ca="1" si="3"/>
        <v>#NAME?</v>
      </c>
      <c r="AO14" s="1" t="e">
        <f t="shared" ca="1" si="4"/>
        <v>#NAME?</v>
      </c>
      <c r="AP14" s="1"/>
      <c r="AQ14" s="1" t="str">
        <f t="shared" si="5"/>
        <v/>
      </c>
      <c r="AR14" s="1"/>
      <c r="AS14" s="1"/>
      <c r="AT14" s="1"/>
      <c r="AU14" s="1"/>
      <c r="AV14" s="1"/>
      <c r="AW14" s="1"/>
      <c r="AX14" s="5"/>
      <c r="AY14" s="5"/>
      <c r="AZ14" s="5"/>
      <c r="BA14" s="5"/>
      <c r="BB14" s="1" t="s">
        <v>69</v>
      </c>
    </row>
    <row r="15" spans="1:54" x14ac:dyDescent="0.2">
      <c r="A15" s="7">
        <v>46099</v>
      </c>
      <c r="B15" s="1" t="s">
        <v>108</v>
      </c>
      <c r="C15" s="1" t="s">
        <v>109</v>
      </c>
      <c r="D15" s="1" t="s">
        <v>110</v>
      </c>
      <c r="E15" s="1" t="s">
        <v>111</v>
      </c>
      <c r="F15" s="1"/>
      <c r="G15" s="1">
        <v>3.75</v>
      </c>
      <c r="H15" s="1"/>
      <c r="I15" s="1"/>
      <c r="J15" s="1"/>
      <c r="K15" s="1" t="s">
        <v>68</v>
      </c>
      <c r="L15" s="5">
        <v>0.49540000000000001</v>
      </c>
      <c r="M15" s="5">
        <v>0.24249999999999999</v>
      </c>
      <c r="N15" s="5">
        <v>0.26200000000000001</v>
      </c>
      <c r="O15" s="5">
        <v>0.53390000000000004</v>
      </c>
      <c r="P15" s="5">
        <v>0.46610000000000001</v>
      </c>
      <c r="Q15" s="15">
        <v>2</v>
      </c>
      <c r="R15" s="15">
        <v>0</v>
      </c>
      <c r="S15" s="3"/>
      <c r="T15" s="3"/>
      <c r="U15" s="9" t="str">
        <f t="shared" si="0"/>
        <v>[ACIERTO]</v>
      </c>
      <c r="V15" s="10">
        <f ca="1">IFERROR(__xludf.DUMMYFUNCTION("IF(B15="""", """", IFERROR(IF(VALUE(REGEXEXTRACT(TO_TEXT(Y15), ""[0-9.,]+"")) &gt; 0, IF(ISNUMBER(SEARCH(""[GANADA]"", W15)), VALUE(REGEXEXTRACT(TO_TEXT(Y15), ""[0-9.,]+"")) * (IF(ISNUMBER(SEARCH(""LOCAL"", W15)), VALUE(REGEXEXTRACT(TO_TEXT(F15), ""[0-9.,]+"&amp;""")), IF(ISNUMBER(SEARCH(""EMPATE"", W15)), VALUE(REGEXEXTRACT(TO_TEXT(G15), ""[0-9.,]+"")), VALUE(REGEXEXTRACT(TO_TEXT(H15), ""[0-9.,]+"")))) - 1), IF(ISNUMBER(SEARCH(""[PERDIDA]"", W15)), -VALUE(REGEXEXTRACT(TO_TEXT(Y15), ""[0-9.,]+"")), 0)), 0), 0) + I"&amp;"FERROR(IF(VALUE(REGEXEXTRACT(TO_TEXT(Z15), ""[0-9.,]+"")) &gt; 0, IF(ISNUMBER(SEARCH(""[GANADA]"", X15)), VALUE(REGEXEXTRACT(TO_TEXT(Z15), ""[0-9.,]+"")) * (IF(ISNUMBER(SEARCH(""OVER"", X15)), VALUE(REGEXEXTRACT(TO_TEXT(I15), ""[0-9.,]+"")), VALUE(REGEXEXTRA"&amp;"CT(TO_TEXT(J15), ""[0-9.,]+""))) - 1), IF(ISNUMBER(SEARCH(""[PERDIDA]"", X15)), -VALUE(REGEXEXTRACT(TO_TEXT(Z15), ""[0-9.,]+"")), 0)), 0), 0))"),0)</f>
        <v>0</v>
      </c>
      <c r="W15" s="1" t="s">
        <v>52</v>
      </c>
      <c r="X15" s="1" t="s">
        <v>52</v>
      </c>
      <c r="Y15" s="11">
        <v>0</v>
      </c>
      <c r="Z15" s="11">
        <v>0</v>
      </c>
      <c r="AA15" s="4" t="e">
        <f t="shared" ca="1" si="6"/>
        <v>#NAME?</v>
      </c>
      <c r="AB15" s="5" t="e">
        <f t="shared" ca="1" si="1"/>
        <v>#NAME?</v>
      </c>
      <c r="AC15" s="6" t="e">
        <f t="shared" ca="1" si="2"/>
        <v>#NAME?</v>
      </c>
      <c r="AD15" s="6"/>
      <c r="AE15" s="6"/>
      <c r="AF15" s="6" t="b">
        <v>0</v>
      </c>
      <c r="AG15" s="5"/>
      <c r="AH15" s="1"/>
      <c r="AI15" s="1"/>
      <c r="AJ15" s="1"/>
      <c r="AK15" s="1"/>
      <c r="AL15" s="1" t="s">
        <v>112</v>
      </c>
      <c r="AM15" s="1"/>
      <c r="AN15" s="5" t="e">
        <f t="shared" ca="1" si="3"/>
        <v>#NAME?</v>
      </c>
      <c r="AO15" s="1" t="e">
        <f t="shared" ca="1" si="4"/>
        <v>#NAME?</v>
      </c>
      <c r="AP15" s="1"/>
      <c r="AQ15" s="1" t="str">
        <f t="shared" si="5"/>
        <v/>
      </c>
      <c r="AR15" s="1"/>
      <c r="AS15" s="1"/>
      <c r="AT15" s="1"/>
      <c r="AU15" s="1"/>
      <c r="AV15" s="1"/>
      <c r="AW15" s="1"/>
      <c r="AX15" s="5"/>
      <c r="AY15" s="5"/>
      <c r="AZ15" s="5"/>
      <c r="BA15" s="5"/>
      <c r="BB15" s="5"/>
    </row>
    <row r="16" spans="1:54" x14ac:dyDescent="0.2">
      <c r="A16" s="7">
        <v>46099</v>
      </c>
      <c r="B16" s="1" t="s">
        <v>113</v>
      </c>
      <c r="C16" s="1" t="s">
        <v>114</v>
      </c>
      <c r="D16" s="1" t="s">
        <v>115</v>
      </c>
      <c r="E16" s="1" t="s">
        <v>116</v>
      </c>
      <c r="F16" s="1"/>
      <c r="G16" s="1"/>
      <c r="H16" s="1"/>
      <c r="I16" s="1"/>
      <c r="J16" s="1"/>
      <c r="K16" s="1" t="s">
        <v>99</v>
      </c>
      <c r="L16" s="5">
        <v>0.42</v>
      </c>
      <c r="M16" s="5">
        <v>0.26179999999999998</v>
      </c>
      <c r="N16" s="5">
        <v>0.31819999999999998</v>
      </c>
      <c r="O16" s="5">
        <v>0.48270000000000002</v>
      </c>
      <c r="P16" s="5">
        <v>0.51729999999999998</v>
      </c>
      <c r="Q16" s="1"/>
      <c r="R16" s="1"/>
      <c r="S16" s="3"/>
      <c r="T16" s="3"/>
      <c r="U16" s="9" t="str">
        <f t="shared" si="0"/>
        <v>[PREDICCION] LOCAL</v>
      </c>
      <c r="V16" s="10">
        <f ca="1">IFERROR(__xludf.DUMMYFUNCTION("IF(B16="""", """", IFERROR(IF(VALUE(REGEXEXTRACT(TO_TEXT(Y16), ""[0-9.,]+"")) &gt; 0, IF(ISNUMBER(SEARCH(""[GANADA]"", W16)), VALUE(REGEXEXTRACT(TO_TEXT(Y16), ""[0-9.,]+"")) * (IF(ISNUMBER(SEARCH(""LOCAL"", W16)), VALUE(REGEXEXTRACT(TO_TEXT(F16), ""[0-9.,]+"&amp;""")), IF(ISNUMBER(SEARCH(""EMPATE"", W16)), VALUE(REGEXEXTRACT(TO_TEXT(G16), ""[0-9.,]+"")), VALUE(REGEXEXTRACT(TO_TEXT(H16), ""[0-9.,]+"")))) - 1), IF(ISNUMBER(SEARCH(""[PERDIDA]"", W16)), -VALUE(REGEXEXTRACT(TO_TEXT(Y16), ""[0-9.,]+"")), 0)), 0), 0) + I"&amp;"FERROR(IF(VALUE(REGEXEXTRACT(TO_TEXT(Z16), ""[0-9.,]+"")) &gt; 0, IF(ISNUMBER(SEARCH(""[GANADA]"", X16)), VALUE(REGEXEXTRACT(TO_TEXT(Z16), ""[0-9.,]+"")) * (IF(ISNUMBER(SEARCH(""OVER"", X16)), VALUE(REGEXEXTRACT(TO_TEXT(I16), ""[0-9.,]+"")), VALUE(REGEXEXTRA"&amp;"CT(TO_TEXT(J16), ""[0-9.,]+""))) - 1), IF(ISNUMBER(SEARCH(""[PERDIDA]"", X16)), -VALUE(REGEXEXTRACT(TO_TEXT(Z16), ""[0-9.,]+"")), 0)), 0), 0))"),0)</f>
        <v>0</v>
      </c>
      <c r="W16" s="1" t="s">
        <v>52</v>
      </c>
      <c r="X16" s="1" t="s">
        <v>52</v>
      </c>
      <c r="Y16" s="11">
        <v>0</v>
      </c>
      <c r="Z16" s="11">
        <v>0</v>
      </c>
      <c r="AA16" s="4" t="e">
        <f t="shared" ca="1" si="6"/>
        <v>#NAME?</v>
      </c>
      <c r="AB16" s="5" t="e">
        <f t="shared" ca="1" si="1"/>
        <v>#NAME?</v>
      </c>
      <c r="AC16" s="6" t="e">
        <f t="shared" ca="1" si="2"/>
        <v>#NAME?</v>
      </c>
      <c r="AD16" s="6"/>
      <c r="AE16" s="6"/>
      <c r="AF16" s="6" t="b">
        <v>0</v>
      </c>
      <c r="AG16" s="5"/>
      <c r="AH16" s="1"/>
      <c r="AI16" s="1"/>
      <c r="AJ16" s="1"/>
      <c r="AK16" s="1"/>
      <c r="AL16" s="1"/>
      <c r="AM16" s="1"/>
      <c r="AN16" s="5" t="e">
        <f t="shared" ca="1" si="3"/>
        <v>#NAME?</v>
      </c>
      <c r="AO16" s="1" t="str">
        <f t="shared" si="4"/>
        <v/>
      </c>
      <c r="AP16" s="1"/>
      <c r="AQ16" s="1" t="str">
        <f t="shared" si="5"/>
        <v/>
      </c>
      <c r="AR16" s="1"/>
      <c r="AS16" s="1"/>
      <c r="AT16" s="1"/>
      <c r="AU16" s="1"/>
      <c r="AV16" s="1"/>
      <c r="AW16" s="1"/>
      <c r="AX16" s="5"/>
      <c r="AY16" s="5"/>
      <c r="AZ16" s="1"/>
      <c r="BA16" s="1"/>
      <c r="BB16" s="1" t="s">
        <v>69</v>
      </c>
    </row>
    <row r="17" spans="1:54" x14ac:dyDescent="0.2">
      <c r="A17" s="7">
        <v>46099</v>
      </c>
      <c r="B17" s="1" t="s">
        <v>117</v>
      </c>
      <c r="C17" s="1" t="s">
        <v>118</v>
      </c>
      <c r="D17" s="1" t="s">
        <v>119</v>
      </c>
      <c r="E17" s="1" t="s">
        <v>120</v>
      </c>
      <c r="F17" s="1"/>
      <c r="G17" s="1"/>
      <c r="H17" s="1"/>
      <c r="I17" s="1"/>
      <c r="J17" s="1"/>
      <c r="K17" s="1" t="s">
        <v>99</v>
      </c>
      <c r="L17" s="5">
        <v>0.29160000000000003</v>
      </c>
      <c r="M17" s="5">
        <v>0.25</v>
      </c>
      <c r="N17" s="5">
        <v>0.45839999999999997</v>
      </c>
      <c r="O17" s="5">
        <v>0.52129999999999999</v>
      </c>
      <c r="P17" s="5">
        <v>0.47870000000000001</v>
      </c>
      <c r="Q17" s="20">
        <v>0</v>
      </c>
      <c r="R17" s="20">
        <v>1</v>
      </c>
      <c r="S17" s="3"/>
      <c r="T17" s="3"/>
      <c r="U17" s="9" t="str">
        <f t="shared" si="0"/>
        <v>[ACIERTO]</v>
      </c>
      <c r="V17" s="10">
        <f ca="1">IFERROR(__xludf.DUMMYFUNCTION("IF(B17="""", """", IFERROR(IF(VALUE(REGEXEXTRACT(TO_TEXT(Y17), ""[0-9.,]+"")) &gt; 0, IF(ISNUMBER(SEARCH(""[GANADA]"", W17)), VALUE(REGEXEXTRACT(TO_TEXT(Y17), ""[0-9.,]+"")) * (IF(ISNUMBER(SEARCH(""LOCAL"", W17)), VALUE(REGEXEXTRACT(TO_TEXT(F17), ""[0-9.,]+"&amp;""")), IF(ISNUMBER(SEARCH(""EMPATE"", W17)), VALUE(REGEXEXTRACT(TO_TEXT(G17), ""[0-9.,]+"")), VALUE(REGEXEXTRACT(TO_TEXT(H17), ""[0-9.,]+"")))) - 1), IF(ISNUMBER(SEARCH(""[PERDIDA]"", W17)), -VALUE(REGEXEXTRACT(TO_TEXT(Y17), ""[0-9.,]+"")), 0)), 0), 0) + I"&amp;"FERROR(IF(VALUE(REGEXEXTRACT(TO_TEXT(Z17), ""[0-9.,]+"")) &gt; 0, IF(ISNUMBER(SEARCH(""[GANADA]"", X17)), VALUE(REGEXEXTRACT(TO_TEXT(Z17), ""[0-9.,]+"")) * (IF(ISNUMBER(SEARCH(""OVER"", X17)), VALUE(REGEXEXTRACT(TO_TEXT(I17), ""[0-9.,]+"")), VALUE(REGEXEXTRA"&amp;"CT(TO_TEXT(J17), ""[0-9.,]+""))) - 1), IF(ISNUMBER(SEARCH(""[PERDIDA]"", X17)), -VALUE(REGEXEXTRACT(TO_TEXT(Z17), ""[0-9.,]+"")), 0)), 0), 0))"),0)</f>
        <v>0</v>
      </c>
      <c r="W17" s="1" t="s">
        <v>52</v>
      </c>
      <c r="X17" s="1" t="s">
        <v>52</v>
      </c>
      <c r="Y17" s="4">
        <v>0</v>
      </c>
      <c r="Z17" s="12">
        <v>0</v>
      </c>
      <c r="AA17" s="4" t="e">
        <f t="shared" ca="1" si="6"/>
        <v>#NAME?</v>
      </c>
      <c r="AB17" s="5" t="e">
        <f t="shared" ca="1" si="1"/>
        <v>#NAME?</v>
      </c>
      <c r="AC17" s="6" t="e">
        <f t="shared" ca="1" si="2"/>
        <v>#NAME?</v>
      </c>
      <c r="AD17" s="6"/>
      <c r="AE17" s="6"/>
      <c r="AF17" s="6" t="b">
        <v>0</v>
      </c>
      <c r="AG17" s="5"/>
      <c r="AH17" s="1"/>
      <c r="AI17" s="1"/>
      <c r="AJ17" s="1"/>
      <c r="AK17" s="1"/>
      <c r="AL17" s="1"/>
      <c r="AM17" s="1"/>
      <c r="AN17" s="5" t="e">
        <f t="shared" ca="1" si="3"/>
        <v>#NAME?</v>
      </c>
      <c r="AO17" s="1" t="e">
        <f t="shared" ca="1" si="4"/>
        <v>#NAME?</v>
      </c>
      <c r="AP17" s="1"/>
      <c r="AQ17" s="1" t="str">
        <f t="shared" si="5"/>
        <v/>
      </c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spans="1:54" x14ac:dyDescent="0.2">
      <c r="A18" s="7">
        <v>46099</v>
      </c>
      <c r="B18" s="1" t="s">
        <v>121</v>
      </c>
      <c r="C18" s="1" t="s">
        <v>122</v>
      </c>
      <c r="D18" s="1" t="s">
        <v>123</v>
      </c>
      <c r="E18" s="1" t="s">
        <v>124</v>
      </c>
      <c r="F18" s="1"/>
      <c r="G18" s="1"/>
      <c r="H18" s="1"/>
      <c r="I18" s="1"/>
      <c r="J18" s="1"/>
      <c r="K18" s="1" t="s">
        <v>99</v>
      </c>
      <c r="L18" s="5">
        <v>0.35630000000000001</v>
      </c>
      <c r="M18" s="5">
        <v>0.2712</v>
      </c>
      <c r="N18" s="5">
        <v>0.3725</v>
      </c>
      <c r="O18" s="5">
        <v>0.45129999999999998</v>
      </c>
      <c r="P18" s="5">
        <v>0.54869999999999997</v>
      </c>
      <c r="Q18" s="1"/>
      <c r="R18" s="1"/>
      <c r="S18" s="3"/>
      <c r="T18" s="3"/>
      <c r="U18" s="9" t="str">
        <f t="shared" si="0"/>
        <v>[PASAR] Margen Insuficiente (&lt;5%)</v>
      </c>
      <c r="V18" s="10">
        <f ca="1">IFERROR(__xludf.DUMMYFUNCTION("IF(B18="""", """", IFERROR(IF(VALUE(REGEXEXTRACT(TO_TEXT(Y18), ""[0-9.,]+"")) &gt; 0, IF(ISNUMBER(SEARCH(""[GANADA]"", W18)), VALUE(REGEXEXTRACT(TO_TEXT(Y18), ""[0-9.,]+"")) * (IF(ISNUMBER(SEARCH(""LOCAL"", W18)), VALUE(REGEXEXTRACT(TO_TEXT(F18), ""[0-9.,]+"&amp;""")), IF(ISNUMBER(SEARCH(""EMPATE"", W18)), VALUE(REGEXEXTRACT(TO_TEXT(G18), ""[0-9.,]+"")), VALUE(REGEXEXTRACT(TO_TEXT(H18), ""[0-9.,]+"")))) - 1), IF(ISNUMBER(SEARCH(""[PERDIDA]"", W18)), -VALUE(REGEXEXTRACT(TO_TEXT(Y18), ""[0-9.,]+"")), 0)), 0), 0) + I"&amp;"FERROR(IF(VALUE(REGEXEXTRACT(TO_TEXT(Z18), ""[0-9.,]+"")) &gt; 0, IF(ISNUMBER(SEARCH(""[GANADA]"", X18)), VALUE(REGEXEXTRACT(TO_TEXT(Z18), ""[0-9.,]+"")) * (IF(ISNUMBER(SEARCH(""OVER"", X18)), VALUE(REGEXEXTRACT(TO_TEXT(I18), ""[0-9.,]+"")), VALUE(REGEXEXTRA"&amp;"CT(TO_TEXT(J18), ""[0-9.,]+""))) - 1), IF(ISNUMBER(SEARCH(""[PERDIDA]"", X18)), -VALUE(REGEXEXTRACT(TO_TEXT(Z18), ""[0-9.,]+"")), 0)), 0), 0))"),0)</f>
        <v>0</v>
      </c>
      <c r="W18" s="1" t="s">
        <v>52</v>
      </c>
      <c r="X18" s="1" t="s">
        <v>52</v>
      </c>
      <c r="Y18" s="11">
        <v>0</v>
      </c>
      <c r="Z18" s="11">
        <v>0</v>
      </c>
      <c r="AA18" s="4" t="e">
        <f t="shared" ca="1" si="6"/>
        <v>#NAME?</v>
      </c>
      <c r="AB18" s="5" t="e">
        <f t="shared" ca="1" si="1"/>
        <v>#NAME?</v>
      </c>
      <c r="AC18" s="6" t="e">
        <f t="shared" ca="1" si="2"/>
        <v>#NAME?</v>
      </c>
      <c r="AD18" s="6"/>
      <c r="AE18" s="6"/>
      <c r="AF18" s="6" t="b">
        <v>0</v>
      </c>
      <c r="AG18" s="5"/>
      <c r="AH18" s="1"/>
      <c r="AI18" s="1"/>
      <c r="AJ18" s="1"/>
      <c r="AK18" s="1"/>
      <c r="AL18" s="1"/>
      <c r="AM18" s="1"/>
      <c r="AN18" s="5" t="e">
        <f t="shared" ca="1" si="3"/>
        <v>#NAME?</v>
      </c>
      <c r="AO18" s="1" t="str">
        <f t="shared" si="4"/>
        <v/>
      </c>
      <c r="AP18" s="1"/>
      <c r="AQ18" s="1" t="str">
        <f t="shared" si="5"/>
        <v/>
      </c>
      <c r="AR18" s="1"/>
      <c r="AS18" s="1"/>
      <c r="AT18" s="1"/>
      <c r="AU18" s="1"/>
      <c r="AV18" s="1"/>
      <c r="AW18" s="1"/>
      <c r="AX18" s="5"/>
      <c r="AY18" s="5"/>
      <c r="AZ18" s="5"/>
      <c r="BA18" s="5"/>
      <c r="BB18" s="1" t="s">
        <v>69</v>
      </c>
    </row>
    <row r="19" spans="1:54" x14ac:dyDescent="0.2">
      <c r="A19" s="7">
        <v>46099</v>
      </c>
      <c r="B19" s="1" t="s">
        <v>125</v>
      </c>
      <c r="C19" s="1" t="s">
        <v>126</v>
      </c>
      <c r="D19" s="1" t="s">
        <v>127</v>
      </c>
      <c r="E19" s="1" t="s">
        <v>128</v>
      </c>
      <c r="F19" s="1"/>
      <c r="G19" s="1"/>
      <c r="H19" s="1"/>
      <c r="I19" s="1"/>
      <c r="J19" s="1"/>
      <c r="K19" s="1" t="s">
        <v>99</v>
      </c>
      <c r="L19" s="5">
        <v>0.4506</v>
      </c>
      <c r="M19" s="5">
        <v>0.25700000000000001</v>
      </c>
      <c r="N19" s="5">
        <v>0.29239999999999999</v>
      </c>
      <c r="O19" s="5">
        <v>0.49199999999999999</v>
      </c>
      <c r="P19" s="5">
        <v>0.50800000000000001</v>
      </c>
      <c r="Q19" s="20">
        <v>0</v>
      </c>
      <c r="R19" s="20">
        <v>0</v>
      </c>
      <c r="S19" s="3"/>
      <c r="T19" s="3"/>
      <c r="U19" s="9" t="str">
        <f t="shared" si="0"/>
        <v>[FALLO]</v>
      </c>
      <c r="V19" s="10">
        <f ca="1">IFERROR(__xludf.DUMMYFUNCTION("IF(B19="""", """", IFERROR(IF(VALUE(REGEXEXTRACT(TO_TEXT(Y19), ""[0-9.,]+"")) &gt; 0, IF(ISNUMBER(SEARCH(""[GANADA]"", W19)), VALUE(REGEXEXTRACT(TO_TEXT(Y19), ""[0-9.,]+"")) * (IF(ISNUMBER(SEARCH(""LOCAL"", W19)), VALUE(REGEXEXTRACT(TO_TEXT(F19), ""[0-9.,]+"&amp;""")), IF(ISNUMBER(SEARCH(""EMPATE"", W19)), VALUE(REGEXEXTRACT(TO_TEXT(G19), ""[0-9.,]+"")), VALUE(REGEXEXTRACT(TO_TEXT(H19), ""[0-9.,]+"")))) - 1), IF(ISNUMBER(SEARCH(""[PERDIDA]"", W19)), -VALUE(REGEXEXTRACT(TO_TEXT(Y19), ""[0-9.,]+"")), 0)), 0), 0) + I"&amp;"FERROR(IF(VALUE(REGEXEXTRACT(TO_TEXT(Z19), ""[0-9.,]+"")) &gt; 0, IF(ISNUMBER(SEARCH(""[GANADA]"", X19)), VALUE(REGEXEXTRACT(TO_TEXT(Z19), ""[0-9.,]+"")) * (IF(ISNUMBER(SEARCH(""OVER"", X19)), VALUE(REGEXEXTRACT(TO_TEXT(I19), ""[0-9.,]+"")), VALUE(REGEXEXTRA"&amp;"CT(TO_TEXT(J19), ""[0-9.,]+""))) - 1), IF(ISNUMBER(SEARCH(""[PERDIDA]"", X19)), -VALUE(REGEXEXTRACT(TO_TEXT(Z19), ""[0-9.,]+"")), 0)), 0), 0))"),0)</f>
        <v>0</v>
      </c>
      <c r="W19" s="1" t="s">
        <v>52</v>
      </c>
      <c r="X19" s="1" t="s">
        <v>52</v>
      </c>
      <c r="Y19" s="11">
        <v>0</v>
      </c>
      <c r="Z19" s="11">
        <v>0</v>
      </c>
      <c r="AA19" s="4" t="e">
        <f t="shared" ca="1" si="6"/>
        <v>#NAME?</v>
      </c>
      <c r="AB19" s="5" t="e">
        <f t="shared" ca="1" si="1"/>
        <v>#NAME?</v>
      </c>
      <c r="AC19" s="6" t="e">
        <f t="shared" ca="1" si="2"/>
        <v>#NAME?</v>
      </c>
      <c r="AD19" s="6"/>
      <c r="AE19" s="6"/>
      <c r="AF19" s="6" t="b">
        <v>0</v>
      </c>
      <c r="AG19" s="5"/>
      <c r="AH19" s="1"/>
      <c r="AI19" s="1"/>
      <c r="AJ19" s="1"/>
      <c r="AK19" s="1"/>
      <c r="AL19" s="1"/>
      <c r="AM19" s="1"/>
      <c r="AN19" s="5" t="e">
        <f t="shared" ca="1" si="3"/>
        <v>#NAME?</v>
      </c>
      <c r="AO19" s="1" t="e">
        <f t="shared" ca="1" si="4"/>
        <v>#NAME?</v>
      </c>
      <c r="AP19" s="1"/>
      <c r="AQ19" s="1" t="str">
        <f t="shared" si="5"/>
        <v/>
      </c>
      <c r="AR19" s="1"/>
      <c r="AS19" s="1"/>
      <c r="AT19" s="1"/>
      <c r="AU19" s="1"/>
      <c r="AV19" s="1"/>
      <c r="AW19" s="1"/>
      <c r="AX19" s="5"/>
      <c r="AY19" s="5"/>
      <c r="AZ19" s="5"/>
      <c r="BA19" s="5"/>
      <c r="BB19" s="5"/>
    </row>
    <row r="20" spans="1:54" x14ac:dyDescent="0.2">
      <c r="A20" s="16">
        <v>46099</v>
      </c>
      <c r="B20" s="8" t="s">
        <v>129</v>
      </c>
      <c r="C20" s="8" t="s">
        <v>130</v>
      </c>
      <c r="D20" s="8" t="s">
        <v>131</v>
      </c>
      <c r="E20" s="8" t="s">
        <v>132</v>
      </c>
      <c r="F20" s="8"/>
      <c r="G20" s="8">
        <v>3.65</v>
      </c>
      <c r="H20" s="8"/>
      <c r="I20" s="8"/>
      <c r="J20" s="8"/>
      <c r="K20" s="8" t="s">
        <v>68</v>
      </c>
      <c r="L20" s="17">
        <v>0.4874</v>
      </c>
      <c r="M20" s="17">
        <v>0.23980000000000001</v>
      </c>
      <c r="N20" s="17">
        <v>0.2727</v>
      </c>
      <c r="O20" s="17">
        <v>0.55410000000000004</v>
      </c>
      <c r="P20" s="17">
        <v>0.44590000000000002</v>
      </c>
      <c r="Q20" s="15">
        <v>0</v>
      </c>
      <c r="R20" s="15">
        <v>1</v>
      </c>
      <c r="S20" s="18"/>
      <c r="T20" s="18"/>
      <c r="U20" s="9" t="str">
        <f t="shared" si="0"/>
        <v>[FALLO]</v>
      </c>
      <c r="V20" s="10">
        <f ca="1">IFERROR(__xludf.DUMMYFUNCTION("IF(B20="""", """", IFERROR(IF(VALUE(REGEXEXTRACT(TO_TEXT(Y20), ""[0-9.,]+"")) &gt; 0, IF(ISNUMBER(SEARCH(""[GANADA]"", W20)), VALUE(REGEXEXTRACT(TO_TEXT(Y20), ""[0-9.,]+"")) * (IF(ISNUMBER(SEARCH(""LOCAL"", W20)), VALUE(REGEXEXTRACT(TO_TEXT(F20), ""[0-9.,]+"&amp;""")), IF(ISNUMBER(SEARCH(""EMPATE"", W20)), VALUE(REGEXEXTRACT(TO_TEXT(G20), ""[0-9.,]+"")), VALUE(REGEXEXTRACT(TO_TEXT(H20), ""[0-9.,]+"")))) - 1), IF(ISNUMBER(SEARCH(""[PERDIDA]"", W20)), -VALUE(REGEXEXTRACT(TO_TEXT(Y20), ""[0-9.,]+"")), 0)), 0), 0) + I"&amp;"FERROR(IF(VALUE(REGEXEXTRACT(TO_TEXT(Z20), ""[0-9.,]+"")) &gt; 0, IF(ISNUMBER(SEARCH(""[GANADA]"", X20)), VALUE(REGEXEXTRACT(TO_TEXT(Z20), ""[0-9.,]+"")) * (IF(ISNUMBER(SEARCH(""OVER"", X20)), VALUE(REGEXEXTRACT(TO_TEXT(I20), ""[0-9.,]+"")), VALUE(REGEXEXTRA"&amp;"CT(TO_TEXT(J20), ""[0-9.,]+""))) - 1), IF(ISNUMBER(SEARCH(""[PERDIDA]"", X20)), -VALUE(REGEXEXTRACT(TO_TEXT(Z20), ""[0-9.,]+"")), 0)), 0), 0))"),0)</f>
        <v>0</v>
      </c>
      <c r="W20" s="1" t="s">
        <v>52</v>
      </c>
      <c r="X20" s="19" t="s">
        <v>52</v>
      </c>
      <c r="Y20" s="11">
        <v>0</v>
      </c>
      <c r="Z20" s="11">
        <v>0</v>
      </c>
      <c r="AA20" s="4" t="e">
        <f t="shared" ca="1" si="6"/>
        <v>#NAME?</v>
      </c>
      <c r="AB20" s="5" t="e">
        <f t="shared" ca="1" si="1"/>
        <v>#NAME?</v>
      </c>
      <c r="AC20" s="6" t="e">
        <f t="shared" ca="1" si="2"/>
        <v>#NAME?</v>
      </c>
      <c r="AD20" s="6"/>
      <c r="AE20" s="6"/>
      <c r="AF20" s="6" t="b">
        <v>0</v>
      </c>
      <c r="AG20" s="5"/>
      <c r="AH20" s="1"/>
      <c r="AI20" s="1"/>
      <c r="AJ20" s="1"/>
      <c r="AK20" s="1"/>
      <c r="AL20" s="1"/>
      <c r="AM20" s="1"/>
      <c r="AN20" s="5" t="e">
        <f t="shared" ca="1" si="3"/>
        <v>#NAME?</v>
      </c>
      <c r="AO20" s="1" t="e">
        <f t="shared" ca="1" si="4"/>
        <v>#NAME?</v>
      </c>
      <c r="AP20" s="1"/>
      <c r="AQ20" s="1" t="str">
        <f t="shared" si="5"/>
        <v/>
      </c>
      <c r="AR20" s="1"/>
      <c r="AS20" s="1"/>
      <c r="AT20" s="1"/>
      <c r="AU20" s="1"/>
      <c r="AV20" s="1"/>
      <c r="AW20" s="1"/>
      <c r="AX20" s="1"/>
      <c r="AY20" s="5"/>
      <c r="AZ20" s="4"/>
      <c r="BA20" s="5"/>
      <c r="BB20" s="1"/>
    </row>
    <row r="21" spans="1:54" x14ac:dyDescent="0.2">
      <c r="A21" s="16">
        <v>46099</v>
      </c>
      <c r="B21" s="8" t="s">
        <v>133</v>
      </c>
      <c r="C21" s="8" t="s">
        <v>134</v>
      </c>
      <c r="D21" s="8" t="s">
        <v>135</v>
      </c>
      <c r="E21" s="8" t="s">
        <v>136</v>
      </c>
      <c r="F21" s="8"/>
      <c r="G21" s="8"/>
      <c r="H21" s="8"/>
      <c r="I21" s="8"/>
      <c r="J21" s="8"/>
      <c r="K21" s="8" t="s">
        <v>68</v>
      </c>
      <c r="L21" s="17">
        <v>0.57220000000000004</v>
      </c>
      <c r="M21" s="17">
        <v>0.2263</v>
      </c>
      <c r="N21" s="17">
        <v>0.2016</v>
      </c>
      <c r="O21" s="17">
        <v>0.54090000000000005</v>
      </c>
      <c r="P21" s="17">
        <v>0.45910000000000001</v>
      </c>
      <c r="Q21" s="15">
        <v>2</v>
      </c>
      <c r="R21" s="15">
        <v>1</v>
      </c>
      <c r="S21" s="18"/>
      <c r="T21" s="18"/>
      <c r="U21" s="9" t="str">
        <f t="shared" si="0"/>
        <v>[ACIERTO]</v>
      </c>
      <c r="V21" s="10">
        <f ca="1">IFERROR(__xludf.DUMMYFUNCTION("IF(B21="""", """", IFERROR(IF(VALUE(REGEXEXTRACT(TO_TEXT(Y21), ""[0-9.,]+"")) &gt; 0, IF(ISNUMBER(SEARCH(""[GANADA]"", W21)), VALUE(REGEXEXTRACT(TO_TEXT(Y21), ""[0-9.,]+"")) * (IF(ISNUMBER(SEARCH(""LOCAL"", W21)), VALUE(REGEXEXTRACT(TO_TEXT(F21), ""[0-9.,]+"&amp;""")), IF(ISNUMBER(SEARCH(""EMPATE"", W21)), VALUE(REGEXEXTRACT(TO_TEXT(G21), ""[0-9.,]+"")), VALUE(REGEXEXTRACT(TO_TEXT(H21), ""[0-9.,]+"")))) - 1), IF(ISNUMBER(SEARCH(""[PERDIDA]"", W21)), -VALUE(REGEXEXTRACT(TO_TEXT(Y21), ""[0-9.,]+"")), 0)), 0), 0) + I"&amp;"FERROR(IF(VALUE(REGEXEXTRACT(TO_TEXT(Z21), ""[0-9.,]+"")) &gt; 0, IF(ISNUMBER(SEARCH(""[GANADA]"", X21)), VALUE(REGEXEXTRACT(TO_TEXT(Z21), ""[0-9.,]+"")) * (IF(ISNUMBER(SEARCH(""OVER"", X21)), VALUE(REGEXEXTRACT(TO_TEXT(I21), ""[0-9.,]+"")), VALUE(REGEXEXTRA"&amp;"CT(TO_TEXT(J21), ""[0-9.,]+""))) - 1), IF(ISNUMBER(SEARCH(""[PERDIDA]"", X21)), -VALUE(REGEXEXTRACT(TO_TEXT(Z21), ""[0-9.,]+"")), 0)), 0), 0))"),0)</f>
        <v>0</v>
      </c>
      <c r="W21" s="21" t="s">
        <v>52</v>
      </c>
      <c r="X21" s="21" t="s">
        <v>52</v>
      </c>
      <c r="Y21" s="11">
        <v>0</v>
      </c>
      <c r="Z21" s="11">
        <v>0</v>
      </c>
      <c r="AA21" s="4" t="e">
        <f t="shared" ca="1" si="6"/>
        <v>#NAME?</v>
      </c>
      <c r="AB21" s="5" t="e">
        <f t="shared" ca="1" si="1"/>
        <v>#NAME?</v>
      </c>
      <c r="AC21" s="6" t="e">
        <f t="shared" ca="1" si="2"/>
        <v>#NAME?</v>
      </c>
      <c r="AD21" s="6"/>
      <c r="AE21" s="6"/>
      <c r="AF21" s="6" t="b">
        <v>0</v>
      </c>
      <c r="AG21" s="5"/>
      <c r="AH21" s="1"/>
      <c r="AI21" s="1"/>
      <c r="AJ21" s="1"/>
      <c r="AK21" s="1"/>
      <c r="AL21" s="1"/>
      <c r="AM21" s="1"/>
      <c r="AN21" s="5" t="e">
        <f t="shared" ca="1" si="3"/>
        <v>#NAME?</v>
      </c>
      <c r="AO21" s="1" t="e">
        <f t="shared" ca="1" si="4"/>
        <v>#NAME?</v>
      </c>
      <c r="AP21" s="1"/>
      <c r="AQ21" s="1" t="str">
        <f t="shared" si="5"/>
        <v/>
      </c>
      <c r="AR21" s="1"/>
      <c r="AS21" s="1"/>
      <c r="AT21" s="1"/>
      <c r="AU21" s="1"/>
      <c r="AV21" s="1"/>
      <c r="AW21" s="1"/>
      <c r="AX21" s="1"/>
      <c r="AY21" s="5"/>
      <c r="AZ21" s="4"/>
      <c r="BA21" s="5"/>
      <c r="BB21" s="1"/>
    </row>
    <row r="22" spans="1:54" x14ac:dyDescent="0.2">
      <c r="A22" s="7">
        <v>46100</v>
      </c>
      <c r="B22" s="1" t="s">
        <v>137</v>
      </c>
      <c r="C22" s="1" t="s">
        <v>138</v>
      </c>
      <c r="D22" s="1" t="s">
        <v>139</v>
      </c>
      <c r="E22" s="1" t="s">
        <v>140</v>
      </c>
      <c r="F22" s="1"/>
      <c r="G22" s="1">
        <v>3.3</v>
      </c>
      <c r="H22" s="1"/>
      <c r="I22" s="1"/>
      <c r="J22" s="1"/>
      <c r="K22" s="1" t="s">
        <v>68</v>
      </c>
      <c r="L22" s="5">
        <v>0.46310000000000001</v>
      </c>
      <c r="M22" s="5">
        <v>0.25280000000000002</v>
      </c>
      <c r="N22" s="5">
        <v>0.28410000000000002</v>
      </c>
      <c r="O22" s="5">
        <v>0.505</v>
      </c>
      <c r="P22" s="5">
        <v>0.495</v>
      </c>
      <c r="Q22" s="15">
        <v>1</v>
      </c>
      <c r="R22" s="15">
        <v>2</v>
      </c>
      <c r="S22" s="3"/>
      <c r="T22" s="3"/>
      <c r="U22" s="9" t="str">
        <f t="shared" si="0"/>
        <v>[FALLO]</v>
      </c>
      <c r="V22" s="10">
        <f ca="1">IFERROR(__xludf.DUMMYFUNCTION("IF(B22="""", """", IFERROR(IF(VALUE(REGEXEXTRACT(TO_TEXT(Y22), ""[0-9.,]+"")) &gt; 0, IF(ISNUMBER(SEARCH(""[GANADA]"", W22)), VALUE(REGEXEXTRACT(TO_TEXT(Y22), ""[0-9.,]+"")) * (IF(ISNUMBER(SEARCH(""LOCAL"", W22)), VALUE(REGEXEXTRACT(TO_TEXT(F22), ""[0-9.,]+"&amp;""")), IF(ISNUMBER(SEARCH(""EMPATE"", W22)), VALUE(REGEXEXTRACT(TO_TEXT(G22), ""[0-9.,]+"")), VALUE(REGEXEXTRACT(TO_TEXT(H22), ""[0-9.,]+"")))) - 1), IF(ISNUMBER(SEARCH(""[PERDIDA]"", W22)), -VALUE(REGEXEXTRACT(TO_TEXT(Y22), ""[0-9.,]+"")), 0)), 0), 0) + I"&amp;"FERROR(IF(VALUE(REGEXEXTRACT(TO_TEXT(Z22), ""[0-9.,]+"")) &gt; 0, IF(ISNUMBER(SEARCH(""[GANADA]"", X22)), VALUE(REGEXEXTRACT(TO_TEXT(Z22), ""[0-9.,]+"")) * (IF(ISNUMBER(SEARCH(""OVER"", X22)), VALUE(REGEXEXTRACT(TO_TEXT(I22), ""[0-9.,]+"")), VALUE(REGEXEXTRA"&amp;"CT(TO_TEXT(J22), ""[0-9.,]+""))) - 1), IF(ISNUMBER(SEARCH(""[PERDIDA]"", X22)), -VALUE(REGEXEXTRACT(TO_TEXT(Z22), ""[0-9.,]+"")), 0)), 0), 0))"),0)</f>
        <v>0</v>
      </c>
      <c r="W22" s="1" t="s">
        <v>52</v>
      </c>
      <c r="X22" s="1" t="s">
        <v>52</v>
      </c>
      <c r="Y22" s="4">
        <v>0</v>
      </c>
      <c r="Z22" s="12">
        <v>0</v>
      </c>
      <c r="AA22" s="4" t="e">
        <f t="shared" ca="1" si="6"/>
        <v>#NAME?</v>
      </c>
      <c r="AB22" s="5" t="e">
        <f t="shared" ca="1" si="1"/>
        <v>#NAME?</v>
      </c>
      <c r="AC22" s="6" t="e">
        <f t="shared" ca="1" si="2"/>
        <v>#NAME?</v>
      </c>
      <c r="AD22" s="6"/>
      <c r="AE22" s="6"/>
      <c r="AF22" s="6" t="b">
        <v>0</v>
      </c>
      <c r="AG22" s="5"/>
      <c r="AH22" s="1"/>
      <c r="AI22" s="1"/>
      <c r="AJ22" s="1"/>
      <c r="AK22" s="1"/>
      <c r="AL22" s="1"/>
      <c r="AM22" s="1"/>
      <c r="AN22" s="5" t="e">
        <f t="shared" ca="1" si="3"/>
        <v>#NAME?</v>
      </c>
      <c r="AO22" s="1" t="e">
        <f t="shared" ca="1" si="4"/>
        <v>#NAME?</v>
      </c>
      <c r="AP22" s="1"/>
      <c r="AQ22" s="1" t="str">
        <f t="shared" si="5"/>
        <v/>
      </c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</row>
    <row r="23" spans="1:54" x14ac:dyDescent="0.2">
      <c r="A23" s="7">
        <v>46100</v>
      </c>
      <c r="B23" s="1" t="s">
        <v>141</v>
      </c>
      <c r="C23" s="1" t="s">
        <v>142</v>
      </c>
      <c r="D23" s="1" t="s">
        <v>143</v>
      </c>
      <c r="E23" s="1" t="s">
        <v>144</v>
      </c>
      <c r="F23" s="1"/>
      <c r="G23" s="1">
        <v>3.15</v>
      </c>
      <c r="H23" s="1"/>
      <c r="I23" s="1"/>
      <c r="J23" s="1"/>
      <c r="K23" s="1" t="s">
        <v>68</v>
      </c>
      <c r="L23" s="5">
        <v>0.46150000000000002</v>
      </c>
      <c r="M23" s="5">
        <v>0.24299999999999999</v>
      </c>
      <c r="N23" s="5">
        <v>0.29549999999999998</v>
      </c>
      <c r="O23" s="5">
        <v>0.55449999999999999</v>
      </c>
      <c r="P23" s="5">
        <v>0.44550000000000001</v>
      </c>
      <c r="Q23" s="15">
        <v>3</v>
      </c>
      <c r="R23" s="15">
        <v>2</v>
      </c>
      <c r="S23" s="3"/>
      <c r="T23" s="3"/>
      <c r="U23" s="9" t="str">
        <f t="shared" si="0"/>
        <v>[ACIERTO]</v>
      </c>
      <c r="V23" s="10">
        <f ca="1">IFERROR(__xludf.DUMMYFUNCTION("IF(B23="""", """", IFERROR(IF(VALUE(REGEXEXTRACT(TO_TEXT(Y23), ""[0-9.,]+"")) &gt; 0, IF(ISNUMBER(SEARCH(""[GANADA]"", W23)), VALUE(REGEXEXTRACT(TO_TEXT(Y23), ""[0-9.,]+"")) * (IF(ISNUMBER(SEARCH(""LOCAL"", W23)), VALUE(REGEXEXTRACT(TO_TEXT(F23), ""[0-9.,]+"&amp;""")), IF(ISNUMBER(SEARCH(""EMPATE"", W23)), VALUE(REGEXEXTRACT(TO_TEXT(G23), ""[0-9.,]+"")), VALUE(REGEXEXTRACT(TO_TEXT(H23), ""[0-9.,]+"")))) - 1), IF(ISNUMBER(SEARCH(""[PERDIDA]"", W23)), -VALUE(REGEXEXTRACT(TO_TEXT(Y23), ""[0-9.,]+"")), 0)), 0), 0) + I"&amp;"FERROR(IF(VALUE(REGEXEXTRACT(TO_TEXT(Z23), ""[0-9.,]+"")) &gt; 0, IF(ISNUMBER(SEARCH(""[GANADA]"", X23)), VALUE(REGEXEXTRACT(TO_TEXT(Z23), ""[0-9.,]+"")) * (IF(ISNUMBER(SEARCH(""OVER"", X23)), VALUE(REGEXEXTRACT(TO_TEXT(I23), ""[0-9.,]+"")), VALUE(REGEXEXTRA"&amp;"CT(TO_TEXT(J23), ""[0-9.,]+""))) - 1), IF(ISNUMBER(SEARCH(""[PERDIDA]"", X23)), -VALUE(REGEXEXTRACT(TO_TEXT(Z23), ""[0-9.,]+"")), 0)), 0), 0))"),0)</f>
        <v>0</v>
      </c>
      <c r="W23" s="1" t="s">
        <v>52</v>
      </c>
      <c r="X23" s="1" t="s">
        <v>52</v>
      </c>
      <c r="Y23" s="11">
        <v>0</v>
      </c>
      <c r="Z23" s="11">
        <v>0</v>
      </c>
      <c r="AA23" s="4" t="e">
        <f t="shared" ca="1" si="6"/>
        <v>#NAME?</v>
      </c>
      <c r="AB23" s="5" t="e">
        <f t="shared" ca="1" si="1"/>
        <v>#NAME?</v>
      </c>
      <c r="AC23" s="6" t="e">
        <f t="shared" ca="1" si="2"/>
        <v>#NAME?</v>
      </c>
      <c r="AD23" s="6"/>
      <c r="AE23" s="6"/>
      <c r="AF23" s="6" t="b">
        <v>0</v>
      </c>
      <c r="AG23" s="5"/>
      <c r="AH23" s="1"/>
      <c r="AI23" s="1"/>
      <c r="AJ23" s="1"/>
      <c r="AK23" s="1"/>
      <c r="AL23" s="1"/>
      <c r="AM23" s="1"/>
      <c r="AN23" s="5" t="e">
        <f t="shared" ca="1" si="3"/>
        <v>#NAME?</v>
      </c>
      <c r="AO23" s="1" t="e">
        <f t="shared" ca="1" si="4"/>
        <v>#NAME?</v>
      </c>
      <c r="AP23" s="1"/>
      <c r="AQ23" s="1" t="str">
        <f t="shared" si="5"/>
        <v/>
      </c>
      <c r="AR23" s="1"/>
      <c r="AS23" s="1"/>
      <c r="AT23" s="1"/>
      <c r="AU23" s="1"/>
      <c r="AV23" s="1"/>
      <c r="AW23" s="1"/>
      <c r="AX23" s="5"/>
      <c r="AY23" s="5"/>
      <c r="AZ23" s="5"/>
      <c r="BA23" s="5"/>
      <c r="BB23" s="1" t="s">
        <v>69</v>
      </c>
    </row>
    <row r="24" spans="1:54" x14ac:dyDescent="0.2">
      <c r="A24" s="7">
        <v>46101</v>
      </c>
      <c r="B24" s="1" t="s">
        <v>145</v>
      </c>
      <c r="C24" s="1" t="s">
        <v>146</v>
      </c>
      <c r="D24" s="1" t="s">
        <v>147</v>
      </c>
      <c r="E24" s="1" t="s">
        <v>148</v>
      </c>
      <c r="F24" s="1">
        <v>3.5</v>
      </c>
      <c r="G24" s="1">
        <v>3.95</v>
      </c>
      <c r="H24" s="1">
        <v>2.16</v>
      </c>
      <c r="I24" s="1">
        <v>1.53</v>
      </c>
      <c r="J24" s="1">
        <v>2.38</v>
      </c>
      <c r="K24" s="1" t="s">
        <v>62</v>
      </c>
      <c r="L24" s="5">
        <v>0.38519999999999999</v>
      </c>
      <c r="M24" s="5">
        <v>0.26040000000000002</v>
      </c>
      <c r="N24" s="5">
        <v>0.35439999999999999</v>
      </c>
      <c r="O24" s="5">
        <v>0.49609999999999999</v>
      </c>
      <c r="P24" s="5">
        <v>0.50390000000000001</v>
      </c>
      <c r="Q24" s="1">
        <v>2</v>
      </c>
      <c r="R24" s="1">
        <v>2</v>
      </c>
      <c r="S24" s="3"/>
      <c r="T24" s="3"/>
      <c r="U24" s="9" t="str">
        <f t="shared" si="0"/>
        <v>[PASAR] Margen Insuficiente (&lt;5%)</v>
      </c>
      <c r="V24" s="10">
        <f ca="1">IFERROR(__xludf.DUMMYFUNCTION("IF(B24="""", """", IFERROR(IF(VALUE(REGEXEXTRACT(TO_TEXT(Y24), ""[0-9.,]+"")) &gt; 0, IF(ISNUMBER(SEARCH(""[GANADA]"", W24)), VALUE(REGEXEXTRACT(TO_TEXT(Y24), ""[0-9.,]+"")) * (IF(ISNUMBER(SEARCH(""LOCAL"", W24)), VALUE(REGEXEXTRACT(TO_TEXT(F24), ""[0-9.,]+"&amp;""")), IF(ISNUMBER(SEARCH(""EMPATE"", W24)), VALUE(REGEXEXTRACT(TO_TEXT(G24), ""[0-9.,]+"")), VALUE(REGEXEXTRACT(TO_TEXT(H24), ""[0-9.,]+"")))) - 1), IF(ISNUMBER(SEARCH(""[PERDIDA]"", W24)), -VALUE(REGEXEXTRACT(TO_TEXT(Y24), ""[0-9.,]+"")), 0)), 0), 0) + I"&amp;"FERROR(IF(VALUE(REGEXEXTRACT(TO_TEXT(Z24), ""[0-9.,]+"")) &gt; 0, IF(ISNUMBER(SEARCH(""[GANADA]"", X24)), VALUE(REGEXEXTRACT(TO_TEXT(Z24), ""[0-9.,]+"")) * (IF(ISNUMBER(SEARCH(""OVER"", X24)), VALUE(REGEXEXTRACT(TO_TEXT(I24), ""[0-9.,]+"")), VALUE(REGEXEXTRA"&amp;"CT(TO_TEXT(J24), ""[0-9.,]+""))) - 1), IF(ISNUMBER(SEARCH(""[PERDIDA]"", X24)), -VALUE(REGEXEXTRACT(TO_TEXT(Z24), ""[0-9.,]+"")), 0)), 0), 0))"),0)</f>
        <v>0</v>
      </c>
      <c r="W24" s="1" t="s">
        <v>82</v>
      </c>
      <c r="X24" s="1" t="s">
        <v>63</v>
      </c>
      <c r="Y24" s="11">
        <v>0</v>
      </c>
      <c r="Z24" s="11">
        <v>0</v>
      </c>
      <c r="AA24" s="4" t="e">
        <f t="shared" ca="1" si="6"/>
        <v>#NAME?</v>
      </c>
      <c r="AB24" s="5" t="e">
        <f t="shared" ca="1" si="1"/>
        <v>#NAME?</v>
      </c>
      <c r="AC24" s="6" t="e">
        <f t="shared" ca="1" si="2"/>
        <v>#NAME?</v>
      </c>
      <c r="AD24" s="6"/>
      <c r="AE24" s="6"/>
      <c r="AF24" s="6" t="b">
        <v>0</v>
      </c>
      <c r="AG24" s="5"/>
      <c r="AH24" s="1"/>
      <c r="AI24" s="1"/>
      <c r="AJ24" s="1"/>
      <c r="AK24" s="1"/>
      <c r="AL24" s="1"/>
      <c r="AM24" s="1"/>
      <c r="AN24" s="5" t="e">
        <f t="shared" ca="1" si="3"/>
        <v>#NAME?</v>
      </c>
      <c r="AO24" s="1" t="e">
        <f t="shared" ca="1" si="4"/>
        <v>#NAME?</v>
      </c>
      <c r="AP24" s="1"/>
      <c r="AQ24" s="1" t="e">
        <f t="shared" ca="1" si="5"/>
        <v>#NAME?</v>
      </c>
      <c r="AR24" s="1"/>
      <c r="AS24" s="1"/>
      <c r="AT24" s="1"/>
      <c r="AU24" s="1"/>
      <c r="AV24" s="1"/>
      <c r="AW24" s="1"/>
      <c r="AX24" s="5"/>
      <c r="AY24" s="5"/>
      <c r="AZ24" s="1"/>
      <c r="BA24" s="1"/>
      <c r="BB24" s="1" t="s">
        <v>69</v>
      </c>
    </row>
    <row r="25" spans="1:54" x14ac:dyDescent="0.2">
      <c r="A25" s="7">
        <v>46102</v>
      </c>
      <c r="B25" s="1" t="s">
        <v>149</v>
      </c>
      <c r="C25" s="1" t="s">
        <v>150</v>
      </c>
      <c r="D25" s="1" t="s">
        <v>151</v>
      </c>
      <c r="E25" s="1" t="s">
        <v>152</v>
      </c>
      <c r="F25" s="1">
        <v>2.16</v>
      </c>
      <c r="G25" s="1">
        <v>3.3</v>
      </c>
      <c r="H25" s="1">
        <v>4.0999999999999996</v>
      </c>
      <c r="I25" s="1">
        <v>2.4300000000000002</v>
      </c>
      <c r="J25" s="1">
        <v>1.55</v>
      </c>
      <c r="K25" s="1" t="s">
        <v>51</v>
      </c>
      <c r="L25" s="5">
        <v>0.46710000000000002</v>
      </c>
      <c r="M25" s="5">
        <v>0.2737</v>
      </c>
      <c r="N25" s="5">
        <v>0.25919999999999999</v>
      </c>
      <c r="O25" s="5">
        <v>0.41089999999999999</v>
      </c>
      <c r="P25" s="5">
        <v>0.58909999999999996</v>
      </c>
      <c r="Q25" s="1">
        <v>1</v>
      </c>
      <c r="R25" s="1">
        <v>0</v>
      </c>
      <c r="S25" s="3"/>
      <c r="T25" s="3"/>
      <c r="U25" s="9" t="str">
        <f t="shared" si="0"/>
        <v>[ACIERTO]</v>
      </c>
      <c r="V25" s="10">
        <f ca="1">IFERROR(__xludf.DUMMYFUNCTION("IF(B25="""", """", IFERROR(IF(VALUE(REGEXEXTRACT(TO_TEXT(Y25), ""[0-9.,]+"")) &gt; 0, IF(ISNUMBER(SEARCH(""[GANADA]"", W25)), VALUE(REGEXEXTRACT(TO_TEXT(Y25), ""[0-9.,]+"")) * (IF(ISNUMBER(SEARCH(""LOCAL"", W25)), VALUE(REGEXEXTRACT(TO_TEXT(F25), ""[0-9.,]+"&amp;""")), IF(ISNUMBER(SEARCH(""EMPATE"", W25)), VALUE(REGEXEXTRACT(TO_TEXT(G25), ""[0-9.,]+"")), VALUE(REGEXEXTRACT(TO_TEXT(H25), ""[0-9.,]+"")))) - 1), IF(ISNUMBER(SEARCH(""[PERDIDA]"", W25)), -VALUE(REGEXEXTRACT(TO_TEXT(Y25), ""[0-9.,]+"")), 0)), 0), 0) + I"&amp;"FERROR(IF(VALUE(REGEXEXTRACT(TO_TEXT(Z25), ""[0-9.,]+"")) &gt; 0, IF(ISNUMBER(SEARCH(""[GANADA]"", X25)), VALUE(REGEXEXTRACT(TO_TEXT(Z25), ""[0-9.,]+"")) * (IF(ISNUMBER(SEARCH(""OVER"", X25)), VALUE(REGEXEXTRACT(TO_TEXT(I25), ""[0-9.,]+"")), VALUE(REGEXEXTRA"&amp;"CT(TO_TEXT(J25), ""[0-9.,]+""))) - 1), IF(ISNUMBER(SEARCH(""[PERDIDA]"", X25)), -VALUE(REGEXEXTRACT(TO_TEXT(Z25), ""[0-9.,]+"")), 0)), 0), 0))"),-1013.15)</f>
        <v>-1013.15</v>
      </c>
      <c r="W25" s="1" t="str">
        <f>IF(OR(Q25="", R25=""), "[APOSTAR] VISITA", IF(Q25&lt;R25, "[GANADA] VISITA", "[PERDIDA] VISITA"))</f>
        <v>[PERDIDA] VISITA</v>
      </c>
      <c r="X25" s="1" t="s">
        <v>57</v>
      </c>
      <c r="Y25" s="11">
        <v>1013.15</v>
      </c>
      <c r="Z25" s="11">
        <v>0</v>
      </c>
      <c r="AA25" s="4" t="e">
        <f t="shared" ca="1" si="6"/>
        <v>#NAME?</v>
      </c>
      <c r="AB25" s="5" t="e">
        <f t="shared" ca="1" si="1"/>
        <v>#NAME?</v>
      </c>
      <c r="AC25" s="6" t="e">
        <f t="shared" ca="1" si="2"/>
        <v>#NAME?</v>
      </c>
      <c r="AD25" s="6"/>
      <c r="AE25" s="6"/>
      <c r="AF25" s="6" t="b">
        <v>0</v>
      </c>
      <c r="AG25" s="5"/>
      <c r="AH25" s="1"/>
      <c r="AI25" s="1"/>
      <c r="AJ25" s="1"/>
      <c r="AK25" s="1"/>
      <c r="AL25" s="1"/>
      <c r="AM25" s="1"/>
      <c r="AN25" s="5" t="e">
        <f t="shared" ca="1" si="3"/>
        <v>#NAME?</v>
      </c>
      <c r="AO25" s="1" t="e">
        <f t="shared" ca="1" si="4"/>
        <v>#NAME?</v>
      </c>
      <c r="AP25" s="1"/>
      <c r="AQ25" s="1" t="e">
        <f t="shared" ca="1" si="5"/>
        <v>#NAME?</v>
      </c>
      <c r="AR25" s="1"/>
      <c r="AS25" s="1"/>
      <c r="AT25" s="1"/>
      <c r="AU25" s="1"/>
      <c r="AV25" s="1"/>
      <c r="AW25" s="1"/>
      <c r="AX25" s="5"/>
      <c r="AY25" s="5"/>
      <c r="AZ25" s="1"/>
      <c r="BA25" s="1"/>
      <c r="BB25" s="1" t="s">
        <v>69</v>
      </c>
    </row>
    <row r="26" spans="1:54" x14ac:dyDescent="0.2">
      <c r="A26" s="7">
        <v>46102</v>
      </c>
      <c r="B26" s="1" t="s">
        <v>153</v>
      </c>
      <c r="C26" s="1" t="s">
        <v>154</v>
      </c>
      <c r="D26" s="1" t="s">
        <v>155</v>
      </c>
      <c r="E26" s="1" t="s">
        <v>156</v>
      </c>
      <c r="F26" s="1">
        <v>3</v>
      </c>
      <c r="G26" s="1">
        <v>3</v>
      </c>
      <c r="H26" s="1">
        <v>2.9</v>
      </c>
      <c r="I26" s="1">
        <v>2.85</v>
      </c>
      <c r="J26" s="1">
        <v>1.47</v>
      </c>
      <c r="K26" s="1" t="s">
        <v>51</v>
      </c>
      <c r="L26" s="5">
        <v>0.38419999999999999</v>
      </c>
      <c r="M26" s="5">
        <v>0.28079999999999999</v>
      </c>
      <c r="N26" s="5">
        <v>0.33489999999999998</v>
      </c>
      <c r="O26" s="5">
        <v>0.4128</v>
      </c>
      <c r="P26" s="5">
        <v>0.58720000000000006</v>
      </c>
      <c r="Q26" s="1">
        <v>1</v>
      </c>
      <c r="R26" s="1">
        <v>0</v>
      </c>
      <c r="S26" s="3"/>
      <c r="T26" s="3"/>
      <c r="U26" s="9" t="str">
        <f t="shared" si="0"/>
        <v>[PASAR] Margen Insuficiente (&lt;5%)</v>
      </c>
      <c r="V26" s="10">
        <f ca="1">IFERROR(__xludf.DUMMYFUNCTION("IF(B26="""", """", IFERROR(IF(VALUE(REGEXEXTRACT(TO_TEXT(Y26), ""[0-9.,]+"")) &gt; 0, IF(ISNUMBER(SEARCH(""[GANADA]"", W26)), VALUE(REGEXEXTRACT(TO_TEXT(Y26), ""[0-9.,]+"")) * (IF(ISNUMBER(SEARCH(""LOCAL"", W26)), VALUE(REGEXEXTRACT(TO_TEXT(F26), ""[0-9.,]+"&amp;""")), IF(ISNUMBER(SEARCH(""EMPATE"", W26)), VALUE(REGEXEXTRACT(TO_TEXT(G26), ""[0-9.,]+"")), VALUE(REGEXEXTRACT(TO_TEXT(H26), ""[0-9.,]+"")))) - 1), IF(ISNUMBER(SEARCH(""[PERDIDA]"", W26)), -VALUE(REGEXEXTRACT(TO_TEXT(Y26), ""[0-9.,]+"")), 0)), 0), 0) + I"&amp;"FERROR(IF(VALUE(REGEXEXTRACT(TO_TEXT(Z26), ""[0-9.,]+"")) &gt; 0, IF(ISNUMBER(SEARCH(""[GANADA]"", X26)), VALUE(REGEXEXTRACT(TO_TEXT(Z26), ""[0-9.,]+"")) * (IF(ISNUMBER(SEARCH(""OVER"", X26)), VALUE(REGEXEXTRACT(TO_TEXT(I26), ""[0-9.,]+"")), VALUE(REGEXEXTRA"&amp;"CT(TO_TEXT(J26), ""[0-9.,]+""))) - 1), IF(ISNUMBER(SEARCH(""[PERDIDA]"", X26)), -VALUE(REGEXEXTRACT(TO_TEXT(Z26), ""[0-9.,]+"")), 0)), 0), 0))"),0)</f>
        <v>0</v>
      </c>
      <c r="W26" s="1" t="s">
        <v>82</v>
      </c>
      <c r="X26" s="1" t="s">
        <v>57</v>
      </c>
      <c r="Y26" s="4">
        <v>0</v>
      </c>
      <c r="Z26" s="12">
        <v>0</v>
      </c>
      <c r="AA26" s="4" t="e">
        <f t="shared" ca="1" si="6"/>
        <v>#NAME?</v>
      </c>
      <c r="AB26" s="5" t="e">
        <f t="shared" ca="1" si="1"/>
        <v>#NAME?</v>
      </c>
      <c r="AC26" s="6" t="e">
        <f t="shared" ca="1" si="2"/>
        <v>#NAME?</v>
      </c>
      <c r="AD26" s="6"/>
      <c r="AE26" s="6"/>
      <c r="AF26" s="6" t="b">
        <v>0</v>
      </c>
      <c r="AG26" s="5"/>
      <c r="AH26" s="1"/>
      <c r="AI26" s="1"/>
      <c r="AJ26" s="1"/>
      <c r="AK26" s="1"/>
      <c r="AL26" s="1"/>
      <c r="AM26" s="1"/>
      <c r="AN26" s="5" t="e">
        <f t="shared" ca="1" si="3"/>
        <v>#NAME?</v>
      </c>
      <c r="AO26" s="1" t="e">
        <f t="shared" ca="1" si="4"/>
        <v>#NAME?</v>
      </c>
      <c r="AP26" s="1"/>
      <c r="AQ26" s="1" t="e">
        <f t="shared" ca="1" si="5"/>
        <v>#NAME?</v>
      </c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</row>
    <row r="27" spans="1:54" x14ac:dyDescent="0.2">
      <c r="A27" s="7">
        <v>46102</v>
      </c>
      <c r="B27" s="1" t="s">
        <v>157</v>
      </c>
      <c r="C27" s="1" t="s">
        <v>158</v>
      </c>
      <c r="D27" s="1" t="s">
        <v>159</v>
      </c>
      <c r="E27" s="1" t="s">
        <v>160</v>
      </c>
      <c r="F27" s="1">
        <v>3.25</v>
      </c>
      <c r="G27" s="1">
        <v>3.75</v>
      </c>
      <c r="H27" s="1">
        <v>2.33</v>
      </c>
      <c r="I27" s="1">
        <v>1.78</v>
      </c>
      <c r="J27" s="1">
        <v>2.21</v>
      </c>
      <c r="K27" s="1" t="s">
        <v>62</v>
      </c>
      <c r="L27" s="5">
        <v>0.41599999999999998</v>
      </c>
      <c r="M27" s="5">
        <v>0.2576</v>
      </c>
      <c r="N27" s="5">
        <v>0.32640000000000002</v>
      </c>
      <c r="O27" s="5">
        <v>0.503</v>
      </c>
      <c r="P27" s="5">
        <v>0.497</v>
      </c>
      <c r="Q27" s="1">
        <v>2</v>
      </c>
      <c r="R27" s="1">
        <v>1</v>
      </c>
      <c r="S27" s="3"/>
      <c r="T27" s="3"/>
      <c r="U27" s="9" t="str">
        <f t="shared" si="0"/>
        <v>[ACIERTO]</v>
      </c>
      <c r="V27" s="10">
        <f ca="1">IFERROR(__xludf.DUMMYFUNCTION("IF(B27="""", """", IFERROR(IF(VALUE(REGEXEXTRACT(TO_TEXT(Y27), ""[0-9.,]+"")) &gt; 0, IF(ISNUMBER(SEARCH(""[GANADA]"", W27)), VALUE(REGEXEXTRACT(TO_TEXT(Y27), ""[0-9.,]+"")) * (IF(ISNUMBER(SEARCH(""LOCAL"", W27)), VALUE(REGEXEXTRACT(TO_TEXT(F27), ""[0-9.,]+"&amp;""")), IF(ISNUMBER(SEARCH(""EMPATE"", W27)), VALUE(REGEXEXTRACT(TO_TEXT(G27), ""[0-9.,]+"")), VALUE(REGEXEXTRACT(TO_TEXT(H27), ""[0-9.,]+"")))) - 1), IF(ISNUMBER(SEARCH(""[PERDIDA]"", W27)), -VALUE(REGEXEXTRACT(TO_TEXT(Y27), ""[0-9.,]+"")), 0)), 0), 0) + I"&amp;"FERROR(IF(VALUE(REGEXEXTRACT(TO_TEXT(Z27), ""[0-9.,]+"")) &gt; 0, IF(ISNUMBER(SEARCH(""[GANADA]"", X27)), VALUE(REGEXEXTRACT(TO_TEXT(Z27), ""[0-9.,]+"")) * (IF(ISNUMBER(SEARCH(""OVER"", X27)), VALUE(REGEXEXTRACT(TO_TEXT(I27), ""[0-9.,]+"")), VALUE(REGEXEXTRA"&amp;"CT(TO_TEXT(J27), ""[0-9.,]+""))) - 1), IF(ISNUMBER(SEARCH(""[PERDIDA]"", X27)), -VALUE(REGEXEXTRACT(TO_TEXT(Z27), ""[0-9.,]+"")), 0)), 0), 0))"),3977.4825)</f>
        <v>3977.4825000000001</v>
      </c>
      <c r="W27" s="1" t="str">
        <f t="shared" ref="W27:W28" si="8">IF(OR(Q27="", R27=""), "[APOSTAR] LOCAL", IF(Q27&gt;R27, "[GANADA] LOCAL", "[PERDIDA] LOCAL"))</f>
        <v>[GANADA] LOCAL</v>
      </c>
      <c r="X27" s="1" t="s">
        <v>63</v>
      </c>
      <c r="Y27" s="4">
        <v>1767.77</v>
      </c>
      <c r="Z27" s="12">
        <v>0</v>
      </c>
      <c r="AA27" s="4" t="e">
        <f t="shared" ca="1" si="6"/>
        <v>#NAME?</v>
      </c>
      <c r="AB27" s="5" t="e">
        <f t="shared" ca="1" si="1"/>
        <v>#NAME?</v>
      </c>
      <c r="AC27" s="6" t="e">
        <f t="shared" ca="1" si="2"/>
        <v>#NAME?</v>
      </c>
      <c r="AD27" s="6"/>
      <c r="AE27" s="6"/>
      <c r="AF27" s="6" t="b">
        <v>0</v>
      </c>
      <c r="AG27" s="5"/>
      <c r="AH27" s="1"/>
      <c r="AI27" s="1"/>
      <c r="AJ27" s="1"/>
      <c r="AK27" s="1"/>
      <c r="AL27" s="1"/>
      <c r="AM27" s="1"/>
      <c r="AN27" s="5" t="e">
        <f t="shared" ca="1" si="3"/>
        <v>#NAME?</v>
      </c>
      <c r="AO27" s="1" t="e">
        <f t="shared" ca="1" si="4"/>
        <v>#NAME?</v>
      </c>
      <c r="AP27" s="1"/>
      <c r="AQ27" s="1" t="e">
        <f t="shared" ca="1" si="5"/>
        <v>#NAME?</v>
      </c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</row>
    <row r="28" spans="1:54" x14ac:dyDescent="0.2">
      <c r="A28" s="7">
        <v>46102</v>
      </c>
      <c r="B28" s="1" t="s">
        <v>161</v>
      </c>
      <c r="C28" s="1" t="s">
        <v>162</v>
      </c>
      <c r="D28" s="1" t="s">
        <v>81</v>
      </c>
      <c r="E28" s="1" t="s">
        <v>163</v>
      </c>
      <c r="F28" s="1">
        <v>2.9</v>
      </c>
      <c r="G28" s="1">
        <v>3.1</v>
      </c>
      <c r="H28" s="1">
        <v>2.88</v>
      </c>
      <c r="I28" s="1">
        <v>2.62</v>
      </c>
      <c r="J28" s="1">
        <v>1.56</v>
      </c>
      <c r="K28" s="1" t="s">
        <v>51</v>
      </c>
      <c r="L28" s="5">
        <v>0.40739999999999998</v>
      </c>
      <c r="M28" s="5">
        <v>0.26490000000000002</v>
      </c>
      <c r="N28" s="5">
        <v>0.32769999999999999</v>
      </c>
      <c r="O28" s="5">
        <v>0.4728</v>
      </c>
      <c r="P28" s="5">
        <v>0.5272</v>
      </c>
      <c r="Q28" s="1">
        <v>2</v>
      </c>
      <c r="R28" s="1">
        <v>0</v>
      </c>
      <c r="S28" s="3"/>
      <c r="T28" s="3"/>
      <c r="U28" s="9" t="str">
        <f t="shared" si="0"/>
        <v>[ACIERTO]</v>
      </c>
      <c r="V28" s="10">
        <f ca="1">IFERROR(__xludf.DUMMYFUNCTION("IF(B28="""", """", IFERROR(IF(VALUE(REGEXEXTRACT(TO_TEXT(Y28), ""[0-9.,]+"")) &gt; 0, IF(ISNUMBER(SEARCH(""[GANADA]"", W28)), VALUE(REGEXEXTRACT(TO_TEXT(Y28), ""[0-9.,]+"")) * (IF(ISNUMBER(SEARCH(""LOCAL"", W28)), VALUE(REGEXEXTRACT(TO_TEXT(F28), ""[0-9.,]+"&amp;""")), IF(ISNUMBER(SEARCH(""EMPATE"", W28)), VALUE(REGEXEXTRACT(TO_TEXT(G28), ""[0-9.,]+"")), VALUE(REGEXEXTRACT(TO_TEXT(H28), ""[0-9.,]+"")))) - 1), IF(ISNUMBER(SEARCH(""[PERDIDA]"", W28)), -VALUE(REGEXEXTRACT(TO_TEXT(Y28), ""[0-9.,]+"")), 0)), 0), 0) + I"&amp;"FERROR(IF(VALUE(REGEXEXTRACT(TO_TEXT(Z28), ""[0-9.,]+"")) &gt; 0, IF(ISNUMBER(SEARCH(""[GANADA]"", X28)), VALUE(REGEXEXTRACT(TO_TEXT(Z28), ""[0-9.,]+"")) * (IF(ISNUMBER(SEARCH(""OVER"", X28)), VALUE(REGEXEXTRACT(TO_TEXT(I28), ""[0-9.,]+"")), VALUE(REGEXEXTRA"&amp;"CT(TO_TEXT(J28), ""[0-9.,]+""))) - 1), IF(ISNUMBER(SEARCH(""[PERDIDA]"", X28)), -VALUE(REGEXEXTRACT(TO_TEXT(Z28), ""[0-9.,]+"")), 0)), 0), 0))"),2375)</f>
        <v>2375</v>
      </c>
      <c r="W28" s="1" t="str">
        <f t="shared" si="8"/>
        <v>[GANADA] LOCAL</v>
      </c>
      <c r="X28" s="1" t="s">
        <v>63</v>
      </c>
      <c r="Y28" s="11">
        <v>1250</v>
      </c>
      <c r="Z28" s="11">
        <v>0</v>
      </c>
      <c r="AA28" s="4" t="e">
        <f t="shared" ca="1" si="6"/>
        <v>#NAME?</v>
      </c>
      <c r="AB28" s="5" t="e">
        <f t="shared" ca="1" si="1"/>
        <v>#NAME?</v>
      </c>
      <c r="AC28" s="6" t="e">
        <f t="shared" ca="1" si="2"/>
        <v>#NAME?</v>
      </c>
      <c r="AD28" s="6"/>
      <c r="AE28" s="6"/>
      <c r="AF28" s="6" t="b">
        <v>0</v>
      </c>
      <c r="AG28" s="5"/>
      <c r="AH28" s="1"/>
      <c r="AI28" s="1"/>
      <c r="AJ28" s="1"/>
      <c r="AK28" s="1"/>
      <c r="AL28" s="1"/>
      <c r="AM28" s="1"/>
      <c r="AN28" s="5" t="e">
        <f t="shared" ca="1" si="3"/>
        <v>#NAME?</v>
      </c>
      <c r="AO28" s="1" t="e">
        <f t="shared" ca="1" si="4"/>
        <v>#NAME?</v>
      </c>
      <c r="AP28" s="1"/>
      <c r="AQ28" s="1" t="e">
        <f t="shared" ca="1" si="5"/>
        <v>#NAME?</v>
      </c>
      <c r="AR28" s="1"/>
      <c r="AS28" s="1"/>
      <c r="AT28" s="1"/>
      <c r="AU28" s="1"/>
      <c r="AV28" s="1"/>
      <c r="AW28" s="1"/>
      <c r="AX28" s="5"/>
      <c r="AY28" s="5"/>
      <c r="AZ28" s="1"/>
      <c r="BA28" s="1"/>
      <c r="BB28" s="1" t="s">
        <v>69</v>
      </c>
    </row>
    <row r="29" spans="1:54" x14ac:dyDescent="0.2">
      <c r="A29" s="16">
        <v>46102</v>
      </c>
      <c r="B29" s="8" t="s">
        <v>164</v>
      </c>
      <c r="C29" s="8" t="s">
        <v>165</v>
      </c>
      <c r="D29" s="8" t="s">
        <v>166</v>
      </c>
      <c r="E29" s="8" t="s">
        <v>167</v>
      </c>
      <c r="F29" s="8">
        <v>3.6</v>
      </c>
      <c r="G29" s="8">
        <v>3.75</v>
      </c>
      <c r="H29" s="8">
        <v>2.2000000000000002</v>
      </c>
      <c r="I29" s="8">
        <v>1.9</v>
      </c>
      <c r="J29" s="8">
        <v>2.11</v>
      </c>
      <c r="K29" s="8" t="s">
        <v>62</v>
      </c>
      <c r="L29" s="17">
        <v>0.37459999999999999</v>
      </c>
      <c r="M29" s="17">
        <v>0.25090000000000001</v>
      </c>
      <c r="N29" s="17">
        <v>0.37459999999999999</v>
      </c>
      <c r="O29" s="17">
        <v>0.53969999999999996</v>
      </c>
      <c r="P29" s="17">
        <v>0.46029999999999999</v>
      </c>
      <c r="Q29" s="8">
        <v>3</v>
      </c>
      <c r="R29" s="8">
        <v>0</v>
      </c>
      <c r="S29" s="18"/>
      <c r="T29" s="18"/>
      <c r="U29" s="9" t="str">
        <f t="shared" si="0"/>
        <v>[PASAR] Margen Insuficiente (&lt;5%)</v>
      </c>
      <c r="V29" s="10">
        <f ca="1">IFERROR(__xludf.DUMMYFUNCTION("IF(B29="""", """", IFERROR(IF(VALUE(REGEXEXTRACT(TO_TEXT(Y29), ""[0-9.,]+"")) &gt; 0, IF(ISNUMBER(SEARCH(""[GANADA]"", W29)), VALUE(REGEXEXTRACT(TO_TEXT(Y29), ""[0-9.,]+"")) * (IF(ISNUMBER(SEARCH(""LOCAL"", W29)), VALUE(REGEXEXTRACT(TO_TEXT(F29), ""[0-9.,]+"&amp;""")), IF(ISNUMBER(SEARCH(""EMPATE"", W29)), VALUE(REGEXEXTRACT(TO_TEXT(G29), ""[0-9.,]+"")), VALUE(REGEXEXTRACT(TO_TEXT(H29), ""[0-9.,]+"")))) - 1), IF(ISNUMBER(SEARCH(""[PERDIDA]"", W29)), -VALUE(REGEXEXTRACT(TO_TEXT(Y29), ""[0-9.,]+"")), 0)), 0), 0) + I"&amp;"FERROR(IF(VALUE(REGEXEXTRACT(TO_TEXT(Z29), ""[0-9.,]+"")) &gt; 0, IF(ISNUMBER(SEARCH(""[GANADA]"", X29)), VALUE(REGEXEXTRACT(TO_TEXT(Z29), ""[0-9.,]+"")) * (IF(ISNUMBER(SEARCH(""OVER"", X29)), VALUE(REGEXEXTRACT(TO_TEXT(I29), ""[0-9.,]+"")), VALUE(REGEXEXTRA"&amp;"CT(TO_TEXT(J29), ""[0-9.,]+""))) - 1), IF(ISNUMBER(SEARCH(""[PERDIDA]"", X29)), -VALUE(REGEXEXTRACT(TO_TEXT(Z29), ""[0-9.,]+"")), 0)), 0), 0))"),0)</f>
        <v>0</v>
      </c>
      <c r="W29" s="1" t="s">
        <v>82</v>
      </c>
      <c r="X29" s="22" t="s">
        <v>63</v>
      </c>
      <c r="Y29" s="11">
        <v>0</v>
      </c>
      <c r="Z29" s="11">
        <v>0</v>
      </c>
      <c r="AA29" s="4" t="e">
        <f t="shared" ca="1" si="6"/>
        <v>#NAME?</v>
      </c>
      <c r="AB29" s="5" t="e">
        <f t="shared" ca="1" si="1"/>
        <v>#NAME?</v>
      </c>
      <c r="AC29" s="6" t="e">
        <f t="shared" ca="1" si="2"/>
        <v>#NAME?</v>
      </c>
      <c r="AD29" s="6"/>
      <c r="AE29" s="6"/>
      <c r="AF29" s="6" t="b">
        <v>0</v>
      </c>
      <c r="AG29" s="5"/>
      <c r="AH29" s="1"/>
      <c r="AI29" s="1"/>
      <c r="AJ29" s="1"/>
      <c r="AK29" s="1"/>
      <c r="AL29" s="1"/>
      <c r="AM29" s="1"/>
      <c r="AN29" s="5" t="e">
        <f t="shared" ca="1" si="3"/>
        <v>#NAME?</v>
      </c>
      <c r="AO29" s="1" t="e">
        <f t="shared" ca="1" si="4"/>
        <v>#NAME?</v>
      </c>
      <c r="AP29" s="1"/>
      <c r="AQ29" s="1" t="e">
        <f t="shared" ca="1" si="5"/>
        <v>#NAME?</v>
      </c>
      <c r="AR29" s="1"/>
      <c r="AS29" s="1"/>
      <c r="AT29" s="1"/>
      <c r="AU29" s="1"/>
      <c r="AV29" s="1"/>
      <c r="AW29" s="1"/>
      <c r="AX29" s="1"/>
      <c r="AY29" s="5"/>
      <c r="AZ29" s="4"/>
      <c r="BA29" s="5"/>
      <c r="BB29" s="1" t="s">
        <v>69</v>
      </c>
    </row>
    <row r="30" spans="1:54" x14ac:dyDescent="0.2">
      <c r="A30" s="7">
        <v>46102</v>
      </c>
      <c r="B30" s="1" t="s">
        <v>168</v>
      </c>
      <c r="C30" s="1" t="s">
        <v>169</v>
      </c>
      <c r="D30" s="1" t="s">
        <v>144</v>
      </c>
      <c r="E30" s="1" t="s">
        <v>170</v>
      </c>
      <c r="F30" s="1">
        <v>1.78</v>
      </c>
      <c r="G30" s="1">
        <v>3.7</v>
      </c>
      <c r="H30" s="1">
        <v>5.2</v>
      </c>
      <c r="I30" s="1">
        <v>2.08</v>
      </c>
      <c r="J30" s="1">
        <v>1.81</v>
      </c>
      <c r="K30" s="1" t="s">
        <v>68</v>
      </c>
      <c r="L30" s="5">
        <v>0.57950000000000002</v>
      </c>
      <c r="M30" s="5">
        <v>0.2447</v>
      </c>
      <c r="N30" s="5">
        <v>0.17580000000000001</v>
      </c>
      <c r="O30" s="5">
        <v>0.43430000000000002</v>
      </c>
      <c r="P30" s="5">
        <v>0.56569999999999998</v>
      </c>
      <c r="Q30" s="15">
        <v>1</v>
      </c>
      <c r="R30" s="15">
        <v>0</v>
      </c>
      <c r="S30" s="3"/>
      <c r="T30" s="3"/>
      <c r="U30" s="9" t="str">
        <f t="shared" si="0"/>
        <v>[ACIERTO]</v>
      </c>
      <c r="V30" s="10">
        <f ca="1">IFERROR(__xludf.DUMMYFUNCTION("IF(B30="""", """", IFERROR(IF(VALUE(REGEXEXTRACT(TO_TEXT(Y30), ""[0-9.,]+"")) &gt; 0, IF(ISNUMBER(SEARCH(""[GANADA]"", W30)), VALUE(REGEXEXTRACT(TO_TEXT(Y30), ""[0-9.,]+"")) * (IF(ISNUMBER(SEARCH(""LOCAL"", W30)), VALUE(REGEXEXTRACT(TO_TEXT(F30), ""[0-9.,]+"&amp;""")), IF(ISNUMBER(SEARCH(""EMPATE"", W30)), VALUE(REGEXEXTRACT(TO_TEXT(G30), ""[0-9.,]+"")), VALUE(REGEXEXTRACT(TO_TEXT(H30), ""[0-9.,]+"")))) - 1), IF(ISNUMBER(SEARCH(""[PERDIDA]"", W30)), -VALUE(REGEXEXTRACT(TO_TEXT(Y30), ""[0-9.,]+"")), 0)), 0), 0) + I"&amp;"FERROR(IF(VALUE(REGEXEXTRACT(TO_TEXT(Z30), ""[0-9.,]+"")) &gt; 0, IF(ISNUMBER(SEARCH(""[GANADA]"", X30)), VALUE(REGEXEXTRACT(TO_TEXT(Z30), ""[0-9.,]+"")) * (IF(ISNUMBER(SEARCH(""OVER"", X30)), VALUE(REGEXEXTRACT(TO_TEXT(I30), ""[0-9.,]+"")), VALUE(REGEXEXTRA"&amp;"CT(TO_TEXT(J30), ""[0-9.,]+""))) - 1), IF(ISNUMBER(SEARCH(""[PERDIDA]"", X30)), -VALUE(REGEXEXTRACT(TO_TEXT(Z30), ""[0-9.,]+"")), 0)), 0), 0))"),1378.8606)</f>
        <v>1378.8606</v>
      </c>
      <c r="W30" s="1" t="str">
        <f>IF(OR(Q30="", R30=""), "[APOSTAR] LOCAL", IF(Q30&gt;R30, "[GANADA] LOCAL", "[PERDIDA] LOCAL"))</f>
        <v>[GANADA] LOCAL</v>
      </c>
      <c r="X30" s="1" t="s">
        <v>63</v>
      </c>
      <c r="Y30" s="11">
        <v>1767.77</v>
      </c>
      <c r="Z30" s="11">
        <v>0</v>
      </c>
      <c r="AA30" s="4" t="e">
        <f t="shared" ca="1" si="6"/>
        <v>#NAME?</v>
      </c>
      <c r="AB30" s="5" t="e">
        <f t="shared" ca="1" si="1"/>
        <v>#NAME?</v>
      </c>
      <c r="AC30" s="6" t="e">
        <f t="shared" ca="1" si="2"/>
        <v>#NAME?</v>
      </c>
      <c r="AD30" s="6"/>
      <c r="AE30" s="6"/>
      <c r="AF30" s="6" t="b">
        <v>0</v>
      </c>
      <c r="AG30" s="5"/>
      <c r="AH30" s="1"/>
      <c r="AI30" s="1"/>
      <c r="AJ30" s="1"/>
      <c r="AK30" s="1"/>
      <c r="AL30" s="1"/>
      <c r="AM30" s="1"/>
      <c r="AN30" s="5" t="e">
        <f t="shared" ca="1" si="3"/>
        <v>#NAME?</v>
      </c>
      <c r="AO30" s="1" t="e">
        <f t="shared" ca="1" si="4"/>
        <v>#NAME?</v>
      </c>
      <c r="AP30" s="1"/>
      <c r="AQ30" s="1" t="e">
        <f t="shared" ca="1" si="5"/>
        <v>#NAME?</v>
      </c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</row>
    <row r="31" spans="1:54" x14ac:dyDescent="0.2">
      <c r="A31" s="7">
        <v>46102</v>
      </c>
      <c r="B31" s="1" t="s">
        <v>171</v>
      </c>
      <c r="C31" s="1" t="s">
        <v>172</v>
      </c>
      <c r="D31" s="1" t="s">
        <v>173</v>
      </c>
      <c r="E31" s="1" t="s">
        <v>174</v>
      </c>
      <c r="F31" s="1">
        <v>1.6</v>
      </c>
      <c r="G31" s="1">
        <v>4.3</v>
      </c>
      <c r="H31" s="1">
        <v>6.8</v>
      </c>
      <c r="I31" s="1">
        <v>1.86</v>
      </c>
      <c r="J31" s="1">
        <v>2.14</v>
      </c>
      <c r="K31" s="1" t="s">
        <v>62</v>
      </c>
      <c r="L31" s="5">
        <v>0.47970000000000002</v>
      </c>
      <c r="M31" s="5">
        <v>0.25069999999999998</v>
      </c>
      <c r="N31" s="5">
        <v>0.26950000000000002</v>
      </c>
      <c r="O31" s="5">
        <v>0.50449999999999995</v>
      </c>
      <c r="P31" s="5">
        <v>0.4955</v>
      </c>
      <c r="Q31" s="15">
        <v>3</v>
      </c>
      <c r="R31" s="15">
        <v>1</v>
      </c>
      <c r="S31" s="3"/>
      <c r="T31" s="3"/>
      <c r="U31" s="9" t="str">
        <f t="shared" si="0"/>
        <v>[ACIERTO]</v>
      </c>
      <c r="V31" s="10">
        <f ca="1">IFERROR(__xludf.DUMMYFUNCTION("IF(B31="""", """", IFERROR(IF(VALUE(REGEXEXTRACT(TO_TEXT(Y31), ""[0-9.,]+"")) &gt; 0, IF(ISNUMBER(SEARCH(""[GANADA]"", W31)), VALUE(REGEXEXTRACT(TO_TEXT(Y31), ""[0-9.,]+"")) * (IF(ISNUMBER(SEARCH(""LOCAL"", W31)), VALUE(REGEXEXTRACT(TO_TEXT(F31), ""[0-9.,]+"&amp;""")), IF(ISNUMBER(SEARCH(""EMPATE"", W31)), VALUE(REGEXEXTRACT(TO_TEXT(G31), ""[0-9.,]+"")), VALUE(REGEXEXTRACT(TO_TEXT(H31), ""[0-9.,]+"")))) - 1), IF(ISNUMBER(SEARCH(""[PERDIDA]"", W31)), -VALUE(REGEXEXTRACT(TO_TEXT(Y31), ""[0-9.,]+"")), 0)), 0), 0) + I"&amp;"FERROR(IF(VALUE(REGEXEXTRACT(TO_TEXT(Z31), ""[0-9.,]+"")) &gt; 0, IF(ISNUMBER(SEARCH(""[GANADA]"", X31)), VALUE(REGEXEXTRACT(TO_TEXT(Z31), ""[0-9.,]+"")) * (IF(ISNUMBER(SEARCH(""OVER"", X31)), VALUE(REGEXEXTRACT(TO_TEXT(I31), ""[0-9.,]+"")), VALUE(REGEXEXTRA"&amp;"CT(TO_TEXT(J31), ""[0-9.,]+""))) - 1), IF(ISNUMBER(SEARCH(""[PERDIDA]"", X31)), -VALUE(REGEXEXTRACT(TO_TEXT(Z31), ""[0-9.,]+"")), 0)), 0), 0))"),-1676)</f>
        <v>-1676</v>
      </c>
      <c r="W31" s="1" t="str">
        <f>IF(OR(Q31="", R31=""), "[APOSTAR] EMPATE", IF(Q31=R31, "[GANADA] EMPATE", "[PERDIDA] EMPATE"))</f>
        <v>[PERDIDA] EMPATE</v>
      </c>
      <c r="X31" s="1" t="s">
        <v>63</v>
      </c>
      <c r="Y31" s="11">
        <v>1676</v>
      </c>
      <c r="Z31" s="11">
        <v>0</v>
      </c>
      <c r="AA31" s="4" t="e">
        <f t="shared" ca="1" si="6"/>
        <v>#NAME?</v>
      </c>
      <c r="AB31" s="5" t="e">
        <f t="shared" ca="1" si="1"/>
        <v>#NAME?</v>
      </c>
      <c r="AC31" s="6" t="e">
        <f t="shared" ca="1" si="2"/>
        <v>#NAME?</v>
      </c>
      <c r="AD31" s="6"/>
      <c r="AE31" s="6"/>
      <c r="AF31" s="6" t="b">
        <v>0</v>
      </c>
      <c r="AG31" s="5"/>
      <c r="AH31" s="1"/>
      <c r="AI31" s="1"/>
      <c r="AJ31" s="1"/>
      <c r="AK31" s="1"/>
      <c r="AL31" s="1"/>
      <c r="AM31" s="1"/>
      <c r="AN31" s="5" t="e">
        <f t="shared" ca="1" si="3"/>
        <v>#NAME?</v>
      </c>
      <c r="AO31" s="1" t="e">
        <f t="shared" ca="1" si="4"/>
        <v>#NAME?</v>
      </c>
      <c r="AP31" s="1"/>
      <c r="AQ31" s="1" t="e">
        <f t="shared" ca="1" si="5"/>
        <v>#NAME?</v>
      </c>
      <c r="AR31" s="1"/>
      <c r="AS31" s="1"/>
      <c r="AT31" s="1"/>
      <c r="AU31" s="1"/>
      <c r="AV31" s="1"/>
      <c r="AW31" s="1"/>
      <c r="AX31" s="5"/>
      <c r="AY31" s="5"/>
      <c r="AZ31" s="1"/>
      <c r="BA31" s="1"/>
      <c r="BB31" s="1" t="s">
        <v>69</v>
      </c>
    </row>
    <row r="32" spans="1:54" x14ac:dyDescent="0.2">
      <c r="A32" s="7">
        <v>46102</v>
      </c>
      <c r="B32" s="1" t="s">
        <v>175</v>
      </c>
      <c r="C32" s="1" t="s">
        <v>176</v>
      </c>
      <c r="D32" s="1" t="s">
        <v>177</v>
      </c>
      <c r="E32" s="1" t="s">
        <v>178</v>
      </c>
      <c r="F32" s="1">
        <v>2.2799999999999998</v>
      </c>
      <c r="G32" s="1">
        <v>3.6</v>
      </c>
      <c r="H32" s="1">
        <v>3.45</v>
      </c>
      <c r="I32" s="1">
        <v>1.83</v>
      </c>
      <c r="J32" s="1">
        <v>2.0699999999999998</v>
      </c>
      <c r="K32" s="1" t="s">
        <v>179</v>
      </c>
      <c r="L32" s="5">
        <v>0.37630000000000002</v>
      </c>
      <c r="M32" s="5">
        <v>0.25659999999999999</v>
      </c>
      <c r="N32" s="5">
        <v>0.36709999999999998</v>
      </c>
      <c r="O32" s="5">
        <v>0.51359999999999995</v>
      </c>
      <c r="P32" s="5">
        <v>0.4864</v>
      </c>
      <c r="Q32" s="20">
        <v>1</v>
      </c>
      <c r="R32" s="20">
        <v>1</v>
      </c>
      <c r="S32" s="3"/>
      <c r="T32" s="3"/>
      <c r="U32" s="9" t="str">
        <f t="shared" si="0"/>
        <v>[PASAR] Margen Insuficiente (&lt;5%)</v>
      </c>
      <c r="V32" s="10">
        <f ca="1">IFERROR(__xludf.DUMMYFUNCTION("IF(B32="""", """", IFERROR(IF(VALUE(REGEXEXTRACT(TO_TEXT(Y32), ""[0-9.,]+"")) &gt; 0, IF(ISNUMBER(SEARCH(""[GANADA]"", W32)), VALUE(REGEXEXTRACT(TO_TEXT(Y32), ""[0-9.,]+"")) * (IF(ISNUMBER(SEARCH(""LOCAL"", W32)), VALUE(REGEXEXTRACT(TO_TEXT(F32), ""[0-9.,]+"&amp;""")), IF(ISNUMBER(SEARCH(""EMPATE"", W32)), VALUE(REGEXEXTRACT(TO_TEXT(G32), ""[0-9.,]+"")), VALUE(REGEXEXTRACT(TO_TEXT(H32), ""[0-9.,]+"")))) - 1), IF(ISNUMBER(SEARCH(""[PERDIDA]"", W32)), -VALUE(REGEXEXTRACT(TO_TEXT(Y32), ""[0-9.,]+"")), 0)), 0), 0) + I"&amp;"FERROR(IF(VALUE(REGEXEXTRACT(TO_TEXT(Z32), ""[0-9.,]+"")) &gt; 0, IF(ISNUMBER(SEARCH(""[GANADA]"", X32)), VALUE(REGEXEXTRACT(TO_TEXT(Z32), ""[0-9.,]+"")) * (IF(ISNUMBER(SEARCH(""OVER"", X32)), VALUE(REGEXEXTRACT(TO_TEXT(I32), ""[0-9.,]+"")), VALUE(REGEXEXTRA"&amp;"CT(TO_TEXT(J32), ""[0-9.,]+""))) - 1), IF(ISNUMBER(SEARCH(""[PERDIDA]"", X32)), -VALUE(REGEXEXTRACT(TO_TEXT(Z32), ""[0-9.,]+"")), 0)), 0), 0))"),0)</f>
        <v>0</v>
      </c>
      <c r="W32" s="1" t="s">
        <v>82</v>
      </c>
      <c r="X32" s="1" t="s">
        <v>63</v>
      </c>
      <c r="Y32" s="11">
        <v>0</v>
      </c>
      <c r="Z32" s="11">
        <v>0</v>
      </c>
      <c r="AA32" s="4" t="e">
        <f t="shared" ca="1" si="6"/>
        <v>#NAME?</v>
      </c>
      <c r="AB32" s="5" t="e">
        <f t="shared" ca="1" si="1"/>
        <v>#NAME?</v>
      </c>
      <c r="AC32" s="6" t="e">
        <f t="shared" ca="1" si="2"/>
        <v>#NAME?</v>
      </c>
      <c r="AD32" s="6"/>
      <c r="AE32" s="6"/>
      <c r="AF32" s="6" t="b">
        <v>0</v>
      </c>
      <c r="AG32" s="5"/>
      <c r="AH32" s="1"/>
      <c r="AI32" s="1"/>
      <c r="AJ32" s="1"/>
      <c r="AK32" s="1"/>
      <c r="AL32" s="1"/>
      <c r="AM32" s="1"/>
      <c r="AN32" s="5" t="e">
        <f t="shared" ca="1" si="3"/>
        <v>#NAME?</v>
      </c>
      <c r="AO32" s="1" t="e">
        <f t="shared" ca="1" si="4"/>
        <v>#NAME?</v>
      </c>
      <c r="AP32" s="1"/>
      <c r="AQ32" s="1" t="e">
        <f t="shared" ca="1" si="5"/>
        <v>#NAME?</v>
      </c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</row>
    <row r="33" spans="1:54" x14ac:dyDescent="0.2">
      <c r="A33" s="7">
        <v>46102</v>
      </c>
      <c r="B33" s="1" t="s">
        <v>180</v>
      </c>
      <c r="C33" s="1" t="s">
        <v>181</v>
      </c>
      <c r="D33" s="1" t="s">
        <v>73</v>
      </c>
      <c r="E33" s="1" t="s">
        <v>182</v>
      </c>
      <c r="F33" s="1">
        <v>2.04</v>
      </c>
      <c r="G33" s="1">
        <v>3.2</v>
      </c>
      <c r="H33" s="1">
        <v>4.38</v>
      </c>
      <c r="I33" s="1">
        <v>2.58</v>
      </c>
      <c r="J33" s="1">
        <v>1.56</v>
      </c>
      <c r="K33" s="1" t="s">
        <v>51</v>
      </c>
      <c r="L33" s="5">
        <v>0.4294</v>
      </c>
      <c r="M33" s="5">
        <v>0.26860000000000001</v>
      </c>
      <c r="N33" s="5">
        <v>0.30209999999999998</v>
      </c>
      <c r="O33" s="5">
        <v>0.45019999999999999</v>
      </c>
      <c r="P33" s="5">
        <v>0.54979999999999996</v>
      </c>
      <c r="Q33" s="1">
        <v>1</v>
      </c>
      <c r="R33" s="1">
        <v>2</v>
      </c>
      <c r="S33" s="3"/>
      <c r="T33" s="3"/>
      <c r="U33" s="9" t="str">
        <f t="shared" si="0"/>
        <v>[FALLO]</v>
      </c>
      <c r="V33" s="10">
        <f ca="1">IFERROR(__xludf.DUMMYFUNCTION("IF(B33="""", """", IFERROR(IF(VALUE(REGEXEXTRACT(TO_TEXT(Y33), ""[0-9.,]+"")) &gt; 0, IF(ISNUMBER(SEARCH(""[GANADA]"", W33)), VALUE(REGEXEXTRACT(TO_TEXT(Y33), ""[0-9.,]+"")) * (IF(ISNUMBER(SEARCH(""LOCAL"", W33)), VALUE(REGEXEXTRACT(TO_TEXT(F33), ""[0-9.,]+"&amp;""")), IF(ISNUMBER(SEARCH(""EMPATE"", W33)), VALUE(REGEXEXTRACT(TO_TEXT(G33), ""[0-9.,]+"")), VALUE(REGEXEXTRACT(TO_TEXT(H33), ""[0-9.,]+"")))) - 1), IF(ISNUMBER(SEARCH(""[PERDIDA]"", W33)), -VALUE(REGEXEXTRACT(TO_TEXT(Y33), ""[0-9.,]+"")), 0)), 0), 0) + I"&amp;"FERROR(IF(VALUE(REGEXEXTRACT(TO_TEXT(Z33), ""[0-9.,]+"")) &gt; 0, IF(ISNUMBER(SEARCH(""[GANADA]"", X33)), VALUE(REGEXEXTRACT(TO_TEXT(Z33), ""[0-9.,]+"")) * (IF(ISNUMBER(SEARCH(""OVER"", X33)), VALUE(REGEXEXTRACT(TO_TEXT(I33), ""[0-9.,]+"")), VALUE(REGEXEXTRA"&amp;"CT(TO_TEXT(J33), ""[0-9.,]+""))) - 1), IF(ISNUMBER(SEARCH(""[PERDIDA]"", X33)), -VALUE(REGEXEXTRACT(TO_TEXT(Z33), ""[0-9.,]+"")), 0)), 0), 0))"),4225)</f>
        <v>4225</v>
      </c>
      <c r="W33" s="1" t="str">
        <f>IF(OR(Q33="", R33=""), "[APOSTAR] VISITA", IF(Q33&lt;R33, "[GANADA] VISITA", "[PERDIDA] VISITA"))</f>
        <v>[GANADA] VISITA</v>
      </c>
      <c r="X33" s="1" t="s">
        <v>63</v>
      </c>
      <c r="Y33" s="11">
        <v>1250</v>
      </c>
      <c r="Z33" s="11">
        <v>0</v>
      </c>
      <c r="AA33" s="4" t="e">
        <f t="shared" ca="1" si="6"/>
        <v>#NAME?</v>
      </c>
      <c r="AB33" s="5" t="e">
        <f t="shared" ca="1" si="1"/>
        <v>#NAME?</v>
      </c>
      <c r="AC33" s="6" t="e">
        <f t="shared" ca="1" si="2"/>
        <v>#NAME?</v>
      </c>
      <c r="AD33" s="6"/>
      <c r="AE33" s="6"/>
      <c r="AF33" s="6" t="b">
        <v>0</v>
      </c>
      <c r="AG33" s="5"/>
      <c r="AH33" s="1"/>
      <c r="AI33" s="1"/>
      <c r="AJ33" s="1"/>
      <c r="AK33" s="1"/>
      <c r="AL33" s="1"/>
      <c r="AM33" s="1"/>
      <c r="AN33" s="5" t="e">
        <f t="shared" ca="1" si="3"/>
        <v>#NAME?</v>
      </c>
      <c r="AO33" s="1" t="e">
        <f t="shared" ca="1" si="4"/>
        <v>#NAME?</v>
      </c>
      <c r="AP33" s="1"/>
      <c r="AQ33" s="1" t="e">
        <f t="shared" ca="1" si="5"/>
        <v>#NAME?</v>
      </c>
      <c r="AR33" s="1"/>
      <c r="AS33" s="1"/>
      <c r="AT33" s="1"/>
      <c r="AU33" s="1"/>
      <c r="AV33" s="1"/>
      <c r="AW33" s="1"/>
      <c r="AX33" s="5"/>
      <c r="AY33" s="5"/>
      <c r="AZ33" s="1"/>
      <c r="BA33" s="1"/>
      <c r="BB33" s="5"/>
    </row>
    <row r="34" spans="1:54" x14ac:dyDescent="0.2">
      <c r="A34" s="7">
        <v>46102</v>
      </c>
      <c r="B34" s="1" t="s">
        <v>183</v>
      </c>
      <c r="C34" s="1" t="s">
        <v>184</v>
      </c>
      <c r="D34" s="1" t="s">
        <v>185</v>
      </c>
      <c r="E34" s="1" t="s">
        <v>60</v>
      </c>
      <c r="F34" s="1">
        <v>2.58</v>
      </c>
      <c r="G34" s="1">
        <v>3.56</v>
      </c>
      <c r="H34" s="1">
        <v>3.05</v>
      </c>
      <c r="I34" s="1">
        <v>1.93</v>
      </c>
      <c r="J34" s="1">
        <v>2.04</v>
      </c>
      <c r="K34" s="1" t="s">
        <v>62</v>
      </c>
      <c r="L34" s="5">
        <v>0.37380000000000002</v>
      </c>
      <c r="M34" s="5">
        <v>0.2702</v>
      </c>
      <c r="N34" s="5">
        <v>0.35599999999999998</v>
      </c>
      <c r="O34" s="5">
        <v>0.45550000000000002</v>
      </c>
      <c r="P34" s="5">
        <v>0.54449999999999998</v>
      </c>
      <c r="Q34" s="1">
        <v>0</v>
      </c>
      <c r="R34" s="1">
        <v>0</v>
      </c>
      <c r="S34" s="3"/>
      <c r="T34" s="3"/>
      <c r="U34" s="9" t="str">
        <f t="shared" si="0"/>
        <v>[PASAR] Margen Insuficiente (&lt;5%)</v>
      </c>
      <c r="V34" s="10">
        <f ca="1">IFERROR(__xludf.DUMMYFUNCTION("IF(B34="""", """", IFERROR(IF(VALUE(REGEXEXTRACT(TO_TEXT(Y34), ""[0-9.,]+"")) &gt; 0, IF(ISNUMBER(SEARCH(""[GANADA]"", W34)), VALUE(REGEXEXTRACT(TO_TEXT(Y34), ""[0-9.,]+"")) * (IF(ISNUMBER(SEARCH(""LOCAL"", W34)), VALUE(REGEXEXTRACT(TO_TEXT(F34), ""[0-9.,]+"&amp;""")), IF(ISNUMBER(SEARCH(""EMPATE"", W34)), VALUE(REGEXEXTRACT(TO_TEXT(G34), ""[0-9.,]+"")), VALUE(REGEXEXTRACT(TO_TEXT(H34), ""[0-9.,]+"")))) - 1), IF(ISNUMBER(SEARCH(""[PERDIDA]"", W34)), -VALUE(REGEXEXTRACT(TO_TEXT(Y34), ""[0-9.,]+"")), 0)), 0), 0) + I"&amp;"FERROR(IF(VALUE(REGEXEXTRACT(TO_TEXT(Z34), ""[0-9.,]+"")) &gt; 0, IF(ISNUMBER(SEARCH(""[GANADA]"", X34)), VALUE(REGEXEXTRACT(TO_TEXT(Z34), ""[0-9.,]+"")) * (IF(ISNUMBER(SEARCH(""OVER"", X34)), VALUE(REGEXEXTRACT(TO_TEXT(I34), ""[0-9.,]+"")), VALUE(REGEXEXTRA"&amp;"CT(TO_TEXT(J34), ""[0-9.,]+""))) - 1), IF(ISNUMBER(SEARCH(""[PERDIDA]"", X34)), -VALUE(REGEXEXTRACT(TO_TEXT(Z34), ""[0-9.,]+"")), 0)), 0), 0))"),0)</f>
        <v>0</v>
      </c>
      <c r="W34" s="1" t="s">
        <v>82</v>
      </c>
      <c r="X34" s="1" t="s">
        <v>63</v>
      </c>
      <c r="Y34" s="11">
        <v>0</v>
      </c>
      <c r="Z34" s="11">
        <v>0</v>
      </c>
      <c r="AA34" s="4" t="e">
        <f t="shared" ca="1" si="6"/>
        <v>#NAME?</v>
      </c>
      <c r="AB34" s="5" t="e">
        <f t="shared" ca="1" si="1"/>
        <v>#NAME?</v>
      </c>
      <c r="AC34" s="6" t="e">
        <f t="shared" ca="1" si="2"/>
        <v>#NAME?</v>
      </c>
      <c r="AD34" s="6"/>
      <c r="AE34" s="6"/>
      <c r="AF34" s="6" t="b">
        <v>0</v>
      </c>
      <c r="AG34" s="5"/>
      <c r="AH34" s="1"/>
      <c r="AI34" s="1"/>
      <c r="AJ34" s="1"/>
      <c r="AK34" s="1"/>
      <c r="AL34" s="1"/>
      <c r="AM34" s="1"/>
      <c r="AN34" s="5" t="e">
        <f t="shared" ca="1" si="3"/>
        <v>#NAME?</v>
      </c>
      <c r="AO34" s="1" t="e">
        <f t="shared" ca="1" si="4"/>
        <v>#NAME?</v>
      </c>
      <c r="AP34" s="1"/>
      <c r="AQ34" s="1" t="e">
        <f t="shared" ca="1" si="5"/>
        <v>#NAME?</v>
      </c>
      <c r="AR34" s="1"/>
      <c r="AS34" s="1"/>
      <c r="AT34" s="1"/>
      <c r="AU34" s="1"/>
      <c r="AV34" s="1"/>
      <c r="AW34" s="1"/>
      <c r="AX34" s="5"/>
      <c r="AY34" s="5"/>
      <c r="AZ34" s="1"/>
      <c r="BA34" s="1"/>
      <c r="BB34" s="5"/>
    </row>
    <row r="35" spans="1:54" x14ac:dyDescent="0.2">
      <c r="A35" s="23">
        <v>46102</v>
      </c>
      <c r="B35" s="13" t="s">
        <v>186</v>
      </c>
      <c r="C35" s="13" t="s">
        <v>187</v>
      </c>
      <c r="D35" s="13" t="s">
        <v>188</v>
      </c>
      <c r="E35" s="13" t="s">
        <v>189</v>
      </c>
      <c r="F35" s="13">
        <v>2.38</v>
      </c>
      <c r="G35" s="13">
        <v>2.98</v>
      </c>
      <c r="H35" s="13">
        <v>3.5</v>
      </c>
      <c r="I35" s="13">
        <v>2.92</v>
      </c>
      <c r="J35" s="13">
        <v>1.39</v>
      </c>
      <c r="K35" s="13" t="s">
        <v>51</v>
      </c>
      <c r="L35" s="24">
        <v>0.38469999999999999</v>
      </c>
      <c r="M35" s="24">
        <v>0.26779999999999998</v>
      </c>
      <c r="N35" s="24">
        <v>0.34749999999999998</v>
      </c>
      <c r="O35" s="24">
        <v>0.4642</v>
      </c>
      <c r="P35" s="24">
        <v>0.53580000000000005</v>
      </c>
      <c r="Q35" s="13">
        <v>1</v>
      </c>
      <c r="R35" s="13">
        <v>0</v>
      </c>
      <c r="S35" s="18"/>
      <c r="T35" s="18"/>
      <c r="U35" s="9" t="str">
        <f t="shared" si="0"/>
        <v>[PASAR] Margen Insuficiente (&lt;5%)</v>
      </c>
      <c r="V35" s="10">
        <f ca="1">IFERROR(__xludf.DUMMYFUNCTION("IF(B35="""", """", IFERROR(IF(VALUE(REGEXEXTRACT(TO_TEXT(Y35), ""[0-9.,]+"")) &gt; 0, IF(ISNUMBER(SEARCH(""[GANADA]"", W35)), VALUE(REGEXEXTRACT(TO_TEXT(Y35), ""[0-9.,]+"")) * (IF(ISNUMBER(SEARCH(""LOCAL"", W35)), VALUE(REGEXEXTRACT(TO_TEXT(F35), ""[0-9.,]+"&amp;""")), IF(ISNUMBER(SEARCH(""EMPATE"", W35)), VALUE(REGEXEXTRACT(TO_TEXT(G35), ""[0-9.,]+"")), VALUE(REGEXEXTRACT(TO_TEXT(H35), ""[0-9.,]+"")))) - 1), IF(ISNUMBER(SEARCH(""[PERDIDA]"", W35)), -VALUE(REGEXEXTRACT(TO_TEXT(Y35), ""[0-9.,]+"")), 0)), 0), 0) + I"&amp;"FERROR(IF(VALUE(REGEXEXTRACT(TO_TEXT(Z35), ""[0-9.,]+"")) &gt; 0, IF(ISNUMBER(SEARCH(""[GANADA]"", X35)), VALUE(REGEXEXTRACT(TO_TEXT(Z35), ""[0-9.,]+"")) * (IF(ISNUMBER(SEARCH(""OVER"", X35)), VALUE(REGEXEXTRACT(TO_TEXT(I35), ""[0-9.,]+"")), VALUE(REGEXEXTRA"&amp;"CT(TO_TEXT(J35), ""[0-9.,]+""))) - 1), IF(ISNUMBER(SEARCH(""[PERDIDA]"", X35)), -VALUE(REGEXEXTRACT(TO_TEXT(Z35), ""[0-9.,]+"")), 0)), 0), 0))"),0)</f>
        <v>0</v>
      </c>
      <c r="W35" s="1" t="s">
        <v>82</v>
      </c>
      <c r="X35" s="1" t="s">
        <v>63</v>
      </c>
      <c r="Y35" s="11">
        <v>0</v>
      </c>
      <c r="Z35" s="11">
        <v>0</v>
      </c>
      <c r="AA35" s="4" t="e">
        <f t="shared" ca="1" si="6"/>
        <v>#NAME?</v>
      </c>
      <c r="AB35" s="5" t="e">
        <f t="shared" ca="1" si="1"/>
        <v>#NAME?</v>
      </c>
      <c r="AC35" s="6" t="e">
        <f t="shared" ca="1" si="2"/>
        <v>#NAME?</v>
      </c>
      <c r="AD35" s="6"/>
      <c r="AE35" s="6"/>
      <c r="AF35" s="6" t="b">
        <v>0</v>
      </c>
      <c r="AG35" s="5"/>
      <c r="AH35" s="1"/>
      <c r="AI35" s="1"/>
      <c r="AJ35" s="1"/>
      <c r="AK35" s="1"/>
      <c r="AL35" s="1"/>
      <c r="AM35" s="1"/>
      <c r="AN35" s="5" t="e">
        <f t="shared" ca="1" si="3"/>
        <v>#NAME?</v>
      </c>
      <c r="AO35" s="1" t="e">
        <f t="shared" ca="1" si="4"/>
        <v>#NAME?</v>
      </c>
      <c r="AP35" s="1"/>
      <c r="AQ35" s="1" t="e">
        <f t="shared" ca="1" si="5"/>
        <v>#NAME?</v>
      </c>
      <c r="AR35" s="1"/>
      <c r="AS35" s="1"/>
      <c r="AT35" s="1"/>
      <c r="AU35" s="1"/>
      <c r="AV35" s="1"/>
      <c r="AW35" s="1"/>
      <c r="AX35" s="1"/>
      <c r="AY35" s="5"/>
      <c r="AZ35" s="4"/>
      <c r="BA35" s="5"/>
      <c r="BB35" s="1"/>
    </row>
    <row r="36" spans="1:54" x14ac:dyDescent="0.2">
      <c r="A36" s="7">
        <v>46102</v>
      </c>
      <c r="B36" s="1" t="s">
        <v>190</v>
      </c>
      <c r="C36" s="1" t="s">
        <v>191</v>
      </c>
      <c r="D36" s="1" t="s">
        <v>192</v>
      </c>
      <c r="E36" s="1" t="s">
        <v>136</v>
      </c>
      <c r="F36" s="1">
        <v>2.12</v>
      </c>
      <c r="G36" s="1">
        <v>3.5</v>
      </c>
      <c r="H36" s="1">
        <v>3.79</v>
      </c>
      <c r="I36" s="1">
        <v>2.08</v>
      </c>
      <c r="J36" s="1">
        <v>1.86</v>
      </c>
      <c r="K36" s="1" t="s">
        <v>68</v>
      </c>
      <c r="L36" s="5">
        <v>0.4526</v>
      </c>
      <c r="M36" s="5">
        <v>0.255</v>
      </c>
      <c r="N36" s="5">
        <v>0.29249999999999998</v>
      </c>
      <c r="O36" s="5">
        <v>0.50060000000000004</v>
      </c>
      <c r="P36" s="5">
        <v>0.49940000000000001</v>
      </c>
      <c r="Q36" s="1">
        <v>1</v>
      </c>
      <c r="R36" s="1">
        <v>2</v>
      </c>
      <c r="S36" s="3"/>
      <c r="T36" s="3"/>
      <c r="U36" s="9" t="str">
        <f t="shared" si="0"/>
        <v>[FALLO]</v>
      </c>
      <c r="V36" s="10">
        <f ca="1">IFERROR(__xludf.DUMMYFUNCTION("IF(B36="""", """", IFERROR(IF(VALUE(REGEXEXTRACT(TO_TEXT(Y36), ""[0-9.,]+"")) &gt; 0, IF(ISNUMBER(SEARCH(""[GANADA]"", W36)), VALUE(REGEXEXTRACT(TO_TEXT(Y36), ""[0-9.,]+"")) * (IF(ISNUMBER(SEARCH(""LOCAL"", W36)), VALUE(REGEXEXTRACT(TO_TEXT(F36), ""[0-9.,]+"&amp;""")), IF(ISNUMBER(SEARCH(""EMPATE"", W36)), VALUE(REGEXEXTRACT(TO_TEXT(G36), ""[0-9.,]+"")), VALUE(REGEXEXTRACT(TO_TEXT(H36), ""[0-9.,]+"")))) - 1), IF(ISNUMBER(SEARCH(""[PERDIDA]"", W36)), -VALUE(REGEXEXTRACT(TO_TEXT(Y36), ""[0-9.,]+"")), 0)), 0), 0) + I"&amp;"FERROR(IF(VALUE(REGEXEXTRACT(TO_TEXT(Z36), ""[0-9.,]+"")) &gt; 0, IF(ISNUMBER(SEARCH(""[GANADA]"", X36)), VALUE(REGEXEXTRACT(TO_TEXT(Z36), ""[0-9.,]+"")) * (IF(ISNUMBER(SEARCH(""OVER"", X36)), VALUE(REGEXEXTRACT(TO_TEXT(I36), ""[0-9.,]+"")), VALUE(REGEXEXTRA"&amp;"CT(TO_TEXT(J36), ""[0-9.,]+""))) - 1), IF(ISNUMBER(SEARCH(""[PERDIDA]"", X36)), -VALUE(REGEXEXTRACT(TO_TEXT(Z36), ""[0-9.,]+"")), 0)), 0), 0))"),4932.0783)</f>
        <v>4932.0783000000001</v>
      </c>
      <c r="W36" s="1" t="str">
        <f t="shared" ref="W36:W37" si="9">IF(OR(Q36="", R36=""), "[APOSTAR] VISITA", IF(Q36&lt;R36, "[GANADA] VISITA", "[PERDIDA] VISITA"))</f>
        <v>[GANADA] VISITA</v>
      </c>
      <c r="X36" s="1" t="s">
        <v>63</v>
      </c>
      <c r="Y36" s="4">
        <v>1767.77</v>
      </c>
      <c r="Z36" s="12">
        <v>0</v>
      </c>
      <c r="AA36" s="4" t="e">
        <f t="shared" ca="1" si="6"/>
        <v>#NAME?</v>
      </c>
      <c r="AB36" s="5" t="e">
        <f t="shared" ca="1" si="1"/>
        <v>#NAME?</v>
      </c>
      <c r="AC36" s="6" t="e">
        <f t="shared" ca="1" si="2"/>
        <v>#NAME?</v>
      </c>
      <c r="AD36" s="6"/>
      <c r="AE36" s="6"/>
      <c r="AF36" s="6" t="b">
        <v>0</v>
      </c>
      <c r="AG36" s="5"/>
      <c r="AH36" s="1"/>
      <c r="AI36" s="1"/>
      <c r="AJ36" s="1"/>
      <c r="AK36" s="1"/>
      <c r="AL36" s="1"/>
      <c r="AM36" s="1"/>
      <c r="AN36" s="5" t="e">
        <f t="shared" ca="1" si="3"/>
        <v>#NAME?</v>
      </c>
      <c r="AO36" s="1" t="e">
        <f t="shared" ca="1" si="4"/>
        <v>#NAME?</v>
      </c>
      <c r="AP36" s="1"/>
      <c r="AQ36" s="1" t="e">
        <f t="shared" ca="1" si="5"/>
        <v>#NAME?</v>
      </c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</row>
    <row r="37" spans="1:54" x14ac:dyDescent="0.2">
      <c r="A37" s="25">
        <v>46102</v>
      </c>
      <c r="B37" s="15" t="s">
        <v>193</v>
      </c>
      <c r="C37" s="15" t="s">
        <v>194</v>
      </c>
      <c r="D37" s="15" t="s">
        <v>195</v>
      </c>
      <c r="E37" s="15" t="s">
        <v>196</v>
      </c>
      <c r="F37" s="8">
        <v>2.2000000000000002</v>
      </c>
      <c r="G37" s="8">
        <v>3.1</v>
      </c>
      <c r="H37" s="8">
        <v>4</v>
      </c>
      <c r="I37" s="8">
        <v>2.75</v>
      </c>
      <c r="J37" s="8">
        <v>1.47</v>
      </c>
      <c r="K37" s="15" t="s">
        <v>51</v>
      </c>
      <c r="L37" s="26">
        <v>0.3916</v>
      </c>
      <c r="M37" s="26">
        <v>0.27529999999999999</v>
      </c>
      <c r="N37" s="26">
        <v>0.33310000000000001</v>
      </c>
      <c r="O37" s="26">
        <v>0.43290000000000001</v>
      </c>
      <c r="P37" s="26">
        <v>0.56710000000000005</v>
      </c>
      <c r="Q37" s="15">
        <v>0</v>
      </c>
      <c r="R37" s="15">
        <v>1</v>
      </c>
      <c r="S37" s="18"/>
      <c r="T37" s="18"/>
      <c r="U37" s="9" t="str">
        <f t="shared" si="0"/>
        <v>[FALLO]</v>
      </c>
      <c r="V37" s="10">
        <f ca="1">IFERROR(__xludf.DUMMYFUNCTION("IF(B37="""", """", IFERROR(IF(VALUE(REGEXEXTRACT(TO_TEXT(Y37), ""[0-9.,]+"")) &gt; 0, IF(ISNUMBER(SEARCH(""[GANADA]"", W37)), VALUE(REGEXEXTRACT(TO_TEXT(Y37), ""[0-9.,]+"")) * (IF(ISNUMBER(SEARCH(""LOCAL"", W37)), VALUE(REGEXEXTRACT(TO_TEXT(F37), ""[0-9.,]+"&amp;""")), IF(ISNUMBER(SEARCH(""EMPATE"", W37)), VALUE(REGEXEXTRACT(TO_TEXT(G37), ""[0-9.,]+"")), VALUE(REGEXEXTRACT(TO_TEXT(H37), ""[0-9.,]+"")))) - 1), IF(ISNUMBER(SEARCH(""[PERDIDA]"", W37)), -VALUE(REGEXEXTRACT(TO_TEXT(Y37), ""[0-9.,]+"")), 0)), 0), 0) + I"&amp;"FERROR(IF(VALUE(REGEXEXTRACT(TO_TEXT(Z37), ""[0-9.,]+"")) &gt; 0, IF(ISNUMBER(SEARCH(""[GANADA]"", X37)), VALUE(REGEXEXTRACT(TO_TEXT(Z37), ""[0-9.,]+"")) * (IF(ISNUMBER(SEARCH(""OVER"", X37)), VALUE(REGEXEXTRACT(TO_TEXT(I37), ""[0-9.,]+"")), VALUE(REGEXEXTRA"&amp;"CT(TO_TEXT(J37), ""[0-9.,]+""))) - 1), IF(ISNUMBER(SEARCH(""[PERDIDA]"", X37)), -VALUE(REGEXEXTRACT(TO_TEXT(Z37), ""[0-9.,]+"")), 0)), 0), 0))"),3750)</f>
        <v>3750</v>
      </c>
      <c r="W37" s="1" t="str">
        <f t="shared" si="9"/>
        <v>[GANADA] VISITA</v>
      </c>
      <c r="X37" s="1" t="s">
        <v>63</v>
      </c>
      <c r="Y37" s="11">
        <v>1250</v>
      </c>
      <c r="Z37" s="11">
        <v>0</v>
      </c>
      <c r="AA37" s="4" t="e">
        <f t="shared" ca="1" si="6"/>
        <v>#NAME?</v>
      </c>
      <c r="AB37" s="5" t="e">
        <f t="shared" ca="1" si="1"/>
        <v>#NAME?</v>
      </c>
      <c r="AC37" s="6" t="e">
        <f t="shared" ca="1" si="2"/>
        <v>#NAME?</v>
      </c>
      <c r="AD37" s="6"/>
      <c r="AE37" s="6"/>
      <c r="AF37" s="6" t="b">
        <v>0</v>
      </c>
      <c r="AG37" s="5"/>
      <c r="AH37" s="1"/>
      <c r="AI37" s="1"/>
      <c r="AJ37" s="1"/>
      <c r="AK37" s="1"/>
      <c r="AL37" s="1"/>
      <c r="AM37" s="1"/>
      <c r="AN37" s="5" t="e">
        <f t="shared" ca="1" si="3"/>
        <v>#NAME?</v>
      </c>
      <c r="AO37" s="1" t="e">
        <f t="shared" ca="1" si="4"/>
        <v>#NAME?</v>
      </c>
      <c r="AP37" s="1"/>
      <c r="AQ37" s="1" t="e">
        <f t="shared" ca="1" si="5"/>
        <v>#NAME?</v>
      </c>
      <c r="AR37" s="1"/>
      <c r="AS37" s="1"/>
      <c r="AT37" s="1"/>
      <c r="AU37" s="1"/>
      <c r="AV37" s="1"/>
      <c r="AW37" s="1"/>
      <c r="AX37" s="1"/>
      <c r="AY37" s="5"/>
      <c r="AZ37" s="4"/>
      <c r="BA37" s="5"/>
      <c r="BB37" s="1"/>
    </row>
    <row r="38" spans="1:54" x14ac:dyDescent="0.2">
      <c r="A38" s="7">
        <v>46102</v>
      </c>
      <c r="B38" s="1" t="s">
        <v>197</v>
      </c>
      <c r="C38" s="1" t="s">
        <v>198</v>
      </c>
      <c r="D38" s="1" t="s">
        <v>199</v>
      </c>
      <c r="E38" s="1" t="s">
        <v>200</v>
      </c>
      <c r="F38" s="1">
        <v>1.9</v>
      </c>
      <c r="G38" s="1">
        <v>4.0999999999999996</v>
      </c>
      <c r="H38" s="1">
        <v>4.24</v>
      </c>
      <c r="I38" s="1">
        <v>1.44</v>
      </c>
      <c r="J38" s="1">
        <v>2.5</v>
      </c>
      <c r="K38" s="1" t="s">
        <v>179</v>
      </c>
      <c r="L38" s="5">
        <v>0.55459999999999998</v>
      </c>
      <c r="M38" s="5">
        <v>0.221</v>
      </c>
      <c r="N38" s="5">
        <v>0.2243</v>
      </c>
      <c r="O38" s="5">
        <v>0.59340000000000004</v>
      </c>
      <c r="P38" s="5">
        <v>0.40660000000000002</v>
      </c>
      <c r="Q38" s="1">
        <v>4</v>
      </c>
      <c r="R38" s="1">
        <v>1</v>
      </c>
      <c r="S38" s="3"/>
      <c r="T38" s="3"/>
      <c r="U38" s="9" t="str">
        <f t="shared" si="0"/>
        <v>[ACIERTO]</v>
      </c>
      <c r="V38" s="10">
        <f ca="1">IFERROR(__xludf.DUMMYFUNCTION("IF(B38="""", """", IFERROR(IF(VALUE(REGEXEXTRACT(TO_TEXT(Y38), ""[0-9.,]+"")) &gt; 0, IF(ISNUMBER(SEARCH(""[GANADA]"", W38)), VALUE(REGEXEXTRACT(TO_TEXT(Y38), ""[0-9.,]+"")) * (IF(ISNUMBER(SEARCH(""LOCAL"", W38)), VALUE(REGEXEXTRACT(TO_TEXT(F38), ""[0-9.,]+"&amp;""")), IF(ISNUMBER(SEARCH(""EMPATE"", W38)), VALUE(REGEXEXTRACT(TO_TEXT(G38), ""[0-9.,]+"")), VALUE(REGEXEXTRACT(TO_TEXT(H38), ""[0-9.,]+"")))) - 1), IF(ISNUMBER(SEARCH(""[PERDIDA]"", W38)), -VALUE(REGEXEXTRACT(TO_TEXT(Y38), ""[0-9.,]+"")), 0)), 0), 0) + I"&amp;"FERROR(IF(VALUE(REGEXEXTRACT(TO_TEXT(Z38), ""[0-9.,]+"")) &gt; 0, IF(ISNUMBER(SEARCH(""[GANADA]"", X38)), VALUE(REGEXEXTRACT(TO_TEXT(Z38), ""[0-9.,]+"")) * (IF(ISNUMBER(SEARCH(""OVER"", X38)), VALUE(REGEXEXTRACT(TO_TEXT(I38), ""[0-9.,]+"")), VALUE(REGEXEXTRA"&amp;"CT(TO_TEXT(J38), ""[0-9.,]+""))) - 1), IF(ISNUMBER(SEARCH(""[PERDIDA]"", X38)), -VALUE(REGEXEXTRACT(TO_TEXT(Z38), ""[0-9.,]+"")), 0)), 0), 0))"),2250)</f>
        <v>2250</v>
      </c>
      <c r="W38" s="1" t="str">
        <f>IF(OR(Q38="", R38=""), "[APOSTAR] LOCAL", IF(Q38&gt;R38, "[GANADA] LOCAL", "[PERDIDA] LOCAL"))</f>
        <v>[GANADA] LOCAL</v>
      </c>
      <c r="X38" s="1" t="s">
        <v>57</v>
      </c>
      <c r="Y38" s="11">
        <v>2500</v>
      </c>
      <c r="Z38" s="12">
        <v>0</v>
      </c>
      <c r="AA38" s="4" t="e">
        <f t="shared" ca="1" si="6"/>
        <v>#NAME?</v>
      </c>
      <c r="AB38" s="5" t="e">
        <f t="shared" ca="1" si="1"/>
        <v>#NAME?</v>
      </c>
      <c r="AC38" s="6" t="e">
        <f t="shared" ca="1" si="2"/>
        <v>#NAME?</v>
      </c>
      <c r="AD38" s="6"/>
      <c r="AE38" s="6"/>
      <c r="AF38" s="6" t="b">
        <v>0</v>
      </c>
      <c r="AG38" s="5"/>
      <c r="AH38" s="1"/>
      <c r="AI38" s="1"/>
      <c r="AJ38" s="1"/>
      <c r="AK38" s="1"/>
      <c r="AL38" s="1"/>
      <c r="AM38" s="1"/>
      <c r="AN38" s="5" t="e">
        <f t="shared" ca="1" si="3"/>
        <v>#NAME?</v>
      </c>
      <c r="AO38" s="1" t="e">
        <f t="shared" ca="1" si="4"/>
        <v>#NAME?</v>
      </c>
      <c r="AP38" s="1"/>
      <c r="AQ38" s="1" t="e">
        <f t="shared" ca="1" si="5"/>
        <v>#NAME?</v>
      </c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</row>
    <row r="39" spans="1:54" x14ac:dyDescent="0.2">
      <c r="A39" s="7">
        <v>46103</v>
      </c>
      <c r="B39" s="1" t="s">
        <v>201</v>
      </c>
      <c r="C39" s="1" t="s">
        <v>202</v>
      </c>
      <c r="D39" s="1" t="s">
        <v>203</v>
      </c>
      <c r="E39" s="1" t="s">
        <v>204</v>
      </c>
      <c r="F39" s="1">
        <v>2.04</v>
      </c>
      <c r="G39" s="1">
        <v>3.77</v>
      </c>
      <c r="H39" s="1">
        <v>4.16</v>
      </c>
      <c r="I39" s="1">
        <v>1.89</v>
      </c>
      <c r="J39" s="1">
        <v>2.11</v>
      </c>
      <c r="K39" s="1" t="s">
        <v>62</v>
      </c>
      <c r="L39" s="5">
        <v>0.49759999999999999</v>
      </c>
      <c r="M39" s="5">
        <v>0.24279999999999999</v>
      </c>
      <c r="N39" s="5">
        <v>0.2596</v>
      </c>
      <c r="O39" s="5">
        <v>0.53069999999999995</v>
      </c>
      <c r="P39" s="5">
        <v>0.46929999999999999</v>
      </c>
      <c r="Q39" s="1">
        <v>2</v>
      </c>
      <c r="R39" s="1">
        <v>0</v>
      </c>
      <c r="S39" s="3"/>
      <c r="T39" s="3"/>
      <c r="U39" s="9" t="str">
        <f t="shared" si="0"/>
        <v>[ACIERTO]</v>
      </c>
      <c r="V39" s="10">
        <f ca="1">IFERROR(__xludf.DUMMYFUNCTION("IF(B39="""", """", IFERROR(IF(VALUE(REGEXEXTRACT(TO_TEXT(Y39), ""[0-9.,]+"")) &gt; 0, IF(ISNUMBER(SEARCH(""[GANADA]"", W39)), VALUE(REGEXEXTRACT(TO_TEXT(Y39), ""[0-9.,]+"")) * (IF(ISNUMBER(SEARCH(""LOCAL"", W39)), VALUE(REGEXEXTRACT(TO_TEXT(F39), ""[0-9.,]+"&amp;""")), IF(ISNUMBER(SEARCH(""EMPATE"", W39)), VALUE(REGEXEXTRACT(TO_TEXT(G39), ""[0-9.,]+"")), VALUE(REGEXEXTRACT(TO_TEXT(H39), ""[0-9.,]+"")))) - 1), IF(ISNUMBER(SEARCH(""[PERDIDA]"", W39)), -VALUE(REGEXEXTRACT(TO_TEXT(Y39), ""[0-9.,]+"")), 0)), 0), 0) + I"&amp;"FERROR(IF(VALUE(REGEXEXTRACT(TO_TEXT(Z39), ""[0-9.,]+"")) &gt; 0, IF(ISNUMBER(SEARCH(""[GANADA]"", X39)), VALUE(REGEXEXTRACT(TO_TEXT(Z39), ""[0-9.,]+"")) * (IF(ISNUMBER(SEARCH(""OVER"", X39)), VALUE(REGEXEXTRACT(TO_TEXT(I39), ""[0-9.,]+"")), VALUE(REGEXEXTRA"&amp;"CT(TO_TEXT(J39), ""[0-9.,]+""))) - 1), IF(ISNUMBER(SEARCH(""[PERDIDA]"", X39)), -VALUE(REGEXEXTRACT(TO_TEXT(Z39), ""[0-9.,]+"")), 0)), 0), 0))"),-1767.77)</f>
        <v>-1767.77</v>
      </c>
      <c r="W39" s="1" t="str">
        <f t="shared" ref="W39:W40" si="10">IF(OR(Q39="", R39=""), "[APOSTAR] VISITA", IF(Q39&lt;R39, "[GANADA] VISITA", "[PERDIDA] VISITA"))</f>
        <v>[PERDIDA] VISITA</v>
      </c>
      <c r="X39" s="1" t="s">
        <v>63</v>
      </c>
      <c r="Y39" s="4">
        <v>1767.77</v>
      </c>
      <c r="Z39" s="12">
        <v>0</v>
      </c>
      <c r="AA39" s="4" t="e">
        <f t="shared" ca="1" si="6"/>
        <v>#NAME?</v>
      </c>
      <c r="AB39" s="5" t="e">
        <f t="shared" ca="1" si="1"/>
        <v>#NAME?</v>
      </c>
      <c r="AC39" s="6" t="e">
        <f t="shared" ca="1" si="2"/>
        <v>#NAME?</v>
      </c>
      <c r="AD39" s="6"/>
      <c r="AE39" s="6"/>
      <c r="AF39" s="6" t="b">
        <v>0</v>
      </c>
      <c r="AG39" s="5"/>
      <c r="AH39" s="1"/>
      <c r="AI39" s="1"/>
      <c r="AJ39" s="1"/>
      <c r="AK39" s="1"/>
      <c r="AL39" s="1"/>
      <c r="AM39" s="1"/>
      <c r="AN39" s="5" t="e">
        <f t="shared" ca="1" si="3"/>
        <v>#NAME?</v>
      </c>
      <c r="AO39" s="1" t="e">
        <f t="shared" ca="1" si="4"/>
        <v>#NAME?</v>
      </c>
      <c r="AP39" s="1"/>
      <c r="AQ39" s="1" t="e">
        <f t="shared" ca="1" si="5"/>
        <v>#NAME?</v>
      </c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</row>
    <row r="40" spans="1:54" x14ac:dyDescent="0.2">
      <c r="A40" s="7">
        <v>46103</v>
      </c>
      <c r="B40" s="1" t="s">
        <v>205</v>
      </c>
      <c r="C40" s="1" t="s">
        <v>206</v>
      </c>
      <c r="D40" s="1" t="s">
        <v>207</v>
      </c>
      <c r="E40" s="1" t="s">
        <v>132</v>
      </c>
      <c r="F40" s="1">
        <v>2.0499999999999998</v>
      </c>
      <c r="G40" s="1">
        <v>3.4</v>
      </c>
      <c r="H40" s="1">
        <v>4.3099999999999996</v>
      </c>
      <c r="I40" s="1">
        <v>2.23</v>
      </c>
      <c r="J40" s="1">
        <v>1.68</v>
      </c>
      <c r="K40" s="1" t="s">
        <v>68</v>
      </c>
      <c r="L40" s="5">
        <v>0.4375</v>
      </c>
      <c r="M40" s="5">
        <v>0.25659999999999999</v>
      </c>
      <c r="N40" s="5">
        <v>0.30590000000000001</v>
      </c>
      <c r="O40" s="5">
        <v>0.49980000000000002</v>
      </c>
      <c r="P40" s="5">
        <v>0.50019999999999998</v>
      </c>
      <c r="Q40" s="1">
        <v>2</v>
      </c>
      <c r="R40" s="1">
        <v>0</v>
      </c>
      <c r="S40" s="3"/>
      <c r="T40" s="3"/>
      <c r="U40" s="9" t="str">
        <f t="shared" si="0"/>
        <v>[ACIERTO]</v>
      </c>
      <c r="V40" s="10">
        <f ca="1">IFERROR(__xludf.DUMMYFUNCTION("IF(B40="""", """", IFERROR(IF(VALUE(REGEXEXTRACT(TO_TEXT(Y40), ""[0-9.,]+"")) &gt; 0, IF(ISNUMBER(SEARCH(""[GANADA]"", W40)), VALUE(REGEXEXTRACT(TO_TEXT(Y40), ""[0-9.,]+"")) * (IF(ISNUMBER(SEARCH(""LOCAL"", W40)), VALUE(REGEXEXTRACT(TO_TEXT(F40), ""[0-9.,]+"&amp;""")), IF(ISNUMBER(SEARCH(""EMPATE"", W40)), VALUE(REGEXEXTRACT(TO_TEXT(G40), ""[0-9.,]+"")), VALUE(REGEXEXTRACT(TO_TEXT(H40), ""[0-9.,]+"")))) - 1), IF(ISNUMBER(SEARCH(""[PERDIDA]"", W40)), -VALUE(REGEXEXTRACT(TO_TEXT(Y40), ""[0-9.,]+"")), 0)), 0), 0) + I"&amp;"FERROR(IF(VALUE(REGEXEXTRACT(TO_TEXT(Z40), ""[0-9.,]+"")) &gt; 0, IF(ISNUMBER(SEARCH(""[GANADA]"", X40)), VALUE(REGEXEXTRACT(TO_TEXT(Z40), ""[0-9.,]+"")) * (IF(ISNUMBER(SEARCH(""OVER"", X40)), VALUE(REGEXEXTRACT(TO_TEXT(I40), ""[0-9.,]+"")), VALUE(REGEXEXTRA"&amp;"CT(TO_TEXT(J40), ""[0-9.,]+""))) - 1), IF(ISNUMBER(SEARCH(""[PERDIDA]"", X40)), -VALUE(REGEXEXTRACT(TO_TEXT(Z40), ""[0-9.,]+"")), 0)), 0), 0))"),-1020.62)</f>
        <v>-1020.62</v>
      </c>
      <c r="W40" s="1" t="str">
        <f t="shared" si="10"/>
        <v>[PERDIDA] VISITA</v>
      </c>
      <c r="X40" s="1" t="s">
        <v>63</v>
      </c>
      <c r="Y40" s="11">
        <v>1020.62</v>
      </c>
      <c r="Z40" s="11">
        <v>0</v>
      </c>
      <c r="AA40" s="4" t="e">
        <f t="shared" ca="1" si="6"/>
        <v>#NAME?</v>
      </c>
      <c r="AB40" s="5" t="e">
        <f t="shared" ca="1" si="1"/>
        <v>#NAME?</v>
      </c>
      <c r="AC40" s="6" t="e">
        <f t="shared" ca="1" si="2"/>
        <v>#NAME?</v>
      </c>
      <c r="AD40" s="6"/>
      <c r="AE40" s="6"/>
      <c r="AF40" s="6" t="b">
        <v>0</v>
      </c>
      <c r="AG40" s="5"/>
      <c r="AH40" s="1"/>
      <c r="AI40" s="1"/>
      <c r="AJ40" s="1"/>
      <c r="AK40" s="1"/>
      <c r="AL40" s="1"/>
      <c r="AM40" s="1"/>
      <c r="AN40" s="5" t="e">
        <f t="shared" ca="1" si="3"/>
        <v>#NAME?</v>
      </c>
      <c r="AO40" s="1" t="e">
        <f t="shared" ca="1" si="4"/>
        <v>#NAME?</v>
      </c>
      <c r="AP40" s="1"/>
      <c r="AQ40" s="1" t="e">
        <f t="shared" ca="1" si="5"/>
        <v>#NAME?</v>
      </c>
      <c r="AR40" s="1"/>
      <c r="AS40" s="1"/>
      <c r="AT40" s="1"/>
      <c r="AU40" s="1"/>
      <c r="AV40" s="1"/>
      <c r="AW40" s="1"/>
      <c r="AX40" s="5"/>
      <c r="AY40" s="5"/>
      <c r="AZ40" s="5"/>
      <c r="BA40" s="5"/>
      <c r="BB40" s="5"/>
    </row>
    <row r="41" spans="1:54" x14ac:dyDescent="0.2">
      <c r="A41" s="7">
        <v>46103</v>
      </c>
      <c r="B41" s="1" t="s">
        <v>208</v>
      </c>
      <c r="C41" s="1" t="s">
        <v>209</v>
      </c>
      <c r="D41" s="1" t="s">
        <v>210</v>
      </c>
      <c r="E41" s="1" t="s">
        <v>76</v>
      </c>
      <c r="F41" s="1">
        <v>2.88</v>
      </c>
      <c r="G41" s="1">
        <v>3.1</v>
      </c>
      <c r="H41" s="1">
        <v>2.95</v>
      </c>
      <c r="I41" s="1">
        <v>2.7</v>
      </c>
      <c r="J41" s="1">
        <v>1.52</v>
      </c>
      <c r="K41" s="1" t="s">
        <v>51</v>
      </c>
      <c r="L41" s="5">
        <v>0.33500000000000002</v>
      </c>
      <c r="M41" s="5">
        <v>0.28649999999999998</v>
      </c>
      <c r="N41" s="5">
        <v>0.3785</v>
      </c>
      <c r="O41" s="5">
        <v>0.3926</v>
      </c>
      <c r="P41" s="5">
        <v>0.60740000000000005</v>
      </c>
      <c r="Q41" s="1">
        <v>1</v>
      </c>
      <c r="R41" s="1">
        <v>2</v>
      </c>
      <c r="S41" s="3"/>
      <c r="T41" s="3"/>
      <c r="U41" s="9" t="str">
        <f t="shared" si="0"/>
        <v>[PASAR] Margen Insuficiente (&lt;5%)</v>
      </c>
      <c r="V41" s="10">
        <f ca="1">IFERROR(__xludf.DUMMYFUNCTION("IF(B41="""", """", IFERROR(IF(VALUE(REGEXEXTRACT(TO_TEXT(Y41), ""[0-9.,]+"")) &gt; 0, IF(ISNUMBER(SEARCH(""[GANADA]"", W41)), VALUE(REGEXEXTRACT(TO_TEXT(Y41), ""[0-9.,]+"")) * (IF(ISNUMBER(SEARCH(""LOCAL"", W41)), VALUE(REGEXEXTRACT(TO_TEXT(F41), ""[0-9.,]+"&amp;""")), IF(ISNUMBER(SEARCH(""EMPATE"", W41)), VALUE(REGEXEXTRACT(TO_TEXT(G41), ""[0-9.,]+"")), VALUE(REGEXEXTRACT(TO_TEXT(H41), ""[0-9.,]+"")))) - 1), IF(ISNUMBER(SEARCH(""[PERDIDA]"", W41)), -VALUE(REGEXEXTRACT(TO_TEXT(Y41), ""[0-9.,]+"")), 0)), 0), 0) + I"&amp;"FERROR(IF(VALUE(REGEXEXTRACT(TO_TEXT(Z41), ""[0-9.,]+"")) &gt; 0, IF(ISNUMBER(SEARCH(""[GANADA]"", X41)), VALUE(REGEXEXTRACT(TO_TEXT(Z41), ""[0-9.,]+"")) * (IF(ISNUMBER(SEARCH(""OVER"", X41)), VALUE(REGEXEXTRACT(TO_TEXT(I41), ""[0-9.,]+"")), VALUE(REGEXEXTRA"&amp;"CT(TO_TEXT(J41), ""[0-9.,]+""))) - 1), IF(ISNUMBER(SEARCH(""[PERDIDA]"", X41)), -VALUE(REGEXEXTRACT(TO_TEXT(Z41), ""[0-9.,]+"")), 0)), 0), 0))"),0)</f>
        <v>0</v>
      </c>
      <c r="W41" s="1" t="s">
        <v>82</v>
      </c>
      <c r="X41" s="1" t="s">
        <v>57</v>
      </c>
      <c r="Y41" s="11">
        <v>0</v>
      </c>
      <c r="Z41" s="11">
        <v>0</v>
      </c>
      <c r="AA41" s="4" t="e">
        <f t="shared" ca="1" si="6"/>
        <v>#NAME?</v>
      </c>
      <c r="AB41" s="5" t="e">
        <f t="shared" ca="1" si="1"/>
        <v>#NAME?</v>
      </c>
      <c r="AC41" s="6" t="e">
        <f t="shared" ca="1" si="2"/>
        <v>#NAME?</v>
      </c>
      <c r="AD41" s="6"/>
      <c r="AE41" s="6"/>
      <c r="AF41" s="6" t="b">
        <v>0</v>
      </c>
      <c r="AG41" s="5"/>
      <c r="AH41" s="1"/>
      <c r="AI41" s="1"/>
      <c r="AJ41" s="1"/>
      <c r="AK41" s="1"/>
      <c r="AL41" s="1"/>
      <c r="AM41" s="1"/>
      <c r="AN41" s="5" t="e">
        <f t="shared" ca="1" si="3"/>
        <v>#NAME?</v>
      </c>
      <c r="AO41" s="1" t="e">
        <f t="shared" ca="1" si="4"/>
        <v>#NAME?</v>
      </c>
      <c r="AP41" s="1"/>
      <c r="AQ41" s="1" t="e">
        <f t="shared" ca="1" si="5"/>
        <v>#NAME?</v>
      </c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</row>
    <row r="42" spans="1:54" x14ac:dyDescent="0.2">
      <c r="A42" s="7">
        <v>46103</v>
      </c>
      <c r="B42" s="1" t="s">
        <v>211</v>
      </c>
      <c r="C42" s="1" t="s">
        <v>212</v>
      </c>
      <c r="D42" s="1" t="s">
        <v>213</v>
      </c>
      <c r="E42" s="1" t="s">
        <v>214</v>
      </c>
      <c r="F42" s="1">
        <v>1.8</v>
      </c>
      <c r="G42" s="1">
        <v>3.4</v>
      </c>
      <c r="H42" s="1">
        <v>5.75</v>
      </c>
      <c r="I42" s="1">
        <v>2.72</v>
      </c>
      <c r="J42" s="1">
        <v>1.49</v>
      </c>
      <c r="K42" s="1" t="s">
        <v>51</v>
      </c>
      <c r="L42" s="5">
        <v>0.47910000000000003</v>
      </c>
      <c r="M42" s="5">
        <v>0.27550000000000002</v>
      </c>
      <c r="N42" s="5">
        <v>0.24540000000000001</v>
      </c>
      <c r="O42" s="5">
        <v>0.39629999999999999</v>
      </c>
      <c r="P42" s="5">
        <v>0.60370000000000001</v>
      </c>
      <c r="Q42" s="1">
        <v>2</v>
      </c>
      <c r="R42" s="1">
        <v>0</v>
      </c>
      <c r="S42" s="3"/>
      <c r="T42" s="3"/>
      <c r="U42" s="9" t="str">
        <f t="shared" si="0"/>
        <v>[ACIERTO]</v>
      </c>
      <c r="V42" s="10">
        <f ca="1">IFERROR(__xludf.DUMMYFUNCTION("IF(B42="""", """", IFERROR(IF(VALUE(REGEXEXTRACT(TO_TEXT(Y42), ""[0-9.,]+"")) &gt; 0, IF(ISNUMBER(SEARCH(""[GANADA]"", W42)), VALUE(REGEXEXTRACT(TO_TEXT(Y42), ""[0-9.,]+"")) * (IF(ISNUMBER(SEARCH(""LOCAL"", W42)), VALUE(REGEXEXTRACT(TO_TEXT(F42), ""[0-9.,]+"&amp;""")), IF(ISNUMBER(SEARCH(""EMPATE"", W42)), VALUE(REGEXEXTRACT(TO_TEXT(G42), ""[0-9.,]+"")), VALUE(REGEXEXTRACT(TO_TEXT(H42), ""[0-9.,]+"")))) - 1), IF(ISNUMBER(SEARCH(""[PERDIDA]"", W42)), -VALUE(REGEXEXTRACT(TO_TEXT(Y42), ""[0-9.,]+"")), 0)), 0), 0) + I"&amp;"FERROR(IF(VALUE(REGEXEXTRACT(TO_TEXT(Z42), ""[0-9.,]+"")) &gt; 0, IF(ISNUMBER(SEARCH(""[GANADA]"", X42)), VALUE(REGEXEXTRACT(TO_TEXT(Z42), ""[0-9.,]+"")) * (IF(ISNUMBER(SEARCH(""OVER"", X42)), VALUE(REGEXEXTRACT(TO_TEXT(I42), ""[0-9.,]+"")), VALUE(REGEXEXTRA"&amp;"CT(TO_TEXT(J42), ""[0-9.,]+""))) - 1), IF(ISNUMBER(SEARCH(""[PERDIDA]"", X42)), -VALUE(REGEXEXTRACT(TO_TEXT(Z42), ""[0-9.,]+"")), 0)), 0), 0))"),0)</f>
        <v>0</v>
      </c>
      <c r="W42" s="1" t="s">
        <v>57</v>
      </c>
      <c r="X42" s="1" t="s">
        <v>57</v>
      </c>
      <c r="Y42" s="11">
        <v>0</v>
      </c>
      <c r="Z42" s="11">
        <v>0</v>
      </c>
      <c r="AA42" s="4" t="e">
        <f t="shared" ca="1" si="6"/>
        <v>#NAME?</v>
      </c>
      <c r="AB42" s="5" t="e">
        <f t="shared" ca="1" si="1"/>
        <v>#NAME?</v>
      </c>
      <c r="AC42" s="6" t="e">
        <f t="shared" ca="1" si="2"/>
        <v>#NAME?</v>
      </c>
      <c r="AD42" s="6"/>
      <c r="AE42" s="6"/>
      <c r="AF42" s="6" t="b">
        <v>0</v>
      </c>
      <c r="AG42" s="5"/>
      <c r="AH42" s="1"/>
      <c r="AI42" s="1"/>
      <c r="AJ42" s="1"/>
      <c r="AK42" s="1"/>
      <c r="AL42" s="1"/>
      <c r="AM42" s="1"/>
      <c r="AN42" s="5" t="e">
        <f t="shared" ca="1" si="3"/>
        <v>#NAME?</v>
      </c>
      <c r="AO42" s="1" t="e">
        <f t="shared" ca="1" si="4"/>
        <v>#NAME?</v>
      </c>
      <c r="AP42" s="1"/>
      <c r="AQ42" s="1" t="e">
        <f t="shared" ca="1" si="5"/>
        <v>#NAME?</v>
      </c>
      <c r="AR42" s="1"/>
      <c r="AS42" s="1"/>
      <c r="AT42" s="1"/>
      <c r="AU42" s="1"/>
      <c r="AV42" s="1"/>
      <c r="AW42" s="1"/>
      <c r="AX42" s="5"/>
      <c r="AY42" s="5"/>
      <c r="AZ42" s="1"/>
      <c r="BA42" s="1"/>
      <c r="BB42" s="1" t="s">
        <v>69</v>
      </c>
    </row>
    <row r="43" spans="1:54" x14ac:dyDescent="0.2">
      <c r="A43" s="7">
        <v>46103</v>
      </c>
      <c r="B43" s="1" t="s">
        <v>215</v>
      </c>
      <c r="C43" s="1" t="s">
        <v>216</v>
      </c>
      <c r="D43" s="1" t="s">
        <v>217</v>
      </c>
      <c r="E43" s="1" t="s">
        <v>218</v>
      </c>
      <c r="F43" s="1">
        <v>3.74</v>
      </c>
      <c r="G43" s="1">
        <v>3.3</v>
      </c>
      <c r="H43" s="1">
        <v>2.1800000000000002</v>
      </c>
      <c r="I43" s="1">
        <v>2.31</v>
      </c>
      <c r="J43" s="1">
        <v>1.65</v>
      </c>
      <c r="K43" s="1" t="s">
        <v>68</v>
      </c>
      <c r="L43" s="5">
        <v>0.33960000000000001</v>
      </c>
      <c r="M43" s="5">
        <v>0.27339999999999998</v>
      </c>
      <c r="N43" s="5">
        <v>0.38700000000000001</v>
      </c>
      <c r="O43" s="5">
        <v>0.441</v>
      </c>
      <c r="P43" s="5">
        <v>0.55900000000000005</v>
      </c>
      <c r="Q43" s="1">
        <v>1</v>
      </c>
      <c r="R43" s="1">
        <v>1</v>
      </c>
      <c r="S43" s="3"/>
      <c r="T43" s="3"/>
      <c r="U43" s="9" t="str">
        <f t="shared" si="0"/>
        <v>[PASAR] Margen Insuficiente (&lt;5%)</v>
      </c>
      <c r="V43" s="10">
        <f ca="1">IFERROR(__xludf.DUMMYFUNCTION("IF(B43="""", """", IFERROR(IF(VALUE(REGEXEXTRACT(TO_TEXT(Y43), ""[0-9.,]+"")) &gt; 0, IF(ISNUMBER(SEARCH(""[GANADA]"", W43)), VALUE(REGEXEXTRACT(TO_TEXT(Y43), ""[0-9.,]+"")) * (IF(ISNUMBER(SEARCH(""LOCAL"", W43)), VALUE(REGEXEXTRACT(TO_TEXT(F43), ""[0-9.,]+"&amp;""")), IF(ISNUMBER(SEARCH(""EMPATE"", W43)), VALUE(REGEXEXTRACT(TO_TEXT(G43), ""[0-9.,]+"")), VALUE(REGEXEXTRACT(TO_TEXT(H43), ""[0-9.,]+"")))) - 1), IF(ISNUMBER(SEARCH(""[PERDIDA]"", W43)), -VALUE(REGEXEXTRACT(TO_TEXT(Y43), ""[0-9.,]+"")), 0)), 0), 0) + I"&amp;"FERROR(IF(VALUE(REGEXEXTRACT(TO_TEXT(Z43), ""[0-9.,]+"")) &gt; 0, IF(ISNUMBER(SEARCH(""[GANADA]"", X43)), VALUE(REGEXEXTRACT(TO_TEXT(Z43), ""[0-9.,]+"")) * (IF(ISNUMBER(SEARCH(""OVER"", X43)), VALUE(REGEXEXTRACT(TO_TEXT(I43), ""[0-9.,]+"")), VALUE(REGEXEXTRA"&amp;"CT(TO_TEXT(J43), ""[0-9.,]+""))) - 1), IF(ISNUMBER(SEARCH(""[PERDIDA]"", X43)), -VALUE(REGEXEXTRACT(TO_TEXT(Z43), ""[0-9.,]+"")), 0)), 0), 0))"),0)</f>
        <v>0</v>
      </c>
      <c r="W43" s="1" t="s">
        <v>82</v>
      </c>
      <c r="X43" s="1" t="s">
        <v>63</v>
      </c>
      <c r="Y43" s="11">
        <v>0</v>
      </c>
      <c r="Z43" s="11">
        <v>0</v>
      </c>
      <c r="AA43" s="4" t="e">
        <f t="shared" ca="1" si="6"/>
        <v>#NAME?</v>
      </c>
      <c r="AB43" s="5" t="e">
        <f t="shared" ca="1" si="1"/>
        <v>#NAME?</v>
      </c>
      <c r="AC43" s="6" t="e">
        <f t="shared" ca="1" si="2"/>
        <v>#NAME?</v>
      </c>
      <c r="AD43" s="6"/>
      <c r="AE43" s="6"/>
      <c r="AF43" s="6" t="b">
        <v>0</v>
      </c>
      <c r="AG43" s="5"/>
      <c r="AH43" s="1"/>
      <c r="AI43" s="1"/>
      <c r="AJ43" s="1"/>
      <c r="AK43" s="1"/>
      <c r="AL43" s="1"/>
      <c r="AM43" s="1"/>
      <c r="AN43" s="5" t="e">
        <f t="shared" ca="1" si="3"/>
        <v>#NAME?</v>
      </c>
      <c r="AO43" s="1" t="e">
        <f t="shared" ca="1" si="4"/>
        <v>#NAME?</v>
      </c>
      <c r="AP43" s="1"/>
      <c r="AQ43" s="1" t="e">
        <f t="shared" ca="1" si="5"/>
        <v>#NAME?</v>
      </c>
      <c r="AR43" s="1"/>
      <c r="AS43" s="1"/>
      <c r="AT43" s="1"/>
      <c r="AU43" s="1"/>
      <c r="AV43" s="1"/>
      <c r="AW43" s="1"/>
      <c r="AX43" s="5"/>
      <c r="AY43" s="5"/>
      <c r="AZ43" s="1"/>
      <c r="BA43" s="1"/>
      <c r="BB43" s="1" t="s">
        <v>69</v>
      </c>
    </row>
    <row r="44" spans="1:54" x14ac:dyDescent="0.2">
      <c r="A44" s="7">
        <v>46103</v>
      </c>
      <c r="B44" s="1" t="s">
        <v>219</v>
      </c>
      <c r="C44" s="1" t="s">
        <v>220</v>
      </c>
      <c r="D44" s="1" t="s">
        <v>107</v>
      </c>
      <c r="E44" s="1" t="s">
        <v>139</v>
      </c>
      <c r="F44" s="1">
        <v>1.94</v>
      </c>
      <c r="G44" s="1">
        <v>3.6</v>
      </c>
      <c r="H44" s="1">
        <v>4.42</v>
      </c>
      <c r="I44" s="1">
        <v>2.0499999999999998</v>
      </c>
      <c r="J44" s="1">
        <v>1.81</v>
      </c>
      <c r="K44" s="1" t="s">
        <v>68</v>
      </c>
      <c r="L44" s="5">
        <v>0.49469999999999997</v>
      </c>
      <c r="M44" s="5">
        <v>0.24679999999999999</v>
      </c>
      <c r="N44" s="5">
        <v>0.25850000000000001</v>
      </c>
      <c r="O44" s="5">
        <v>0.5131</v>
      </c>
      <c r="P44" s="5">
        <v>0.4869</v>
      </c>
      <c r="Q44" s="1">
        <v>0</v>
      </c>
      <c r="R44" s="1">
        <v>0</v>
      </c>
      <c r="S44" s="3"/>
      <c r="T44" s="3"/>
      <c r="U44" s="9" t="str">
        <f t="shared" si="0"/>
        <v>[FALLO]</v>
      </c>
      <c r="V44" s="10">
        <f ca="1">IFERROR(__xludf.DUMMYFUNCTION("IF(B44="""", """", IFERROR(IF(VALUE(REGEXEXTRACT(TO_TEXT(Y44), ""[0-9.,]+"")) &gt; 0, IF(ISNUMBER(SEARCH(""[GANADA]"", W44)), VALUE(REGEXEXTRACT(TO_TEXT(Y44), ""[0-9.,]+"")) * (IF(ISNUMBER(SEARCH(""LOCAL"", W44)), VALUE(REGEXEXTRACT(TO_TEXT(F44), ""[0-9.,]+"&amp;""")), IF(ISNUMBER(SEARCH(""EMPATE"", W44)), VALUE(REGEXEXTRACT(TO_TEXT(G44), ""[0-9.,]+"")), VALUE(REGEXEXTRACT(TO_TEXT(H44), ""[0-9.,]+"")))) - 1), IF(ISNUMBER(SEARCH(""[PERDIDA]"", W44)), -VALUE(REGEXEXTRACT(TO_TEXT(Y44), ""[0-9.,]+"")), 0)), 0), 0) + I"&amp;"FERROR(IF(VALUE(REGEXEXTRACT(TO_TEXT(Z44), ""[0-9.,]+"")) &gt; 0, IF(ISNUMBER(SEARCH(""[GANADA]"", X44)), VALUE(REGEXEXTRACT(TO_TEXT(Z44), ""[0-9.,]+"")) * (IF(ISNUMBER(SEARCH(""OVER"", X44)), VALUE(REGEXEXTRACT(TO_TEXT(I44), ""[0-9.,]+"")), VALUE(REGEXEXTRA"&amp;"CT(TO_TEXT(J44), ""[0-9.,]+""))) - 1), IF(ISNUMBER(SEARCH(""[PERDIDA]"", X44)), -VALUE(REGEXEXTRACT(TO_TEXT(Z44), ""[0-9.,]+"")), 0)), 0), 0))"),-1020.62)</f>
        <v>-1020.62</v>
      </c>
      <c r="W44" s="1" t="str">
        <f>IF(OR(Q44="", R44=""), "[APOSTAR] VISITA", IF(Q44&lt;R44, "[GANADA] VISITA", "[PERDIDA] VISITA"))</f>
        <v>[PERDIDA] VISITA</v>
      </c>
      <c r="X44" s="1" t="s">
        <v>63</v>
      </c>
      <c r="Y44" s="11">
        <v>1020.62</v>
      </c>
      <c r="Z44" s="11">
        <v>0</v>
      </c>
      <c r="AA44" s="4" t="e">
        <f t="shared" ca="1" si="6"/>
        <v>#NAME?</v>
      </c>
      <c r="AB44" s="5" t="e">
        <f t="shared" ca="1" si="1"/>
        <v>#NAME?</v>
      </c>
      <c r="AC44" s="6" t="e">
        <f t="shared" ca="1" si="2"/>
        <v>#NAME?</v>
      </c>
      <c r="AD44" s="6"/>
      <c r="AE44" s="6"/>
      <c r="AF44" s="6" t="b">
        <v>0</v>
      </c>
      <c r="AG44" s="5"/>
      <c r="AH44" s="1"/>
      <c r="AI44" s="1"/>
      <c r="AJ44" s="1"/>
      <c r="AK44" s="1"/>
      <c r="AL44" s="1"/>
      <c r="AM44" s="1"/>
      <c r="AN44" s="5" t="e">
        <f t="shared" ca="1" si="3"/>
        <v>#NAME?</v>
      </c>
      <c r="AO44" s="1" t="e">
        <f t="shared" ca="1" si="4"/>
        <v>#NAME?</v>
      </c>
      <c r="AP44" s="1"/>
      <c r="AQ44" s="1" t="e">
        <f t="shared" ca="1" si="5"/>
        <v>#NAME?</v>
      </c>
      <c r="AR44" s="1"/>
      <c r="AS44" s="1"/>
      <c r="AT44" s="1"/>
      <c r="AU44" s="1"/>
      <c r="AV44" s="1"/>
      <c r="AW44" s="1"/>
      <c r="AX44" s="5"/>
      <c r="AY44" s="5"/>
      <c r="AZ44" s="5"/>
      <c r="BA44" s="5"/>
      <c r="BB44" s="5"/>
    </row>
    <row r="45" spans="1:54" x14ac:dyDescent="0.2">
      <c r="A45" s="7">
        <v>46103</v>
      </c>
      <c r="B45" s="1" t="s">
        <v>221</v>
      </c>
      <c r="C45" s="1" t="s">
        <v>222</v>
      </c>
      <c r="D45" s="1" t="s">
        <v>223</v>
      </c>
      <c r="E45" s="1" t="s">
        <v>224</v>
      </c>
      <c r="F45" s="1">
        <v>5.96</v>
      </c>
      <c r="G45" s="1">
        <v>3.55</v>
      </c>
      <c r="H45" s="1">
        <v>1.75</v>
      </c>
      <c r="I45" s="1">
        <v>2.38</v>
      </c>
      <c r="J45" s="1">
        <v>1.64</v>
      </c>
      <c r="K45" s="1" t="s">
        <v>51</v>
      </c>
      <c r="L45" s="5">
        <v>0.3372</v>
      </c>
      <c r="M45" s="5">
        <v>0.28249999999999997</v>
      </c>
      <c r="N45" s="5">
        <v>0.38030000000000003</v>
      </c>
      <c r="O45" s="5">
        <v>0.40699999999999997</v>
      </c>
      <c r="P45" s="5">
        <v>0.59299999999999997</v>
      </c>
      <c r="Q45" s="1">
        <v>0</v>
      </c>
      <c r="R45" s="1">
        <v>2</v>
      </c>
      <c r="S45" s="3"/>
      <c r="T45" s="3"/>
      <c r="U45" s="9" t="str">
        <f t="shared" si="0"/>
        <v>[PASAR] Margen Insuficiente (&lt;5%)</v>
      </c>
      <c r="V45" s="10">
        <f ca="1">IFERROR(__xludf.DUMMYFUNCTION("IF(B45="""", """", IFERROR(IF(VALUE(REGEXEXTRACT(TO_TEXT(Y45), ""[0-9.,]+"")) &gt; 0, IF(ISNUMBER(SEARCH(""[GANADA]"", W45)), VALUE(REGEXEXTRACT(TO_TEXT(Y45), ""[0-9.,]+"")) * (IF(ISNUMBER(SEARCH(""LOCAL"", W45)), VALUE(REGEXEXTRACT(TO_TEXT(F45), ""[0-9.,]+"&amp;""")), IF(ISNUMBER(SEARCH(""EMPATE"", W45)), VALUE(REGEXEXTRACT(TO_TEXT(G45), ""[0-9.,]+"")), VALUE(REGEXEXTRACT(TO_TEXT(H45), ""[0-9.,]+"")))) - 1), IF(ISNUMBER(SEARCH(""[PERDIDA]"", W45)), -VALUE(REGEXEXTRACT(TO_TEXT(Y45), ""[0-9.,]+"")), 0)), 0), 0) + I"&amp;"FERROR(IF(VALUE(REGEXEXTRACT(TO_TEXT(Z45), ""[0-9.,]+"")) &gt; 0, IF(ISNUMBER(SEARCH(""[GANADA]"", X45)), VALUE(REGEXEXTRACT(TO_TEXT(Z45), ""[0-9.,]+"")) * (IF(ISNUMBER(SEARCH(""OVER"", X45)), VALUE(REGEXEXTRACT(TO_TEXT(I45), ""[0-9.,]+"")), VALUE(REGEXEXTRA"&amp;"CT(TO_TEXT(J45), ""[0-9.,]+""))) - 1), IF(ISNUMBER(SEARCH(""[PERDIDA]"", X45)), -VALUE(REGEXEXTRACT(TO_TEXT(Z45), ""[0-9.,]+"")), 0)), 0), 0))"),0)</f>
        <v>0</v>
      </c>
      <c r="W45" s="1" t="s">
        <v>82</v>
      </c>
      <c r="X45" s="1" t="s">
        <v>57</v>
      </c>
      <c r="Y45" s="11">
        <v>0</v>
      </c>
      <c r="Z45" s="11">
        <v>0</v>
      </c>
      <c r="AA45" s="4" t="e">
        <f t="shared" ca="1" si="6"/>
        <v>#NAME?</v>
      </c>
      <c r="AB45" s="5" t="e">
        <f t="shared" ca="1" si="1"/>
        <v>#NAME?</v>
      </c>
      <c r="AC45" s="6" t="e">
        <f t="shared" ca="1" si="2"/>
        <v>#NAME?</v>
      </c>
      <c r="AD45" s="6"/>
      <c r="AE45" s="6"/>
      <c r="AF45" s="6" t="b">
        <v>0</v>
      </c>
      <c r="AG45" s="5"/>
      <c r="AH45" s="1"/>
      <c r="AI45" s="1"/>
      <c r="AJ45" s="1"/>
      <c r="AK45" s="1"/>
      <c r="AL45" s="1"/>
      <c r="AM45" s="1"/>
      <c r="AN45" s="5" t="e">
        <f t="shared" ca="1" si="3"/>
        <v>#NAME?</v>
      </c>
      <c r="AO45" s="1" t="e">
        <f t="shared" ca="1" si="4"/>
        <v>#NAME?</v>
      </c>
      <c r="AP45" s="1"/>
      <c r="AQ45" s="1" t="e">
        <f t="shared" ca="1" si="5"/>
        <v>#NAME?</v>
      </c>
      <c r="AR45" s="1"/>
      <c r="AS45" s="1"/>
      <c r="AT45" s="1"/>
      <c r="AU45" s="1"/>
      <c r="AV45" s="1"/>
      <c r="AW45" s="1"/>
      <c r="AX45" s="5"/>
      <c r="AY45" s="5"/>
      <c r="AZ45" s="5"/>
      <c r="BA45" s="5"/>
      <c r="BB45" s="1" t="s">
        <v>69</v>
      </c>
    </row>
    <row r="46" spans="1:54" x14ac:dyDescent="0.2">
      <c r="A46" s="7">
        <v>46103</v>
      </c>
      <c r="B46" s="1" t="s">
        <v>225</v>
      </c>
      <c r="C46" s="1" t="s">
        <v>226</v>
      </c>
      <c r="D46" s="1" t="s">
        <v>227</v>
      </c>
      <c r="E46" s="1" t="s">
        <v>228</v>
      </c>
      <c r="F46" s="1">
        <v>2.38</v>
      </c>
      <c r="G46" s="1">
        <v>3.3</v>
      </c>
      <c r="H46" s="1">
        <v>3.22</v>
      </c>
      <c r="I46" s="1">
        <v>2.15</v>
      </c>
      <c r="J46" s="1">
        <v>1.76</v>
      </c>
      <c r="K46" s="1" t="s">
        <v>179</v>
      </c>
      <c r="L46" s="5">
        <v>0.38169999999999998</v>
      </c>
      <c r="M46" s="5">
        <v>0.25359999999999999</v>
      </c>
      <c r="N46" s="5">
        <v>0.36470000000000002</v>
      </c>
      <c r="O46" s="5">
        <v>0.52700000000000002</v>
      </c>
      <c r="P46" s="5">
        <v>0.47299999999999998</v>
      </c>
      <c r="Q46" s="1">
        <v>3</v>
      </c>
      <c r="R46" s="1">
        <v>1</v>
      </c>
      <c r="S46" s="3"/>
      <c r="T46" s="3"/>
      <c r="U46" s="9" t="str">
        <f t="shared" si="0"/>
        <v>[PASAR] Margen Insuficiente (&lt;5%)</v>
      </c>
      <c r="V46" s="10">
        <f ca="1">IFERROR(__xludf.DUMMYFUNCTION("IF(B46="""", """", IFERROR(IF(VALUE(REGEXEXTRACT(TO_TEXT(Y46), ""[0-9.,]+"")) &gt; 0, IF(ISNUMBER(SEARCH(""[GANADA]"", W46)), VALUE(REGEXEXTRACT(TO_TEXT(Y46), ""[0-9.,]+"")) * (IF(ISNUMBER(SEARCH(""LOCAL"", W46)), VALUE(REGEXEXTRACT(TO_TEXT(F46), ""[0-9.,]+"&amp;""")), IF(ISNUMBER(SEARCH(""EMPATE"", W46)), VALUE(REGEXEXTRACT(TO_TEXT(G46), ""[0-9.,]+"")), VALUE(REGEXEXTRACT(TO_TEXT(H46), ""[0-9.,]+"")))) - 1), IF(ISNUMBER(SEARCH(""[PERDIDA]"", W46)), -VALUE(REGEXEXTRACT(TO_TEXT(Y46), ""[0-9.,]+"")), 0)), 0), 0) + I"&amp;"FERROR(IF(VALUE(REGEXEXTRACT(TO_TEXT(Z46), ""[0-9.,]+"")) &gt; 0, IF(ISNUMBER(SEARCH(""[GANADA]"", X46)), VALUE(REGEXEXTRACT(TO_TEXT(Z46), ""[0-9.,]+"")) * (IF(ISNUMBER(SEARCH(""OVER"", X46)), VALUE(REGEXEXTRACT(TO_TEXT(I46), ""[0-9.,]+"")), VALUE(REGEXEXTRA"&amp;"CT(TO_TEXT(J46), ""[0-9.,]+""))) - 1), IF(ISNUMBER(SEARCH(""[PERDIDA]"", X46)), -VALUE(REGEXEXTRACT(TO_TEXT(Z46), ""[0-9.,]+"")), 0)), 0), 0))"),0)</f>
        <v>0</v>
      </c>
      <c r="W46" s="1" t="s">
        <v>82</v>
      </c>
      <c r="X46" s="1" t="s">
        <v>63</v>
      </c>
      <c r="Y46" s="4">
        <v>0</v>
      </c>
      <c r="Z46" s="12">
        <v>0</v>
      </c>
      <c r="AA46" s="4" t="e">
        <f t="shared" ca="1" si="6"/>
        <v>#NAME?</v>
      </c>
      <c r="AB46" s="5" t="e">
        <f t="shared" ca="1" si="1"/>
        <v>#NAME?</v>
      </c>
      <c r="AC46" s="6" t="e">
        <f t="shared" ca="1" si="2"/>
        <v>#NAME?</v>
      </c>
      <c r="AD46" s="6"/>
      <c r="AE46" s="6"/>
      <c r="AF46" s="6" t="b">
        <v>0</v>
      </c>
      <c r="AG46" s="5"/>
      <c r="AH46" s="1"/>
      <c r="AI46" s="1"/>
      <c r="AJ46" s="1"/>
      <c r="AK46" s="1"/>
      <c r="AL46" s="1"/>
      <c r="AM46" s="1"/>
      <c r="AN46" s="5" t="e">
        <f t="shared" ca="1" si="3"/>
        <v>#NAME?</v>
      </c>
      <c r="AO46" s="1" t="e">
        <f t="shared" ca="1" si="4"/>
        <v>#NAME?</v>
      </c>
      <c r="AP46" s="1"/>
      <c r="AQ46" s="1" t="e">
        <f t="shared" ca="1" si="5"/>
        <v>#NAME?</v>
      </c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</row>
    <row r="47" spans="1:54" x14ac:dyDescent="0.2">
      <c r="A47" s="7">
        <v>46103</v>
      </c>
      <c r="B47" s="1" t="s">
        <v>229</v>
      </c>
      <c r="C47" s="1" t="s">
        <v>230</v>
      </c>
      <c r="D47" s="1" t="s">
        <v>140</v>
      </c>
      <c r="E47" s="1" t="s">
        <v>66</v>
      </c>
      <c r="F47" s="1">
        <v>1.6</v>
      </c>
      <c r="G47" s="1">
        <v>4.3600000000000003</v>
      </c>
      <c r="H47" s="1">
        <v>8.1999999999999993</v>
      </c>
      <c r="I47" s="1">
        <v>1.93</v>
      </c>
      <c r="J47" s="1">
        <v>2.04</v>
      </c>
      <c r="K47" s="1" t="s">
        <v>68</v>
      </c>
      <c r="L47" s="5">
        <v>0.50049999999999994</v>
      </c>
      <c r="M47" s="5">
        <v>0.25330000000000003</v>
      </c>
      <c r="N47" s="5">
        <v>0.2462</v>
      </c>
      <c r="O47" s="5">
        <v>0.4768</v>
      </c>
      <c r="P47" s="5">
        <v>0.5232</v>
      </c>
      <c r="Q47" s="1">
        <v>2</v>
      </c>
      <c r="R47" s="1">
        <v>0</v>
      </c>
      <c r="S47" s="3"/>
      <c r="T47" s="3"/>
      <c r="U47" s="9" t="str">
        <f t="shared" si="0"/>
        <v>[ACIERTO]</v>
      </c>
      <c r="V47" s="10">
        <f ca="1">IFERROR(__xludf.DUMMYFUNCTION("IF(B47="""", """", IFERROR(IF(VALUE(REGEXEXTRACT(TO_TEXT(Y47), ""[0-9.,]+"")) &gt; 0, IF(ISNUMBER(SEARCH(""[GANADA]"", W47)), VALUE(REGEXEXTRACT(TO_TEXT(Y47), ""[0-9.,]+"")) * (IF(ISNUMBER(SEARCH(""LOCAL"", W47)), VALUE(REGEXEXTRACT(TO_TEXT(F47), ""[0-9.,]+"&amp;""")), IF(ISNUMBER(SEARCH(""EMPATE"", W47)), VALUE(REGEXEXTRACT(TO_TEXT(G47), ""[0-9.,]+"")), VALUE(REGEXEXTRACT(TO_TEXT(H47), ""[0-9.,]+"")))) - 1), IF(ISNUMBER(SEARCH(""[PERDIDA]"", W47)), -VALUE(REGEXEXTRACT(TO_TEXT(Y47), ""[0-9.,]+"")), 0)), 0), 0) + I"&amp;"FERROR(IF(VALUE(REGEXEXTRACT(TO_TEXT(Z47), ""[0-9.,]+"")) &gt; 0, IF(ISNUMBER(SEARCH(""[GANADA]"", X47)), VALUE(REGEXEXTRACT(TO_TEXT(Z47), ""[0-9.,]+"")) * (IF(ISNUMBER(SEARCH(""OVER"", X47)), VALUE(REGEXEXTRACT(TO_TEXT(I47), ""[0-9.,]+"")), VALUE(REGEXEXTRA"&amp;"CT(TO_TEXT(J47), ""[0-9.,]+""))) - 1), IF(ISNUMBER(SEARCH(""[PERDIDA]"", X47)), -VALUE(REGEXEXTRACT(TO_TEXT(Z47), ""[0-9.,]+"")), 0)), 0), 0))"),-1020.62)</f>
        <v>-1020.62</v>
      </c>
      <c r="W47" s="1" t="str">
        <f>IF(OR(Q47="", R47=""), "[APOSTAR] EMPATE", IF(Q47=R47, "[GANADA] EMPATE", "[PERDIDA] EMPATE"))</f>
        <v>[PERDIDA] EMPATE</v>
      </c>
      <c r="X47" s="1" t="s">
        <v>63</v>
      </c>
      <c r="Y47" s="11">
        <v>1020.62</v>
      </c>
      <c r="Z47" s="11">
        <v>0</v>
      </c>
      <c r="AA47" s="4" t="e">
        <f t="shared" ca="1" si="6"/>
        <v>#NAME?</v>
      </c>
      <c r="AB47" s="5" t="e">
        <f t="shared" ca="1" si="1"/>
        <v>#NAME?</v>
      </c>
      <c r="AC47" s="6" t="e">
        <f t="shared" ca="1" si="2"/>
        <v>#NAME?</v>
      </c>
      <c r="AD47" s="6"/>
      <c r="AE47" s="6"/>
      <c r="AF47" s="6" t="b">
        <v>0</v>
      </c>
      <c r="AG47" s="5"/>
      <c r="AH47" s="1"/>
      <c r="AI47" s="1"/>
      <c r="AJ47" s="1"/>
      <c r="AK47" s="1"/>
      <c r="AL47" s="1"/>
      <c r="AM47" s="1"/>
      <c r="AN47" s="5" t="e">
        <f t="shared" ca="1" si="3"/>
        <v>#NAME?</v>
      </c>
      <c r="AO47" s="1" t="e">
        <f t="shared" ca="1" si="4"/>
        <v>#NAME?</v>
      </c>
      <c r="AP47" s="1"/>
      <c r="AQ47" s="1" t="e">
        <f t="shared" ca="1" si="5"/>
        <v>#NAME?</v>
      </c>
      <c r="AR47" s="1"/>
      <c r="AS47" s="1"/>
      <c r="AT47" s="1"/>
      <c r="AU47" s="1"/>
      <c r="AV47" s="1"/>
      <c r="AW47" s="1"/>
      <c r="AX47" s="5"/>
      <c r="AY47" s="5"/>
      <c r="AZ47" s="5"/>
      <c r="BA47" s="5"/>
      <c r="BB47" s="1" t="s">
        <v>69</v>
      </c>
    </row>
    <row r="48" spans="1:54" x14ac:dyDescent="0.2">
      <c r="A48" s="7">
        <v>46103</v>
      </c>
      <c r="B48" s="1" t="s">
        <v>231</v>
      </c>
      <c r="C48" s="1" t="s">
        <v>232</v>
      </c>
      <c r="D48" s="1" t="s">
        <v>233</v>
      </c>
      <c r="E48" s="1" t="s">
        <v>234</v>
      </c>
      <c r="F48" s="1">
        <v>1.74</v>
      </c>
      <c r="G48" s="1">
        <v>4.2</v>
      </c>
      <c r="H48" s="1">
        <v>5.6</v>
      </c>
      <c r="I48" s="1">
        <v>1.96</v>
      </c>
      <c r="J48" s="1">
        <v>2.02</v>
      </c>
      <c r="K48" s="1" t="s">
        <v>62</v>
      </c>
      <c r="L48" s="5">
        <v>0.4556</v>
      </c>
      <c r="M48" s="5">
        <v>0.2442</v>
      </c>
      <c r="N48" s="5">
        <v>0.30020000000000002</v>
      </c>
      <c r="O48" s="5">
        <v>0.55120000000000002</v>
      </c>
      <c r="P48" s="5">
        <v>0.44879999999999998</v>
      </c>
      <c r="Q48" s="20">
        <v>1</v>
      </c>
      <c r="R48" s="20">
        <v>2</v>
      </c>
      <c r="S48" s="3"/>
      <c r="T48" s="3"/>
      <c r="U48" s="9" t="str">
        <f t="shared" si="0"/>
        <v>[FALLO]</v>
      </c>
      <c r="V48" s="10">
        <f ca="1">IFERROR(__xludf.DUMMYFUNCTION("IF(B48="""", """", IFERROR(IF(VALUE(REGEXEXTRACT(TO_TEXT(Y48), ""[0-9.,]+"")) &gt; 0, IF(ISNUMBER(SEARCH(""[GANADA]"", W48)), VALUE(REGEXEXTRACT(TO_TEXT(Y48), ""[0-9.,]+"")) * (IF(ISNUMBER(SEARCH(""LOCAL"", W48)), VALUE(REGEXEXTRACT(TO_TEXT(F48), ""[0-9.,]+"&amp;""")), IF(ISNUMBER(SEARCH(""EMPATE"", W48)), VALUE(REGEXEXTRACT(TO_TEXT(G48), ""[0-9.,]+"")), VALUE(REGEXEXTRACT(TO_TEXT(H48), ""[0-9.,]+"")))) - 1), IF(ISNUMBER(SEARCH(""[PERDIDA]"", W48)), -VALUE(REGEXEXTRACT(TO_TEXT(Y48), ""[0-9.,]+"")), 0)), 0), 0) + I"&amp;"FERROR(IF(VALUE(REGEXEXTRACT(TO_TEXT(Z48), ""[0-9.,]+"")) &gt; 0, IF(ISNUMBER(SEARCH(""[GANADA]"", X48)), VALUE(REGEXEXTRACT(TO_TEXT(Z48), ""[0-9.,]+"")) * (IF(ISNUMBER(SEARCH(""OVER"", X48)), VALUE(REGEXEXTRACT(TO_TEXT(I48), ""[0-9.,]+"")), VALUE(REGEXEXTRA"&amp;"CT(TO_TEXT(J48), ""[0-9.,]+""))) - 1), IF(ISNUMBER(SEARCH(""[PERDIDA]"", X48)), -VALUE(REGEXEXTRACT(TO_TEXT(Z48), ""[0-9.,]+"")), 0)), 0), 0))"),0)</f>
        <v>0</v>
      </c>
      <c r="W48" s="1" t="s">
        <v>57</v>
      </c>
      <c r="X48" s="1" t="s">
        <v>63</v>
      </c>
      <c r="Y48" s="11">
        <v>0</v>
      </c>
      <c r="Z48" s="11">
        <v>0</v>
      </c>
      <c r="AA48" s="4" t="e">
        <f t="shared" ca="1" si="6"/>
        <v>#NAME?</v>
      </c>
      <c r="AB48" s="5" t="e">
        <f t="shared" ca="1" si="1"/>
        <v>#NAME?</v>
      </c>
      <c r="AC48" s="6" t="e">
        <f t="shared" ca="1" si="2"/>
        <v>#NAME?</v>
      </c>
      <c r="AD48" s="6"/>
      <c r="AE48" s="6"/>
      <c r="AF48" s="6" t="b">
        <v>0</v>
      </c>
      <c r="AG48" s="5"/>
      <c r="AH48" s="1"/>
      <c r="AI48" s="1"/>
      <c r="AJ48" s="1"/>
      <c r="AK48" s="1"/>
      <c r="AL48" s="1"/>
      <c r="AM48" s="1"/>
      <c r="AN48" s="5" t="e">
        <f t="shared" ca="1" si="3"/>
        <v>#NAME?</v>
      </c>
      <c r="AO48" s="1" t="e">
        <f t="shared" ca="1" si="4"/>
        <v>#NAME?</v>
      </c>
      <c r="AP48" s="1"/>
      <c r="AQ48" s="1" t="e">
        <f t="shared" ca="1" si="5"/>
        <v>#NAME?</v>
      </c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</row>
    <row r="49" spans="1:54" x14ac:dyDescent="0.2">
      <c r="A49" s="7">
        <v>46103</v>
      </c>
      <c r="B49" s="1" t="s">
        <v>235</v>
      </c>
      <c r="C49" s="1" t="s">
        <v>236</v>
      </c>
      <c r="D49" s="1" t="s">
        <v>237</v>
      </c>
      <c r="E49" s="1" t="s">
        <v>110</v>
      </c>
      <c r="F49" s="1">
        <v>3.69</v>
      </c>
      <c r="G49" s="1">
        <v>3.5</v>
      </c>
      <c r="H49" s="1">
        <v>2.2799999999999998</v>
      </c>
      <c r="I49" s="1">
        <v>1.96</v>
      </c>
      <c r="J49" s="1">
        <v>2.0099999999999998</v>
      </c>
      <c r="K49" s="1" t="s">
        <v>68</v>
      </c>
      <c r="L49" s="5">
        <v>0.47770000000000001</v>
      </c>
      <c r="M49" s="5">
        <v>0.2397</v>
      </c>
      <c r="N49" s="5">
        <v>0.28260000000000002</v>
      </c>
      <c r="O49" s="5">
        <v>0.56140000000000001</v>
      </c>
      <c r="P49" s="5">
        <v>0.43859999999999999</v>
      </c>
      <c r="Q49" s="1">
        <v>4</v>
      </c>
      <c r="R49" s="1">
        <v>1</v>
      </c>
      <c r="S49" s="3"/>
      <c r="T49" s="3"/>
      <c r="U49" s="9" t="str">
        <f t="shared" si="0"/>
        <v>[ACIERTO]</v>
      </c>
      <c r="V49" s="10">
        <f ca="1">IFERROR(__xludf.DUMMYFUNCTION("IF(B49="""", """", IFERROR(IF(VALUE(REGEXEXTRACT(TO_TEXT(Y49), ""[0-9.,]+"")) &gt; 0, IF(ISNUMBER(SEARCH(""[GANADA]"", W49)), VALUE(REGEXEXTRACT(TO_TEXT(Y49), ""[0-9.,]+"")) * (IF(ISNUMBER(SEARCH(""LOCAL"", W49)), VALUE(REGEXEXTRACT(TO_TEXT(F49), ""[0-9.,]+"&amp;""")), IF(ISNUMBER(SEARCH(""EMPATE"", W49)), VALUE(REGEXEXTRACT(TO_TEXT(G49), ""[0-9.,]+"")), VALUE(REGEXEXTRACT(TO_TEXT(H49), ""[0-9.,]+"")))) - 1), IF(ISNUMBER(SEARCH(""[PERDIDA]"", W49)), -VALUE(REGEXEXTRACT(TO_TEXT(Y49), ""[0-9.,]+"")), 0)), 0), 0) + I"&amp;"FERROR(IF(VALUE(REGEXEXTRACT(TO_TEXT(Z49), ""[0-9.,]+"")) &gt; 0, IF(ISNUMBER(SEARCH(""[GANADA]"", X49)), VALUE(REGEXEXTRACT(TO_TEXT(Z49), ""[0-9.,]+"")) * (IF(ISNUMBER(SEARCH(""OVER"", X49)), VALUE(REGEXEXTRACT(TO_TEXT(I49), ""[0-9.,]+"")), VALUE(REGEXEXTRA"&amp;"CT(TO_TEXT(J49), ""[0-9.,]+""))) - 1), IF(ISNUMBER(SEARCH(""[PERDIDA]"", X49)), -VALUE(REGEXEXTRACT(TO_TEXT(Z49), ""[0-9.,]+"")), 0)), 0), 0))"),2745.4678)</f>
        <v>2745.4677999999999</v>
      </c>
      <c r="W49" s="1" t="str">
        <f t="shared" ref="W49:W50" si="11">IF(OR(Q49="", R49=""), "[APOSTAR] LOCAL", IF(Q49&gt;R49, "[GANADA] LOCAL", "[PERDIDA] LOCAL"))</f>
        <v>[GANADA] LOCAL</v>
      </c>
      <c r="X49" s="1" t="s">
        <v>63</v>
      </c>
      <c r="Y49" s="11">
        <v>1020.62</v>
      </c>
      <c r="Z49" s="11">
        <v>0</v>
      </c>
      <c r="AA49" s="4" t="e">
        <f t="shared" ca="1" si="6"/>
        <v>#NAME?</v>
      </c>
      <c r="AB49" s="5" t="e">
        <f t="shared" ca="1" si="1"/>
        <v>#NAME?</v>
      </c>
      <c r="AC49" s="6" t="e">
        <f t="shared" ca="1" si="2"/>
        <v>#NAME?</v>
      </c>
      <c r="AD49" s="6"/>
      <c r="AE49" s="6"/>
      <c r="AF49" s="6" t="b">
        <v>0</v>
      </c>
      <c r="AG49" s="5"/>
      <c r="AH49" s="1"/>
      <c r="AI49" s="1"/>
      <c r="AJ49" s="1"/>
      <c r="AK49" s="1"/>
      <c r="AL49" s="1"/>
      <c r="AM49" s="1"/>
      <c r="AN49" s="5" t="e">
        <f t="shared" ca="1" si="3"/>
        <v>#NAME?</v>
      </c>
      <c r="AO49" s="1" t="e">
        <f t="shared" ca="1" si="4"/>
        <v>#NAME?</v>
      </c>
      <c r="AP49" s="1"/>
      <c r="AQ49" s="1" t="e">
        <f t="shared" ca="1" si="5"/>
        <v>#NAME?</v>
      </c>
      <c r="AR49" s="1"/>
      <c r="AS49" s="1"/>
      <c r="AT49" s="1"/>
      <c r="AU49" s="1"/>
      <c r="AV49" s="1"/>
      <c r="AW49" s="1"/>
      <c r="AX49" s="5"/>
      <c r="AY49" s="5"/>
      <c r="AZ49" s="5"/>
      <c r="BA49" s="5"/>
      <c r="BB49" s="1" t="s">
        <v>69</v>
      </c>
    </row>
    <row r="50" spans="1:54" x14ac:dyDescent="0.2">
      <c r="A50" s="7">
        <v>46103</v>
      </c>
      <c r="B50" s="1" t="s">
        <v>238</v>
      </c>
      <c r="C50" s="1" t="s">
        <v>239</v>
      </c>
      <c r="D50" s="1" t="s">
        <v>240</v>
      </c>
      <c r="E50" s="1" t="s">
        <v>241</v>
      </c>
      <c r="F50" s="1">
        <v>2.2599999999999998</v>
      </c>
      <c r="G50" s="1">
        <v>3.85</v>
      </c>
      <c r="H50" s="1">
        <v>3.25</v>
      </c>
      <c r="I50" s="1">
        <v>1.58</v>
      </c>
      <c r="J50" s="1">
        <v>2.33</v>
      </c>
      <c r="K50" s="1" t="s">
        <v>179</v>
      </c>
      <c r="L50" s="5">
        <v>0.48980000000000001</v>
      </c>
      <c r="M50" s="5">
        <v>0.2414</v>
      </c>
      <c r="N50" s="5">
        <v>0.26879999999999998</v>
      </c>
      <c r="O50" s="5">
        <v>0.54410000000000003</v>
      </c>
      <c r="P50" s="5">
        <v>0.45590000000000003</v>
      </c>
      <c r="Q50" s="20">
        <v>0</v>
      </c>
      <c r="R50" s="20">
        <v>2</v>
      </c>
      <c r="S50" s="3"/>
      <c r="T50" s="3"/>
      <c r="U50" s="9" t="str">
        <f t="shared" si="0"/>
        <v>[FALLO]</v>
      </c>
      <c r="V50" s="10">
        <f ca="1">IFERROR(__xludf.DUMMYFUNCTION("IF(B50="""", """", IFERROR(IF(VALUE(REGEXEXTRACT(TO_TEXT(Y50), ""[0-9.,]+"")) &gt; 0, IF(ISNUMBER(SEARCH(""[GANADA]"", W50)), VALUE(REGEXEXTRACT(TO_TEXT(Y50), ""[0-9.,]+"")) * (IF(ISNUMBER(SEARCH(""LOCAL"", W50)), VALUE(REGEXEXTRACT(TO_TEXT(F50), ""[0-9.,]+"&amp;""")), IF(ISNUMBER(SEARCH(""EMPATE"", W50)), VALUE(REGEXEXTRACT(TO_TEXT(G50), ""[0-9.,]+"")), VALUE(REGEXEXTRACT(TO_TEXT(H50), ""[0-9.,]+"")))) - 1), IF(ISNUMBER(SEARCH(""[PERDIDA]"", W50)), -VALUE(REGEXEXTRACT(TO_TEXT(Y50), ""[0-9.,]+"")), 0)), 0), 0) + I"&amp;"FERROR(IF(VALUE(REGEXEXTRACT(TO_TEXT(Z50), ""[0-9.,]+"")) &gt; 0, IF(ISNUMBER(SEARCH(""[GANADA]"", X50)), VALUE(REGEXEXTRACT(TO_TEXT(Z50), ""[0-9.,]+"")) * (IF(ISNUMBER(SEARCH(""OVER"", X50)), VALUE(REGEXEXTRACT(TO_TEXT(I50), ""[0-9.,]+"")), VALUE(REGEXEXTRA"&amp;"CT(TO_TEXT(J50), ""[0-9.,]+""))) - 1), IF(ISNUMBER(SEARCH(""[PERDIDA]"", X50)), -VALUE(REGEXEXTRACT(TO_TEXT(Z50), ""[0-9.,]+"")), 0)), 0), 0))"),-1443.38)</f>
        <v>-1443.38</v>
      </c>
      <c r="W50" s="1" t="str">
        <f t="shared" si="11"/>
        <v>[PERDIDA] LOCAL</v>
      </c>
      <c r="X50" s="1" t="s">
        <v>63</v>
      </c>
      <c r="Y50" s="11">
        <v>1443.38</v>
      </c>
      <c r="Z50" s="11">
        <v>0</v>
      </c>
      <c r="AA50" s="4" t="e">
        <f t="shared" ca="1" si="6"/>
        <v>#NAME?</v>
      </c>
      <c r="AB50" s="5" t="e">
        <f t="shared" ca="1" si="1"/>
        <v>#NAME?</v>
      </c>
      <c r="AC50" s="6" t="e">
        <f t="shared" ca="1" si="2"/>
        <v>#NAME?</v>
      </c>
      <c r="AD50" s="6"/>
      <c r="AE50" s="6"/>
      <c r="AF50" s="6" t="b">
        <v>0</v>
      </c>
      <c r="AG50" s="5"/>
      <c r="AH50" s="1"/>
      <c r="AI50" s="1"/>
      <c r="AJ50" s="1"/>
      <c r="AK50" s="1"/>
      <c r="AL50" s="1"/>
      <c r="AM50" s="1"/>
      <c r="AN50" s="5" t="e">
        <f t="shared" ca="1" si="3"/>
        <v>#NAME?</v>
      </c>
      <c r="AO50" s="1" t="e">
        <f t="shared" ca="1" si="4"/>
        <v>#NAME?</v>
      </c>
      <c r="AP50" s="1"/>
      <c r="AQ50" s="1" t="e">
        <f t="shared" ca="1" si="5"/>
        <v>#NAME?</v>
      </c>
      <c r="AR50" s="1"/>
      <c r="AS50" s="1"/>
      <c r="AT50" s="1"/>
      <c r="AU50" s="1"/>
      <c r="AV50" s="1"/>
      <c r="AW50" s="1"/>
      <c r="AX50" s="5"/>
      <c r="AY50" s="5"/>
      <c r="AZ50" s="1"/>
      <c r="BA50" s="1"/>
      <c r="BB50" s="1" t="s">
        <v>69</v>
      </c>
    </row>
    <row r="51" spans="1:54" x14ac:dyDescent="0.2">
      <c r="A51" s="7">
        <v>46103</v>
      </c>
      <c r="B51" s="1" t="s">
        <v>242</v>
      </c>
      <c r="C51" s="1" t="s">
        <v>243</v>
      </c>
      <c r="D51" s="1" t="s">
        <v>244</v>
      </c>
      <c r="E51" s="1" t="s">
        <v>245</v>
      </c>
      <c r="F51" s="1">
        <v>2.1</v>
      </c>
      <c r="G51" s="1">
        <v>4.25</v>
      </c>
      <c r="H51" s="1">
        <v>3.15</v>
      </c>
      <c r="I51" s="1">
        <v>1.4</v>
      </c>
      <c r="J51" s="1">
        <v>2.7</v>
      </c>
      <c r="K51" s="1" t="s">
        <v>179</v>
      </c>
      <c r="L51" s="5">
        <v>0.4073</v>
      </c>
      <c r="M51" s="5">
        <v>0.2409</v>
      </c>
      <c r="N51" s="5">
        <v>0.3518</v>
      </c>
      <c r="O51" s="5">
        <v>0.58489999999999998</v>
      </c>
      <c r="P51" s="5">
        <v>0.41510000000000002</v>
      </c>
      <c r="Q51" s="15">
        <v>0</v>
      </c>
      <c r="R51" s="15">
        <v>2</v>
      </c>
      <c r="S51" s="3"/>
      <c r="T51" s="3"/>
      <c r="U51" s="9" t="str">
        <f t="shared" si="0"/>
        <v>[FALLO]</v>
      </c>
      <c r="V51" s="10">
        <f ca="1">IFERROR(__xludf.DUMMYFUNCTION("IF(B51="""", """", IFERROR(IF(VALUE(REGEXEXTRACT(TO_TEXT(Y51), ""[0-9.,]+"")) &gt; 0, IF(ISNUMBER(SEARCH(""[GANADA]"", W51)), VALUE(REGEXEXTRACT(TO_TEXT(Y51), ""[0-9.,]+"")) * (IF(ISNUMBER(SEARCH(""LOCAL"", W51)), VALUE(REGEXEXTRACT(TO_TEXT(F51), ""[0-9.,]+"&amp;""")), IF(ISNUMBER(SEARCH(""EMPATE"", W51)), VALUE(REGEXEXTRACT(TO_TEXT(G51), ""[0-9.,]+"")), VALUE(REGEXEXTRACT(TO_TEXT(H51), ""[0-9.,]+"")))) - 1), IF(ISNUMBER(SEARCH(""[PERDIDA]"", W51)), -VALUE(REGEXEXTRACT(TO_TEXT(Y51), ""[0-9.,]+"")), 0)), 0), 0) + I"&amp;"FERROR(IF(VALUE(REGEXEXTRACT(TO_TEXT(Z51), ""[0-9.,]+"")) &gt; 0, IF(ISNUMBER(SEARCH(""[GANADA]"", X51)), VALUE(REGEXEXTRACT(TO_TEXT(Z51), ""[0-9.,]+"")) * (IF(ISNUMBER(SEARCH(""OVER"", X51)), VALUE(REGEXEXTRACT(TO_TEXT(I51), ""[0-9.,]+"")), VALUE(REGEXEXTRA"&amp;"CT(TO_TEXT(J51), ""[0-9.,]+""))) - 1), IF(ISNUMBER(SEARCH(""[PERDIDA]"", X51)), -VALUE(REGEXEXTRACT(TO_TEXT(Z51), ""[0-9.,]+"")), 0)), 0), 0))"),3103.267)</f>
        <v>3103.2669999999998</v>
      </c>
      <c r="W51" s="1" t="str">
        <f>IF(OR(Q51="", R51=""), "[APOSTAR] VISITA", IF(Q51&lt;R51, "[GANADA] VISITA", "[PERDIDA] VISITA"))</f>
        <v>[GANADA] VISITA</v>
      </c>
      <c r="X51" s="1" t="s">
        <v>57</v>
      </c>
      <c r="Y51" s="11">
        <v>1443.38</v>
      </c>
      <c r="Z51" s="11">
        <v>0</v>
      </c>
      <c r="AA51" s="4" t="e">
        <f t="shared" ca="1" si="6"/>
        <v>#NAME?</v>
      </c>
      <c r="AB51" s="5" t="e">
        <f t="shared" ca="1" si="1"/>
        <v>#NAME?</v>
      </c>
      <c r="AC51" s="6" t="e">
        <f t="shared" ca="1" si="2"/>
        <v>#NAME?</v>
      </c>
      <c r="AD51" s="6"/>
      <c r="AE51" s="6"/>
      <c r="AF51" s="6" t="b">
        <v>0</v>
      </c>
      <c r="AG51" s="5"/>
      <c r="AH51" s="1"/>
      <c r="AI51" s="1"/>
      <c r="AJ51" s="1"/>
      <c r="AK51" s="1"/>
      <c r="AL51" s="1"/>
      <c r="AM51" s="1"/>
      <c r="AN51" s="5" t="e">
        <f t="shared" ca="1" si="3"/>
        <v>#NAME?</v>
      </c>
      <c r="AO51" s="1" t="e">
        <f t="shared" ca="1" si="4"/>
        <v>#NAME?</v>
      </c>
      <c r="AP51" s="1"/>
      <c r="AQ51" s="1" t="e">
        <f t="shared" ca="1" si="5"/>
        <v>#NAME?</v>
      </c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</row>
    <row r="52" spans="1:54" x14ac:dyDescent="0.2">
      <c r="A52" s="7">
        <v>46103</v>
      </c>
      <c r="B52" s="1" t="s">
        <v>246</v>
      </c>
      <c r="C52" s="1" t="s">
        <v>247</v>
      </c>
      <c r="D52" s="1" t="s">
        <v>248</v>
      </c>
      <c r="E52" s="1" t="s">
        <v>135</v>
      </c>
      <c r="F52" s="1">
        <v>3.01</v>
      </c>
      <c r="G52" s="1">
        <v>3.25</v>
      </c>
      <c r="H52" s="1">
        <v>2.77</v>
      </c>
      <c r="I52" s="1">
        <v>2.12</v>
      </c>
      <c r="J52" s="1">
        <v>1.76</v>
      </c>
      <c r="K52" s="1" t="s">
        <v>68</v>
      </c>
      <c r="L52" s="5">
        <v>0.38590000000000002</v>
      </c>
      <c r="M52" s="5">
        <v>0.26129999999999998</v>
      </c>
      <c r="N52" s="5">
        <v>0.3528</v>
      </c>
      <c r="O52" s="5">
        <v>0.49199999999999999</v>
      </c>
      <c r="P52" s="5">
        <v>0.50800000000000001</v>
      </c>
      <c r="Q52" s="1">
        <v>0</v>
      </c>
      <c r="R52" s="1">
        <v>1</v>
      </c>
      <c r="S52" s="3"/>
      <c r="T52" s="3"/>
      <c r="U52" s="9" t="str">
        <f t="shared" si="0"/>
        <v>[PASAR] Margen Insuficiente (&lt;5%)</v>
      </c>
      <c r="V52" s="10">
        <f ca="1">IFERROR(__xludf.DUMMYFUNCTION("IF(B52="""", """", IFERROR(IF(VALUE(REGEXEXTRACT(TO_TEXT(Y52), ""[0-9.,]+"")) &gt; 0, IF(ISNUMBER(SEARCH(""[GANADA]"", W52)), VALUE(REGEXEXTRACT(TO_TEXT(Y52), ""[0-9.,]+"")) * (IF(ISNUMBER(SEARCH(""LOCAL"", W52)), VALUE(REGEXEXTRACT(TO_TEXT(F52), ""[0-9.,]+"&amp;""")), IF(ISNUMBER(SEARCH(""EMPATE"", W52)), VALUE(REGEXEXTRACT(TO_TEXT(G52), ""[0-9.,]+"")), VALUE(REGEXEXTRACT(TO_TEXT(H52), ""[0-9.,]+"")))) - 1), IF(ISNUMBER(SEARCH(""[PERDIDA]"", W52)), -VALUE(REGEXEXTRACT(TO_TEXT(Y52), ""[0-9.,]+"")), 0)), 0), 0) + I"&amp;"FERROR(IF(VALUE(REGEXEXTRACT(TO_TEXT(Z52), ""[0-9.,]+"")) &gt; 0, IF(ISNUMBER(SEARCH(""[GANADA]"", X52)), VALUE(REGEXEXTRACT(TO_TEXT(Z52), ""[0-9.,]+"")) * (IF(ISNUMBER(SEARCH(""OVER"", X52)), VALUE(REGEXEXTRACT(TO_TEXT(I52), ""[0-9.,]+"")), VALUE(REGEXEXTRA"&amp;"CT(TO_TEXT(J52), ""[0-9.,]+""))) - 1), IF(ISNUMBER(SEARCH(""[PERDIDA]"", X52)), -VALUE(REGEXEXTRACT(TO_TEXT(Z52), ""[0-9.,]+"")), 0)), 0), 0))"),0)</f>
        <v>0</v>
      </c>
      <c r="W52" s="1" t="s">
        <v>82</v>
      </c>
      <c r="X52" s="1" t="s">
        <v>63</v>
      </c>
      <c r="Y52" s="11">
        <v>0</v>
      </c>
      <c r="Z52" s="11">
        <v>0</v>
      </c>
      <c r="AA52" s="4" t="e">
        <f t="shared" ca="1" si="6"/>
        <v>#NAME?</v>
      </c>
      <c r="AB52" s="5" t="e">
        <f t="shared" ca="1" si="1"/>
        <v>#NAME?</v>
      </c>
      <c r="AC52" s="6" t="e">
        <f t="shared" ca="1" si="2"/>
        <v>#NAME?</v>
      </c>
      <c r="AD52" s="6"/>
      <c r="AE52" s="6"/>
      <c r="AF52" s="6" t="b">
        <v>0</v>
      </c>
      <c r="AG52" s="5"/>
      <c r="AH52" s="1"/>
      <c r="AI52" s="1"/>
      <c r="AJ52" s="1"/>
      <c r="AK52" s="1"/>
      <c r="AL52" s="1"/>
      <c r="AM52" s="1"/>
      <c r="AN52" s="5" t="e">
        <f t="shared" ca="1" si="3"/>
        <v>#NAME?</v>
      </c>
      <c r="AO52" s="1" t="e">
        <f t="shared" ca="1" si="4"/>
        <v>#NAME?</v>
      </c>
      <c r="AP52" s="1"/>
      <c r="AQ52" s="1" t="e">
        <f t="shared" ca="1" si="5"/>
        <v>#NAME?</v>
      </c>
      <c r="AR52" s="1"/>
      <c r="AS52" s="1"/>
      <c r="AT52" s="1"/>
      <c r="AU52" s="1"/>
      <c r="AV52" s="1"/>
      <c r="AW52" s="1"/>
      <c r="AX52" s="1"/>
      <c r="AY52" s="5"/>
      <c r="AZ52" s="4"/>
      <c r="BA52" s="5"/>
      <c r="BB52" s="1" t="s">
        <v>69</v>
      </c>
    </row>
    <row r="53" spans="1:54" x14ac:dyDescent="0.2">
      <c r="A53" s="7">
        <v>46103</v>
      </c>
      <c r="B53" s="1" t="s">
        <v>249</v>
      </c>
      <c r="C53" s="1" t="s">
        <v>250</v>
      </c>
      <c r="D53" s="1" t="s">
        <v>251</v>
      </c>
      <c r="E53" s="1" t="s">
        <v>49</v>
      </c>
      <c r="F53" s="1">
        <v>2.2599999999999998</v>
      </c>
      <c r="G53" s="1">
        <v>3</v>
      </c>
      <c r="H53" s="1">
        <v>4</v>
      </c>
      <c r="I53" s="1">
        <v>3.15</v>
      </c>
      <c r="J53" s="1">
        <v>1.35</v>
      </c>
      <c r="K53" s="1" t="s">
        <v>51</v>
      </c>
      <c r="L53" s="5">
        <v>0.4642</v>
      </c>
      <c r="M53" s="5">
        <v>0.26979999999999998</v>
      </c>
      <c r="N53" s="5">
        <v>0.26590000000000003</v>
      </c>
      <c r="O53" s="5">
        <v>0.42830000000000001</v>
      </c>
      <c r="P53" s="5">
        <v>0.57169999999999999</v>
      </c>
      <c r="Q53" s="1">
        <v>2</v>
      </c>
      <c r="R53" s="1">
        <v>0</v>
      </c>
      <c r="S53" s="3"/>
      <c r="T53" s="3"/>
      <c r="U53" s="9" t="str">
        <f t="shared" si="0"/>
        <v>[ACIERTO]</v>
      </c>
      <c r="V53" s="10">
        <f ca="1">IFERROR(__xludf.DUMMYFUNCTION("IF(B53="""", """", IFERROR(IF(VALUE(REGEXEXTRACT(TO_TEXT(Y53), ""[0-9.,]+"")) &gt; 0, IF(ISNUMBER(SEARCH(""[GANADA]"", W53)), VALUE(REGEXEXTRACT(TO_TEXT(Y53), ""[0-9.,]+"")) * (IF(ISNUMBER(SEARCH(""LOCAL"", W53)), VALUE(REGEXEXTRACT(TO_TEXT(F53), ""[0-9.,]+"&amp;""")), IF(ISNUMBER(SEARCH(""EMPATE"", W53)), VALUE(REGEXEXTRACT(TO_TEXT(G53), ""[0-9.,]+"")), VALUE(REGEXEXTRACT(TO_TEXT(H53), ""[0-9.,]+"")))) - 1), IF(ISNUMBER(SEARCH(""[PERDIDA]"", W53)), -VALUE(REGEXEXTRACT(TO_TEXT(Y53), ""[0-9.,]+"")), 0)), 0), 0) + I"&amp;"FERROR(IF(VALUE(REGEXEXTRACT(TO_TEXT(Z53), ""[0-9.,]+"")) &gt; 0, IF(ISNUMBER(SEARCH(""[GANADA]"", X53)), VALUE(REGEXEXTRACT(TO_TEXT(Z53), ""[0-9.,]+"")) * (IF(ISNUMBER(SEARCH(""OVER"", X53)), VALUE(REGEXEXTRACT(TO_TEXT(I53), ""[0-9.,]+"")), VALUE(REGEXEXTRA"&amp;"CT(TO_TEXT(J53), ""[0-9.,]+""))) - 1), IF(ISNUMBER(SEARCH(""[PERDIDA]"", X53)), -VALUE(REGEXEXTRACT(TO_TEXT(Z53), ""[0-9.,]+"")), 0)), 0), 0))"),-2122.84)</f>
        <v>-2122.84</v>
      </c>
      <c r="W53" s="1" t="str">
        <f t="shared" ref="W53:W56" si="12">IF(OR(Q53="", R53=""), "[APOSTAR] VISITA", IF(Q53&lt;R53, "[GANADA] VISITA", "[PERDIDA] VISITA"))</f>
        <v>[PERDIDA] VISITA</v>
      </c>
      <c r="X53" s="1" t="s">
        <v>63</v>
      </c>
      <c r="Y53" s="11">
        <v>2122.84</v>
      </c>
      <c r="Z53" s="11">
        <v>0</v>
      </c>
      <c r="AA53" s="4" t="e">
        <f t="shared" ca="1" si="6"/>
        <v>#NAME?</v>
      </c>
      <c r="AB53" s="5" t="e">
        <f t="shared" ca="1" si="1"/>
        <v>#NAME?</v>
      </c>
      <c r="AC53" s="6" t="e">
        <f t="shared" ca="1" si="2"/>
        <v>#NAME?</v>
      </c>
      <c r="AD53" s="6"/>
      <c r="AE53" s="6"/>
      <c r="AF53" s="6" t="b">
        <v>0</v>
      </c>
      <c r="AG53" s="5"/>
      <c r="AH53" s="1"/>
      <c r="AI53" s="1"/>
      <c r="AJ53" s="1"/>
      <c r="AK53" s="1"/>
      <c r="AL53" s="1"/>
      <c r="AM53" s="1"/>
      <c r="AN53" s="5" t="e">
        <f t="shared" ca="1" si="3"/>
        <v>#NAME?</v>
      </c>
      <c r="AO53" s="1" t="e">
        <f t="shared" ca="1" si="4"/>
        <v>#NAME?</v>
      </c>
      <c r="AP53" s="1"/>
      <c r="AQ53" s="1" t="e">
        <f t="shared" ca="1" si="5"/>
        <v>#NAME?</v>
      </c>
      <c r="AR53" s="1"/>
      <c r="AS53" s="1"/>
      <c r="AT53" s="1"/>
      <c r="AU53" s="1"/>
      <c r="AV53" s="1"/>
      <c r="AW53" s="1"/>
      <c r="AX53" s="5"/>
      <c r="AY53" s="5"/>
      <c r="AZ53" s="1"/>
      <c r="BA53" s="1"/>
      <c r="BB53" s="1" t="s">
        <v>69</v>
      </c>
    </row>
    <row r="54" spans="1:54" x14ac:dyDescent="0.2">
      <c r="A54" s="7">
        <v>46103</v>
      </c>
      <c r="B54" s="1" t="s">
        <v>252</v>
      </c>
      <c r="C54" s="1" t="s">
        <v>253</v>
      </c>
      <c r="D54" s="1" t="s">
        <v>254</v>
      </c>
      <c r="E54" s="1" t="s">
        <v>255</v>
      </c>
      <c r="F54" s="1">
        <v>2.15</v>
      </c>
      <c r="G54" s="1">
        <v>3.65</v>
      </c>
      <c r="H54" s="1">
        <v>3.4</v>
      </c>
      <c r="I54" s="1">
        <v>1.77</v>
      </c>
      <c r="J54" s="1">
        <v>2.12</v>
      </c>
      <c r="K54" s="1" t="s">
        <v>179</v>
      </c>
      <c r="L54" s="5">
        <v>0.40460000000000002</v>
      </c>
      <c r="M54" s="5">
        <v>0.25030000000000002</v>
      </c>
      <c r="N54" s="5">
        <v>0.34510000000000002</v>
      </c>
      <c r="O54" s="5">
        <v>0.53939999999999999</v>
      </c>
      <c r="P54" s="5">
        <v>0.46060000000000001</v>
      </c>
      <c r="Q54" s="1">
        <v>1</v>
      </c>
      <c r="R54" s="1">
        <v>2</v>
      </c>
      <c r="S54" s="3"/>
      <c r="T54" s="3"/>
      <c r="U54" s="9" t="str">
        <f t="shared" si="0"/>
        <v>[FALLO]</v>
      </c>
      <c r="V54" s="10">
        <f ca="1">IFERROR(__xludf.DUMMYFUNCTION("IF(B54="""", """", IFERROR(IF(VALUE(REGEXEXTRACT(TO_TEXT(Y54), ""[0-9.,]+"")) &gt; 0, IF(ISNUMBER(SEARCH(""[GANADA]"", W54)), VALUE(REGEXEXTRACT(TO_TEXT(Y54), ""[0-9.,]+"")) * (IF(ISNUMBER(SEARCH(""LOCAL"", W54)), VALUE(REGEXEXTRACT(TO_TEXT(F54), ""[0-9.,]+"&amp;""")), IF(ISNUMBER(SEARCH(""EMPATE"", W54)), VALUE(REGEXEXTRACT(TO_TEXT(G54), ""[0-9.,]+"")), VALUE(REGEXEXTRACT(TO_TEXT(H54), ""[0-9.,]+"")))) - 1), IF(ISNUMBER(SEARCH(""[PERDIDA]"", W54)), -VALUE(REGEXEXTRACT(TO_TEXT(Y54), ""[0-9.,]+"")), 0)), 0), 0) + I"&amp;"FERROR(IF(VALUE(REGEXEXTRACT(TO_TEXT(Z54), ""[0-9.,]+"")) &gt; 0, IF(ISNUMBER(SEARCH(""[GANADA]"", X54)), VALUE(REGEXEXTRACT(TO_TEXT(Z54), ""[0-9.,]+"")) * (IF(ISNUMBER(SEARCH(""OVER"", X54)), VALUE(REGEXEXTRACT(TO_TEXT(I54), ""[0-9.,]+"")), VALUE(REGEXEXTRA"&amp;"CT(TO_TEXT(J54), ""[0-9.,]+""))) - 1), IF(ISNUMBER(SEARCH(""[PERDIDA]"", X54)), -VALUE(REGEXEXTRACT(TO_TEXT(Z54), ""[0-9.,]+"")), 0)), 0), 0))"),3464.112)</f>
        <v>3464.1120000000001</v>
      </c>
      <c r="W54" s="1" t="str">
        <f t="shared" si="12"/>
        <v>[GANADA] VISITA</v>
      </c>
      <c r="X54" s="1" t="s">
        <v>63</v>
      </c>
      <c r="Y54" s="11">
        <v>1443.38</v>
      </c>
      <c r="Z54" s="11">
        <v>0</v>
      </c>
      <c r="AA54" s="4" t="e">
        <f t="shared" ca="1" si="6"/>
        <v>#NAME?</v>
      </c>
      <c r="AB54" s="5" t="e">
        <f t="shared" ca="1" si="1"/>
        <v>#NAME?</v>
      </c>
      <c r="AC54" s="6" t="e">
        <f t="shared" ca="1" si="2"/>
        <v>#NAME?</v>
      </c>
      <c r="AD54" s="6"/>
      <c r="AE54" s="6"/>
      <c r="AF54" s="6" t="b">
        <v>0</v>
      </c>
      <c r="AG54" s="5"/>
      <c r="AH54" s="1"/>
      <c r="AI54" s="1"/>
      <c r="AJ54" s="1"/>
      <c r="AK54" s="1"/>
      <c r="AL54" s="1"/>
      <c r="AM54" s="1"/>
      <c r="AN54" s="5" t="e">
        <f t="shared" ca="1" si="3"/>
        <v>#NAME?</v>
      </c>
      <c r="AO54" s="1" t="e">
        <f t="shared" ca="1" si="4"/>
        <v>#NAME?</v>
      </c>
      <c r="AP54" s="1"/>
      <c r="AQ54" s="1" t="e">
        <f t="shared" ca="1" si="5"/>
        <v>#NAME?</v>
      </c>
      <c r="AR54" s="1"/>
      <c r="AS54" s="1"/>
      <c r="AT54" s="1"/>
      <c r="AU54" s="1"/>
      <c r="AV54" s="1"/>
      <c r="AW54" s="1"/>
      <c r="AX54" s="5"/>
      <c r="AY54" s="5"/>
      <c r="AZ54" s="5"/>
      <c r="BA54" s="5"/>
      <c r="BB54" s="5"/>
    </row>
    <row r="55" spans="1:54" x14ac:dyDescent="0.2">
      <c r="A55" s="7">
        <v>46103</v>
      </c>
      <c r="B55" s="1" t="s">
        <v>256</v>
      </c>
      <c r="C55" s="1" t="s">
        <v>257</v>
      </c>
      <c r="D55" s="1" t="s">
        <v>258</v>
      </c>
      <c r="E55" s="1" t="s">
        <v>259</v>
      </c>
      <c r="F55" s="1">
        <v>2.36</v>
      </c>
      <c r="G55" s="1">
        <v>3.5</v>
      </c>
      <c r="H55" s="1">
        <v>3.4</v>
      </c>
      <c r="I55" s="1">
        <v>1.97</v>
      </c>
      <c r="J55" s="1">
        <v>2.02</v>
      </c>
      <c r="K55" s="1" t="s">
        <v>62</v>
      </c>
      <c r="L55" s="5">
        <v>0.32400000000000001</v>
      </c>
      <c r="M55" s="5">
        <v>0.25109999999999999</v>
      </c>
      <c r="N55" s="5">
        <v>0.4249</v>
      </c>
      <c r="O55" s="5">
        <v>0.53039999999999998</v>
      </c>
      <c r="P55" s="5">
        <v>0.46960000000000002</v>
      </c>
      <c r="Q55" s="1">
        <v>0</v>
      </c>
      <c r="R55" s="1">
        <v>3</v>
      </c>
      <c r="S55" s="3"/>
      <c r="T55" s="3"/>
      <c r="U55" s="9" t="str">
        <f t="shared" si="0"/>
        <v>[ACIERTO]</v>
      </c>
      <c r="V55" s="10">
        <f ca="1">IFERROR(__xludf.DUMMYFUNCTION("IF(B55="""", """", IFERROR(IF(VALUE(REGEXEXTRACT(TO_TEXT(Y55), ""[0-9.,]+"")) &gt; 0, IF(ISNUMBER(SEARCH(""[GANADA]"", W55)), VALUE(REGEXEXTRACT(TO_TEXT(Y55), ""[0-9.,]+"")) * (IF(ISNUMBER(SEARCH(""LOCAL"", W55)), VALUE(REGEXEXTRACT(TO_TEXT(F55), ""[0-9.,]+"&amp;""")), IF(ISNUMBER(SEARCH(""EMPATE"", W55)), VALUE(REGEXEXTRACT(TO_TEXT(G55), ""[0-9.,]+"")), VALUE(REGEXEXTRACT(TO_TEXT(H55), ""[0-9.,]+"")))) - 1), IF(ISNUMBER(SEARCH(""[PERDIDA]"", W55)), -VALUE(REGEXEXTRACT(TO_TEXT(Y55), ""[0-9.,]+"")), 0)), 0), 0) + I"&amp;"FERROR(IF(VALUE(REGEXEXTRACT(TO_TEXT(Z55), ""[0-9.,]+"")) &gt; 0, IF(ISNUMBER(SEARCH(""[GANADA]"", X55)), VALUE(REGEXEXTRACT(TO_TEXT(Z55), ""[0-9.,]+"")) * (IF(ISNUMBER(SEARCH(""OVER"", X55)), VALUE(REGEXEXTRACT(TO_TEXT(I55), ""[0-9.,]+"")), VALUE(REGEXEXTRA"&amp;"CT(TO_TEXT(J55), ""[0-9.,]+""))) - 1), IF(ISNUMBER(SEARCH(""[PERDIDA]"", X55)), -VALUE(REGEXEXTRACT(TO_TEXT(Z55), ""[0-9.,]+"")), 0)), 0), 0))"),4242.648)</f>
        <v>4242.6480000000001</v>
      </c>
      <c r="W55" s="1" t="str">
        <f t="shared" si="12"/>
        <v>[GANADA] VISITA</v>
      </c>
      <c r="X55" s="1" t="s">
        <v>63</v>
      </c>
      <c r="Y55" s="11">
        <v>1767.77</v>
      </c>
      <c r="Z55" s="11">
        <v>0</v>
      </c>
      <c r="AA55" s="4" t="e">
        <f t="shared" ca="1" si="6"/>
        <v>#NAME?</v>
      </c>
      <c r="AB55" s="5" t="e">
        <f t="shared" ca="1" si="1"/>
        <v>#NAME?</v>
      </c>
      <c r="AC55" s="6" t="e">
        <f t="shared" ca="1" si="2"/>
        <v>#NAME?</v>
      </c>
      <c r="AD55" s="6"/>
      <c r="AE55" s="6"/>
      <c r="AF55" s="6" t="b">
        <v>0</v>
      </c>
      <c r="AG55" s="5"/>
      <c r="AH55" s="1"/>
      <c r="AI55" s="1"/>
      <c r="AJ55" s="1"/>
      <c r="AK55" s="1"/>
      <c r="AL55" s="1"/>
      <c r="AM55" s="1"/>
      <c r="AN55" s="5" t="e">
        <f t="shared" ca="1" si="3"/>
        <v>#NAME?</v>
      </c>
      <c r="AO55" s="1" t="e">
        <f t="shared" ca="1" si="4"/>
        <v>#NAME?</v>
      </c>
      <c r="AP55" s="1"/>
      <c r="AQ55" s="1" t="e">
        <f t="shared" ca="1" si="5"/>
        <v>#NAME?</v>
      </c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</row>
    <row r="56" spans="1:54" x14ac:dyDescent="0.2">
      <c r="A56" s="7">
        <v>46103</v>
      </c>
      <c r="B56" s="1" t="s">
        <v>260</v>
      </c>
      <c r="C56" s="1" t="s">
        <v>261</v>
      </c>
      <c r="D56" s="1" t="s">
        <v>143</v>
      </c>
      <c r="E56" s="1" t="s">
        <v>262</v>
      </c>
      <c r="F56" s="1">
        <v>2.08</v>
      </c>
      <c r="G56" s="1">
        <v>3.6</v>
      </c>
      <c r="H56" s="1">
        <v>3.9</v>
      </c>
      <c r="I56" s="1">
        <v>2</v>
      </c>
      <c r="J56" s="1">
        <v>1.94</v>
      </c>
      <c r="K56" s="1" t="s">
        <v>68</v>
      </c>
      <c r="L56" s="5">
        <v>0.49340000000000001</v>
      </c>
      <c r="M56" s="5">
        <v>0.23760000000000001</v>
      </c>
      <c r="N56" s="5">
        <v>0.26889999999999997</v>
      </c>
      <c r="O56" s="5">
        <v>0.56100000000000005</v>
      </c>
      <c r="P56" s="5">
        <v>0.439</v>
      </c>
      <c r="Q56" s="1">
        <v>2</v>
      </c>
      <c r="R56" s="1">
        <v>1</v>
      </c>
      <c r="S56" s="3"/>
      <c r="T56" s="3"/>
      <c r="U56" s="9" t="str">
        <f t="shared" si="0"/>
        <v>[ACIERTO]</v>
      </c>
      <c r="V56" s="10">
        <f ca="1">IFERROR(__xludf.DUMMYFUNCTION("IF(B56="""", """", IFERROR(IF(VALUE(REGEXEXTRACT(TO_TEXT(Y56), ""[0-9.,]+"")) &gt; 0, IF(ISNUMBER(SEARCH(""[GANADA]"", W56)), VALUE(REGEXEXTRACT(TO_TEXT(Y56), ""[0-9.,]+"")) * (IF(ISNUMBER(SEARCH(""LOCAL"", W56)), VALUE(REGEXEXTRACT(TO_TEXT(F56), ""[0-9.,]+"&amp;""")), IF(ISNUMBER(SEARCH(""EMPATE"", W56)), VALUE(REGEXEXTRACT(TO_TEXT(G56), ""[0-9.,]+"")), VALUE(REGEXEXTRACT(TO_TEXT(H56), ""[0-9.,]+"")))) - 1), IF(ISNUMBER(SEARCH(""[PERDIDA]"", W56)), -VALUE(REGEXEXTRACT(TO_TEXT(Y56), ""[0-9.,]+"")), 0)), 0), 0) + I"&amp;"FERROR(IF(VALUE(REGEXEXTRACT(TO_TEXT(Z56), ""[0-9.,]+"")) &gt; 0, IF(ISNUMBER(SEARCH(""[GANADA]"", X56)), VALUE(REGEXEXTRACT(TO_TEXT(Z56), ""[0-9.,]+"")) * (IF(ISNUMBER(SEARCH(""OVER"", X56)), VALUE(REGEXEXTRACT(TO_TEXT(I56), ""[0-9.,]+"")), VALUE(REGEXEXTRA"&amp;"CT(TO_TEXT(J56), ""[0-9.,]+""))) - 1), IF(ISNUMBER(SEARCH(""[PERDIDA]"", X56)), -VALUE(REGEXEXTRACT(TO_TEXT(Z56), ""[0-9.,]+"")), 0)), 0), 0))"),-687.51)</f>
        <v>-687.51</v>
      </c>
      <c r="W56" s="1" t="str">
        <f t="shared" si="12"/>
        <v>[PERDIDA] VISITA</v>
      </c>
      <c r="X56" s="1" t="s">
        <v>63</v>
      </c>
      <c r="Y56" s="11">
        <v>687.51</v>
      </c>
      <c r="Z56" s="11">
        <v>0</v>
      </c>
      <c r="AA56" s="4" t="e">
        <f t="shared" ca="1" si="6"/>
        <v>#NAME?</v>
      </c>
      <c r="AB56" s="5" t="e">
        <f t="shared" ca="1" si="1"/>
        <v>#NAME?</v>
      </c>
      <c r="AC56" s="6" t="e">
        <f t="shared" ca="1" si="2"/>
        <v>#NAME?</v>
      </c>
      <c r="AD56" s="6"/>
      <c r="AE56" s="6"/>
      <c r="AF56" s="6" t="b">
        <v>0</v>
      </c>
      <c r="AG56" s="5"/>
      <c r="AH56" s="1"/>
      <c r="AI56" s="1"/>
      <c r="AJ56" s="1"/>
      <c r="AK56" s="1"/>
      <c r="AL56" s="1"/>
      <c r="AM56" s="1"/>
      <c r="AN56" s="5" t="e">
        <f t="shared" ca="1" si="3"/>
        <v>#NAME?</v>
      </c>
      <c r="AO56" s="1" t="e">
        <f t="shared" ca="1" si="4"/>
        <v>#NAME?</v>
      </c>
      <c r="AP56" s="1"/>
      <c r="AQ56" s="1" t="e">
        <f t="shared" ca="1" si="5"/>
        <v>#NAME?</v>
      </c>
      <c r="AR56" s="1"/>
      <c r="AS56" s="1"/>
      <c r="AT56" s="1"/>
      <c r="AU56" s="1"/>
      <c r="AV56" s="1"/>
      <c r="AW56" s="1"/>
      <c r="AX56" s="5"/>
      <c r="AY56" s="5"/>
      <c r="AZ56" s="5"/>
      <c r="BA56" s="5"/>
      <c r="BB56" s="1" t="s">
        <v>69</v>
      </c>
    </row>
    <row r="57" spans="1:54" x14ac:dyDescent="0.2">
      <c r="A57" s="7">
        <v>46103</v>
      </c>
      <c r="B57" s="1" t="s">
        <v>263</v>
      </c>
      <c r="C57" s="1" t="s">
        <v>264</v>
      </c>
      <c r="D57" s="1" t="s">
        <v>265</v>
      </c>
      <c r="E57" s="1" t="s">
        <v>131</v>
      </c>
      <c r="F57" s="1">
        <v>2.5499999999999998</v>
      </c>
      <c r="G57" s="1">
        <v>3.4</v>
      </c>
      <c r="H57" s="1">
        <v>3.03</v>
      </c>
      <c r="I57" s="1">
        <v>2.0699999999999998</v>
      </c>
      <c r="J57" s="1">
        <v>1.81</v>
      </c>
      <c r="K57" s="1" t="s">
        <v>68</v>
      </c>
      <c r="L57" s="5">
        <v>0.44929999999999998</v>
      </c>
      <c r="M57" s="5">
        <v>0.26979999999999998</v>
      </c>
      <c r="N57" s="5">
        <v>0.28089999999999998</v>
      </c>
      <c r="O57" s="5">
        <v>0.43640000000000001</v>
      </c>
      <c r="P57" s="5">
        <v>0.56359999999999999</v>
      </c>
      <c r="Q57" s="1">
        <v>1</v>
      </c>
      <c r="R57" s="1">
        <v>0</v>
      </c>
      <c r="S57" s="3"/>
      <c r="T57" s="3"/>
      <c r="U57" s="9" t="str">
        <f t="shared" si="0"/>
        <v>[ACIERTO]</v>
      </c>
      <c r="V57" s="10">
        <f ca="1">IFERROR(__xludf.DUMMYFUNCTION("IF(B57="""", """", IFERROR(IF(VALUE(REGEXEXTRACT(TO_TEXT(Y57), ""[0-9.,]+"")) &gt; 0, IF(ISNUMBER(SEARCH(""[GANADA]"", W57)), VALUE(REGEXEXTRACT(TO_TEXT(Y57), ""[0-9.,]+"")) * (IF(ISNUMBER(SEARCH(""LOCAL"", W57)), VALUE(REGEXEXTRACT(TO_TEXT(F57), ""[0-9.,]+"&amp;""")), IF(ISNUMBER(SEARCH(""EMPATE"", W57)), VALUE(REGEXEXTRACT(TO_TEXT(G57), ""[0-9.,]+"")), VALUE(REGEXEXTRACT(TO_TEXT(H57), ""[0-9.,]+"")))) - 1), IF(ISNUMBER(SEARCH(""[PERDIDA]"", W57)), -VALUE(REGEXEXTRACT(TO_TEXT(Y57), ""[0-9.,]+"")), 0)), 0), 0) + I"&amp;"FERROR(IF(VALUE(REGEXEXTRACT(TO_TEXT(Z57), ""[0-9.,]+"")) &gt; 0, IF(ISNUMBER(SEARCH(""[GANADA]"", X57)), VALUE(REGEXEXTRACT(TO_TEXT(Z57), ""[0-9.,]+"")) * (IF(ISNUMBER(SEARCH(""OVER"", X57)), VALUE(REGEXEXTRACT(TO_TEXT(I57), ""[0-9.,]+"")), VALUE(REGEXEXTRA"&amp;"CT(TO_TEXT(J57), ""[0-9.,]+""))) - 1), IF(ISNUMBER(SEARCH(""[PERDIDA]"", X57)), -VALUE(REGEXEXTRACT(TO_TEXT(Z57), ""[0-9.,]+"")), 0)), 0), 0))"),1581.96099999999)</f>
        <v>1581.96099999999</v>
      </c>
      <c r="W57" s="1" t="str">
        <f>IF(OR(Q57="", R57=""), "[APOSTAR] LOCAL", IF(Q57&gt;R57, "[GANADA] LOCAL", "[PERDIDA] LOCAL"))</f>
        <v>[GANADA] LOCAL</v>
      </c>
      <c r="X57" s="1" t="s">
        <v>63</v>
      </c>
      <c r="Y57" s="11">
        <v>1020.62</v>
      </c>
      <c r="Z57" s="11">
        <v>0</v>
      </c>
      <c r="AA57" s="4" t="e">
        <f t="shared" ca="1" si="6"/>
        <v>#NAME?</v>
      </c>
      <c r="AB57" s="5" t="e">
        <f t="shared" ca="1" si="1"/>
        <v>#NAME?</v>
      </c>
      <c r="AC57" s="6" t="e">
        <f t="shared" ca="1" si="2"/>
        <v>#NAME?</v>
      </c>
      <c r="AD57" s="6"/>
      <c r="AE57" s="6"/>
      <c r="AF57" s="6" t="b">
        <v>0</v>
      </c>
      <c r="AG57" s="5"/>
      <c r="AH57" s="1"/>
      <c r="AI57" s="1"/>
      <c r="AJ57" s="1"/>
      <c r="AK57" s="1"/>
      <c r="AL57" s="1"/>
      <c r="AM57" s="1"/>
      <c r="AN57" s="5" t="e">
        <f t="shared" ca="1" si="3"/>
        <v>#NAME?</v>
      </c>
      <c r="AO57" s="1" t="e">
        <f t="shared" ca="1" si="4"/>
        <v>#NAME?</v>
      </c>
      <c r="AP57" s="1"/>
      <c r="AQ57" s="1" t="e">
        <f t="shared" ca="1" si="5"/>
        <v>#NAME?</v>
      </c>
      <c r="AR57" s="1"/>
      <c r="AS57" s="1"/>
      <c r="AT57" s="1"/>
      <c r="AU57" s="1"/>
      <c r="AV57" s="1"/>
      <c r="AW57" s="1"/>
      <c r="AX57" s="5"/>
      <c r="AY57" s="5"/>
      <c r="AZ57" s="1"/>
      <c r="BA57" s="1"/>
      <c r="BB57" s="1" t="s">
        <v>69</v>
      </c>
    </row>
    <row r="58" spans="1:54" x14ac:dyDescent="0.2">
      <c r="A58" s="7">
        <v>46104</v>
      </c>
      <c r="B58" s="1" t="s">
        <v>266</v>
      </c>
      <c r="C58" s="1" t="s">
        <v>267</v>
      </c>
      <c r="D58" s="1" t="s">
        <v>268</v>
      </c>
      <c r="E58" s="1" t="s">
        <v>269</v>
      </c>
      <c r="F58" s="1">
        <v>1.79</v>
      </c>
      <c r="G58" s="1">
        <v>3.4</v>
      </c>
      <c r="H58" s="1">
        <v>5.95</v>
      </c>
      <c r="I58" s="1">
        <v>2.72</v>
      </c>
      <c r="J58" s="1">
        <v>1.44</v>
      </c>
      <c r="K58" s="1" t="s">
        <v>51</v>
      </c>
      <c r="L58" s="5">
        <v>0.49980000000000002</v>
      </c>
      <c r="M58" s="5">
        <v>0.28089999999999998</v>
      </c>
      <c r="N58" s="5">
        <v>0.21929999999999999</v>
      </c>
      <c r="O58" s="5">
        <v>0.36109999999999998</v>
      </c>
      <c r="P58" s="5">
        <v>0.63890000000000002</v>
      </c>
      <c r="Q58" s="1">
        <v>1</v>
      </c>
      <c r="R58" s="1">
        <v>0</v>
      </c>
      <c r="S58" s="3"/>
      <c r="T58" s="3"/>
      <c r="U58" s="9" t="str">
        <f t="shared" si="0"/>
        <v>[ACIERTO]</v>
      </c>
      <c r="V58" s="10">
        <f ca="1">IFERROR(__xludf.DUMMYFUNCTION("IF(B58="""", """", IFERROR(IF(VALUE(REGEXEXTRACT(TO_TEXT(Y58), ""[0-9.,]+"")) &gt; 0, IF(ISNUMBER(SEARCH(""[GANADA]"", W58)), VALUE(REGEXEXTRACT(TO_TEXT(Y58), ""[0-9.,]+"")) * (IF(ISNUMBER(SEARCH(""LOCAL"", W58)), VALUE(REGEXEXTRACT(TO_TEXT(F58), ""[0-9.,]+"&amp;""")), IF(ISNUMBER(SEARCH(""EMPATE"", W58)), VALUE(REGEXEXTRACT(TO_TEXT(G58), ""[0-9.,]+"")), VALUE(REGEXEXTRACT(TO_TEXT(H58), ""[0-9.,]+"")))) - 1), IF(ISNUMBER(SEARCH(""[PERDIDA]"", W58)), -VALUE(REGEXEXTRACT(TO_TEXT(Y58), ""[0-9.,]+"")), 0)), 0), 0) + I"&amp;"FERROR(IF(VALUE(REGEXEXTRACT(TO_TEXT(Z58), ""[0-9.,]+"")) &gt; 0, IF(ISNUMBER(SEARCH(""[GANADA]"", X58)), VALUE(REGEXEXTRACT(TO_TEXT(Z58), ""[0-9.,]+"")) * (IF(ISNUMBER(SEARCH(""OVER"", X58)), VALUE(REGEXEXTRACT(TO_TEXT(I58), ""[0-9.,]+"")), VALUE(REGEXEXTRA"&amp;"CT(TO_TEXT(J58), ""[0-9.,]+""))) - 1), IF(ISNUMBER(SEARCH(""[PERDIDA]"", X58)), -VALUE(REGEXEXTRACT(TO_TEXT(Z58), ""[0-9.,]+"")), 0)), 0), 0))"),0)</f>
        <v>0</v>
      </c>
      <c r="W58" s="1" t="s">
        <v>57</v>
      </c>
      <c r="X58" s="1" t="s">
        <v>57</v>
      </c>
      <c r="Y58" s="11">
        <v>0</v>
      </c>
      <c r="Z58" s="11">
        <v>0</v>
      </c>
      <c r="AA58" s="4" t="e">
        <f t="shared" ca="1" si="6"/>
        <v>#NAME?</v>
      </c>
      <c r="AB58" s="5" t="e">
        <f t="shared" ca="1" si="1"/>
        <v>#NAME?</v>
      </c>
      <c r="AC58" s="6" t="e">
        <f t="shared" ca="1" si="2"/>
        <v>#NAME?</v>
      </c>
      <c r="AD58" s="6"/>
      <c r="AE58" s="6"/>
      <c r="AF58" s="6" t="b">
        <v>0</v>
      </c>
      <c r="AG58" s="5"/>
      <c r="AH58" s="1"/>
      <c r="AI58" s="1"/>
      <c r="AJ58" s="1"/>
      <c r="AK58" s="1"/>
      <c r="AL58" s="1"/>
      <c r="AM58" s="1"/>
      <c r="AN58" s="5" t="e">
        <f t="shared" ca="1" si="3"/>
        <v>#NAME?</v>
      </c>
      <c r="AO58" s="1" t="e">
        <f t="shared" ca="1" si="4"/>
        <v>#NAME?</v>
      </c>
      <c r="AP58" s="1"/>
      <c r="AQ58" s="1" t="e">
        <f t="shared" ca="1" si="5"/>
        <v>#NAME?</v>
      </c>
      <c r="AR58" s="1"/>
      <c r="AS58" s="1"/>
      <c r="AT58" s="1"/>
      <c r="AU58" s="1"/>
      <c r="AV58" s="1"/>
      <c r="AW58" s="1"/>
      <c r="AX58" s="5"/>
      <c r="AY58" s="5"/>
      <c r="AZ58" s="5"/>
      <c r="BA58" s="5"/>
      <c r="BB58" s="1" t="s">
        <v>69</v>
      </c>
    </row>
    <row r="59" spans="1:54" x14ac:dyDescent="0.2">
      <c r="A59" s="7">
        <v>46104</v>
      </c>
      <c r="B59" s="1" t="s">
        <v>270</v>
      </c>
      <c r="C59" s="1" t="s">
        <v>271</v>
      </c>
      <c r="D59" s="1" t="s">
        <v>272</v>
      </c>
      <c r="E59" s="1" t="s">
        <v>273</v>
      </c>
      <c r="F59" s="1">
        <v>1.56</v>
      </c>
      <c r="G59" s="1">
        <v>4.05</v>
      </c>
      <c r="H59" s="1">
        <v>7.4</v>
      </c>
      <c r="I59" s="1">
        <v>2.52</v>
      </c>
      <c r="J59" s="1">
        <v>1.55</v>
      </c>
      <c r="K59" s="1" t="s">
        <v>51</v>
      </c>
      <c r="L59" s="5">
        <v>0.57940000000000003</v>
      </c>
      <c r="M59" s="5">
        <v>0.24229999999999999</v>
      </c>
      <c r="N59" s="5">
        <v>0.17829999999999999</v>
      </c>
      <c r="O59" s="5">
        <v>0.44619999999999999</v>
      </c>
      <c r="P59" s="5">
        <v>0.55379999999999996</v>
      </c>
      <c r="Q59" s="1">
        <v>5</v>
      </c>
      <c r="R59" s="1">
        <v>0</v>
      </c>
      <c r="S59" s="3"/>
      <c r="T59" s="3"/>
      <c r="U59" s="9" t="str">
        <f t="shared" si="0"/>
        <v>[ACIERTO]</v>
      </c>
      <c r="V59" s="10">
        <f ca="1">IFERROR(__xludf.DUMMYFUNCTION("IF(B59="""", """", IFERROR(IF(VALUE(REGEXEXTRACT(TO_TEXT(Y59), ""[0-9.,]+"")) &gt; 0, IF(ISNUMBER(SEARCH(""[GANADA]"", W59)), VALUE(REGEXEXTRACT(TO_TEXT(Y59), ""[0-9.,]+"")) * (IF(ISNUMBER(SEARCH(""LOCAL"", W59)), VALUE(REGEXEXTRACT(TO_TEXT(F59), ""[0-9.,]+"&amp;""")), IF(ISNUMBER(SEARCH(""EMPATE"", W59)), VALUE(REGEXEXTRACT(TO_TEXT(G59), ""[0-9.,]+"")), VALUE(REGEXEXTRACT(TO_TEXT(H59), ""[0-9.,]+"")))) - 1), IF(ISNUMBER(SEARCH(""[PERDIDA]"", W59)), -VALUE(REGEXEXTRACT(TO_TEXT(Y59), ""[0-9.,]+"")), 0)), 0), 0) + I"&amp;"FERROR(IF(VALUE(REGEXEXTRACT(TO_TEXT(Z59), ""[0-9.,]+"")) &gt; 0, IF(ISNUMBER(SEARCH(""[GANADA]"", X59)), VALUE(REGEXEXTRACT(TO_TEXT(Z59), ""[0-9.,]+"")) * (IF(ISNUMBER(SEARCH(""OVER"", X59)), VALUE(REGEXEXTRACT(TO_TEXT(I59), ""[0-9.,]+"")), VALUE(REGEXEXTRA"&amp;"CT(TO_TEXT(J59), ""[0-9.,]+""))) - 1), IF(ISNUMBER(SEARCH(""[PERDIDA]"", X59)), -VALUE(REGEXEXTRACT(TO_TEXT(Z59), ""[0-9.,]+"")), 0)), 0), 0))"),0)</f>
        <v>0</v>
      </c>
      <c r="W59" s="1" t="s">
        <v>57</v>
      </c>
      <c r="X59" s="1" t="s">
        <v>63</v>
      </c>
      <c r="Y59" s="11">
        <v>0</v>
      </c>
      <c r="Z59" s="11">
        <v>0</v>
      </c>
      <c r="AA59" s="4" t="e">
        <f t="shared" ca="1" si="6"/>
        <v>#NAME?</v>
      </c>
      <c r="AB59" s="5" t="e">
        <f t="shared" ca="1" si="1"/>
        <v>#NAME?</v>
      </c>
      <c r="AC59" s="6" t="e">
        <f t="shared" ca="1" si="2"/>
        <v>#NAME?</v>
      </c>
      <c r="AD59" s="6"/>
      <c r="AE59" s="6"/>
      <c r="AF59" s="6" t="b">
        <v>0</v>
      </c>
      <c r="AG59" s="5"/>
      <c r="AH59" s="1"/>
      <c r="AI59" s="1"/>
      <c r="AJ59" s="1"/>
      <c r="AK59" s="1"/>
      <c r="AL59" s="1"/>
      <c r="AM59" s="1"/>
      <c r="AN59" s="5" t="e">
        <f t="shared" ca="1" si="3"/>
        <v>#NAME?</v>
      </c>
      <c r="AO59" s="1" t="e">
        <f t="shared" ca="1" si="4"/>
        <v>#NAME?</v>
      </c>
      <c r="AP59" s="1"/>
      <c r="AQ59" s="1" t="e">
        <f t="shared" ca="1" si="5"/>
        <v>#NAME?</v>
      </c>
      <c r="AR59" s="1"/>
      <c r="AS59" s="1"/>
      <c r="AT59" s="1"/>
      <c r="AU59" s="1"/>
      <c r="AV59" s="1"/>
      <c r="AW59" s="1"/>
      <c r="AX59" s="5"/>
      <c r="AY59" s="5"/>
      <c r="AZ59" s="1"/>
      <c r="BA59" s="1"/>
      <c r="BB59" s="1" t="s">
        <v>69</v>
      </c>
    </row>
    <row r="60" spans="1:54" x14ac:dyDescent="0.2">
      <c r="A60" s="7">
        <v>46104</v>
      </c>
      <c r="B60" s="1" t="s">
        <v>274</v>
      </c>
      <c r="C60" s="1" t="s">
        <v>275</v>
      </c>
      <c r="D60" s="1" t="s">
        <v>276</v>
      </c>
      <c r="E60" s="1" t="s">
        <v>277</v>
      </c>
      <c r="F60" s="1">
        <v>2.75</v>
      </c>
      <c r="G60" s="1">
        <v>3.1</v>
      </c>
      <c r="H60" s="1">
        <v>3.25</v>
      </c>
      <c r="I60" s="1">
        <v>2.42</v>
      </c>
      <c r="J60" s="1">
        <v>1.55</v>
      </c>
      <c r="K60" s="1" t="s">
        <v>51</v>
      </c>
      <c r="L60" s="5">
        <v>0.36430000000000001</v>
      </c>
      <c r="M60" s="5">
        <v>0.27050000000000002</v>
      </c>
      <c r="N60" s="5">
        <v>0.36520000000000002</v>
      </c>
      <c r="O60" s="5">
        <v>0.4546</v>
      </c>
      <c r="P60" s="5">
        <v>0.5454</v>
      </c>
      <c r="Q60" s="1">
        <v>2</v>
      </c>
      <c r="R60" s="1">
        <v>0</v>
      </c>
      <c r="S60" s="3"/>
      <c r="T60" s="3"/>
      <c r="U60" s="9" t="str">
        <f t="shared" si="0"/>
        <v>[PASAR] Margen Insuficiente (&lt;5%)</v>
      </c>
      <c r="V60" s="10">
        <f ca="1">IFERROR(__xludf.DUMMYFUNCTION("IF(B60="""", """", IFERROR(IF(VALUE(REGEXEXTRACT(TO_TEXT(Y60), ""[0-9.,]+"")) &gt; 0, IF(ISNUMBER(SEARCH(""[GANADA]"", W60)), VALUE(REGEXEXTRACT(TO_TEXT(Y60), ""[0-9.,]+"")) * (IF(ISNUMBER(SEARCH(""LOCAL"", W60)), VALUE(REGEXEXTRACT(TO_TEXT(F60), ""[0-9.,]+"&amp;""")), IF(ISNUMBER(SEARCH(""EMPATE"", W60)), VALUE(REGEXEXTRACT(TO_TEXT(G60), ""[0-9.,]+"")), VALUE(REGEXEXTRACT(TO_TEXT(H60), ""[0-9.,]+"")))) - 1), IF(ISNUMBER(SEARCH(""[PERDIDA]"", W60)), -VALUE(REGEXEXTRACT(TO_TEXT(Y60), ""[0-9.,]+"")), 0)), 0), 0) + I"&amp;"FERROR(IF(VALUE(REGEXEXTRACT(TO_TEXT(Z60), ""[0-9.,]+"")) &gt; 0, IF(ISNUMBER(SEARCH(""[GANADA]"", X60)), VALUE(REGEXEXTRACT(TO_TEXT(Z60), ""[0-9.,]+"")) * (IF(ISNUMBER(SEARCH(""OVER"", X60)), VALUE(REGEXEXTRACT(TO_TEXT(I60), ""[0-9.,]+"")), VALUE(REGEXEXTRA"&amp;"CT(TO_TEXT(J60), ""[0-9.,]+""))) - 1), IF(ISNUMBER(SEARCH(""[PERDIDA]"", X60)), -VALUE(REGEXEXTRACT(TO_TEXT(Z60), ""[0-9.,]+"")), 0)), 0), 0))"),0)</f>
        <v>0</v>
      </c>
      <c r="W60" s="1" t="s">
        <v>82</v>
      </c>
      <c r="X60" s="1" t="s">
        <v>63</v>
      </c>
      <c r="Y60" s="11">
        <v>0</v>
      </c>
      <c r="Z60" s="11">
        <v>0</v>
      </c>
      <c r="AA60" s="4" t="e">
        <f t="shared" ca="1" si="6"/>
        <v>#NAME?</v>
      </c>
      <c r="AB60" s="5" t="e">
        <f t="shared" ca="1" si="1"/>
        <v>#NAME?</v>
      </c>
      <c r="AC60" s="6" t="e">
        <f t="shared" ca="1" si="2"/>
        <v>#NAME?</v>
      </c>
      <c r="AD60" s="6"/>
      <c r="AE60" s="6"/>
      <c r="AF60" s="6" t="b">
        <v>0</v>
      </c>
      <c r="AG60" s="5"/>
      <c r="AH60" s="1"/>
      <c r="AI60" s="1"/>
      <c r="AJ60" s="1"/>
      <c r="AK60" s="1"/>
      <c r="AL60" s="1"/>
      <c r="AM60" s="1"/>
      <c r="AN60" s="5" t="e">
        <f t="shared" ca="1" si="3"/>
        <v>#NAME?</v>
      </c>
      <c r="AO60" s="1" t="e">
        <f t="shared" ca="1" si="4"/>
        <v>#NAME?</v>
      </c>
      <c r="AP60" s="1"/>
      <c r="AQ60" s="1" t="e">
        <f t="shared" ca="1" si="5"/>
        <v>#NAME?</v>
      </c>
      <c r="AR60" s="1"/>
      <c r="AS60" s="1"/>
      <c r="AT60" s="1"/>
      <c r="AU60" s="1"/>
      <c r="AV60" s="1"/>
      <c r="AW60" s="1"/>
      <c r="AX60" s="5"/>
      <c r="AY60" s="5"/>
      <c r="AZ60" s="1"/>
      <c r="BA60" s="1"/>
      <c r="BB60" s="5"/>
    </row>
    <row r="61" spans="1:54" x14ac:dyDescent="0.2">
      <c r="A61" s="7">
        <v>46105</v>
      </c>
      <c r="B61" s="1" t="s">
        <v>278</v>
      </c>
      <c r="C61" s="1" t="s">
        <v>279</v>
      </c>
      <c r="D61" s="1" t="s">
        <v>280</v>
      </c>
      <c r="E61" s="1" t="s">
        <v>55</v>
      </c>
      <c r="F61" s="1">
        <v>1.83</v>
      </c>
      <c r="G61" s="1">
        <v>3.18</v>
      </c>
      <c r="H61" s="1">
        <v>5.9</v>
      </c>
      <c r="I61" s="1">
        <v>3.05</v>
      </c>
      <c r="J61" s="1">
        <v>1.37</v>
      </c>
      <c r="K61" s="1" t="s">
        <v>51</v>
      </c>
      <c r="L61" s="5">
        <v>0.44629999999999997</v>
      </c>
      <c r="M61" s="5">
        <v>0.28129999999999999</v>
      </c>
      <c r="N61" s="5">
        <v>0.27250000000000002</v>
      </c>
      <c r="O61" s="5">
        <v>0.39219999999999999</v>
      </c>
      <c r="P61" s="5">
        <v>0.60780000000000001</v>
      </c>
      <c r="Q61" s="1">
        <v>0</v>
      </c>
      <c r="R61" s="1">
        <v>0</v>
      </c>
      <c r="S61" s="3"/>
      <c r="T61" s="3"/>
      <c r="U61" s="9" t="str">
        <f t="shared" si="0"/>
        <v>[FALLO]</v>
      </c>
      <c r="V61" s="10">
        <f ca="1">IFERROR(__xludf.DUMMYFUNCTION("IF(B61="""", """", IFERROR(IF(VALUE(REGEXEXTRACT(TO_TEXT(Y61), ""[0-9.,]+"")) &gt; 0, IF(ISNUMBER(SEARCH(""[GANADA]"", W61)), VALUE(REGEXEXTRACT(TO_TEXT(Y61), ""[0-9.,]+"")) * (IF(ISNUMBER(SEARCH(""LOCAL"", W61)), VALUE(REGEXEXTRACT(TO_TEXT(F61), ""[0-9.,]+"&amp;""")), IF(ISNUMBER(SEARCH(""EMPATE"", W61)), VALUE(REGEXEXTRACT(TO_TEXT(G61), ""[0-9.,]+"")), VALUE(REGEXEXTRACT(TO_TEXT(H61), ""[0-9.,]+"")))) - 1), IF(ISNUMBER(SEARCH(""[PERDIDA]"", W61)), -VALUE(REGEXEXTRACT(TO_TEXT(Y61), ""[0-9.,]+"")), 0)), 0), 0) + I"&amp;"FERROR(IF(VALUE(REGEXEXTRACT(TO_TEXT(Z61), ""[0-9.,]+"")) &gt; 0, IF(ISNUMBER(SEARCH(""[GANADA]"", X61)), VALUE(REGEXEXTRACT(TO_TEXT(Z61), ""[0-9.,]+"")) * (IF(ISNUMBER(SEARCH(""OVER"", X61)), VALUE(REGEXEXTRACT(TO_TEXT(I61), ""[0-9.,]+"")), VALUE(REGEXEXTRA"&amp;"CT(TO_TEXT(J61), ""[0-9.,]+""))) - 1), IF(ISNUMBER(SEARCH(""[PERDIDA]"", X61)), -VALUE(REGEXEXTRACT(TO_TEXT(Z61), ""[0-9.,]+"")), 0)), 0), 0))"),0)</f>
        <v>0</v>
      </c>
      <c r="W61" s="1" t="s">
        <v>57</v>
      </c>
      <c r="X61" s="1" t="s">
        <v>57</v>
      </c>
      <c r="Y61" s="11">
        <v>0</v>
      </c>
      <c r="Z61" s="11">
        <v>0</v>
      </c>
      <c r="AA61" s="4" t="e">
        <f t="shared" ca="1" si="6"/>
        <v>#NAME?</v>
      </c>
      <c r="AB61" s="5" t="e">
        <f t="shared" ca="1" si="1"/>
        <v>#NAME?</v>
      </c>
      <c r="AC61" s="6" t="e">
        <f t="shared" ca="1" si="2"/>
        <v>#NAME?</v>
      </c>
      <c r="AD61" s="6"/>
      <c r="AE61" s="6"/>
      <c r="AF61" s="6" t="b">
        <v>0</v>
      </c>
      <c r="AG61" s="5"/>
      <c r="AH61" s="1"/>
      <c r="AI61" s="1"/>
      <c r="AJ61" s="1"/>
      <c r="AK61" s="1"/>
      <c r="AL61" s="1"/>
      <c r="AM61" s="1"/>
      <c r="AN61" s="5" t="e">
        <f t="shared" ca="1" si="3"/>
        <v>#NAME?</v>
      </c>
      <c r="AO61" s="1" t="e">
        <f t="shared" ca="1" si="4"/>
        <v>#NAME?</v>
      </c>
      <c r="AP61" s="1"/>
      <c r="AQ61" s="1" t="e">
        <f t="shared" ca="1" si="5"/>
        <v>#NAME?</v>
      </c>
      <c r="AR61" s="1"/>
      <c r="AS61" s="1"/>
      <c r="AT61" s="1"/>
      <c r="AU61" s="1"/>
      <c r="AV61" s="1"/>
      <c r="AW61" s="1"/>
      <c r="AX61" s="5"/>
      <c r="AY61" s="5"/>
      <c r="AZ61" s="1"/>
      <c r="BA61" s="1"/>
      <c r="BB61" s="1" t="s">
        <v>69</v>
      </c>
    </row>
    <row r="62" spans="1:54" x14ac:dyDescent="0.2">
      <c r="A62" s="7">
        <v>46106</v>
      </c>
      <c r="B62" s="1" t="s">
        <v>281</v>
      </c>
      <c r="C62" s="1" t="s">
        <v>282</v>
      </c>
      <c r="D62" s="1" t="s">
        <v>86</v>
      </c>
      <c r="E62" s="1" t="s">
        <v>80</v>
      </c>
      <c r="F62" s="1">
        <v>2.5499999999999998</v>
      </c>
      <c r="G62" s="1">
        <v>2.75</v>
      </c>
      <c r="H62" s="1">
        <v>3.66</v>
      </c>
      <c r="I62" s="1">
        <v>3.55</v>
      </c>
      <c r="J62" s="1">
        <v>1.29</v>
      </c>
      <c r="K62" s="1" t="s">
        <v>51</v>
      </c>
      <c r="L62" s="5">
        <v>0.40949999999999998</v>
      </c>
      <c r="M62" s="5">
        <v>0.31419999999999998</v>
      </c>
      <c r="N62" s="5">
        <v>0.27629999999999999</v>
      </c>
      <c r="O62" s="5">
        <v>0.29759999999999998</v>
      </c>
      <c r="P62" s="5">
        <v>0.70240000000000002</v>
      </c>
      <c r="Q62" s="1">
        <v>1</v>
      </c>
      <c r="R62" s="1">
        <v>1</v>
      </c>
      <c r="S62" s="3"/>
      <c r="T62" s="3"/>
      <c r="U62" s="9" t="str">
        <f t="shared" si="0"/>
        <v>[FALLO]</v>
      </c>
      <c r="V62" s="10">
        <f ca="1">IFERROR(__xludf.DUMMYFUNCTION("IF(B62="""", """", IFERROR(IF(VALUE(REGEXEXTRACT(TO_TEXT(Y62), ""[0-9.,]+"")) &gt; 0, IF(ISNUMBER(SEARCH(""[GANADA]"", W62)), VALUE(REGEXEXTRACT(TO_TEXT(Y62), ""[0-9.,]+"")) * (IF(ISNUMBER(SEARCH(""LOCAL"", W62)), VALUE(REGEXEXTRACT(TO_TEXT(F62), ""[0-9.,]+"&amp;""")), IF(ISNUMBER(SEARCH(""EMPATE"", W62)), VALUE(REGEXEXTRACT(TO_TEXT(G62), ""[0-9.,]+"")), VALUE(REGEXEXTRACT(TO_TEXT(H62), ""[0-9.,]+"")))) - 1), IF(ISNUMBER(SEARCH(""[PERDIDA]"", W62)), -VALUE(REGEXEXTRACT(TO_TEXT(Y62), ""[0-9.,]+"")), 0)), 0), 0) + I"&amp;"FERROR(IF(VALUE(REGEXEXTRACT(TO_TEXT(Z62), ""[0-9.,]+"")) &gt; 0, IF(ISNUMBER(SEARCH(""[GANADA]"", X62)), VALUE(REGEXEXTRACT(TO_TEXT(Z62), ""[0-9.,]+"")) * (IF(ISNUMBER(SEARCH(""OVER"", X62)), VALUE(REGEXEXTRACT(TO_TEXT(I62), ""[0-9.,]+"")), VALUE(REGEXEXTRA"&amp;"CT(TO_TEXT(J62), ""[0-9.,]+""))) - 1), IF(ISNUMBER(SEARCH(""[PERDIDA]"", X62)), -VALUE(REGEXEXTRACT(TO_TEXT(Z62), ""[0-9.,]+"")), 0)), 0), 0))"),-2500)</f>
        <v>-2500</v>
      </c>
      <c r="W62" s="1" t="s">
        <v>283</v>
      </c>
      <c r="X62" s="1" t="s">
        <v>57</v>
      </c>
      <c r="Y62" s="4">
        <v>2500</v>
      </c>
      <c r="Z62" s="12">
        <v>0</v>
      </c>
      <c r="AA62" s="4" t="e">
        <f t="shared" ca="1" si="6"/>
        <v>#NAME?</v>
      </c>
      <c r="AB62" s="5" t="e">
        <f t="shared" ca="1" si="1"/>
        <v>#NAME?</v>
      </c>
      <c r="AC62" s="6" t="e">
        <f t="shared" ca="1" si="2"/>
        <v>#NAME?</v>
      </c>
      <c r="AD62" s="6"/>
      <c r="AE62" s="6"/>
      <c r="AF62" s="6" t="b">
        <v>0</v>
      </c>
      <c r="AG62" s="5"/>
      <c r="AH62" s="1"/>
      <c r="AI62" s="1"/>
      <c r="AJ62" s="1"/>
      <c r="AK62" s="1"/>
      <c r="AL62" s="1"/>
      <c r="AM62" s="1"/>
      <c r="AN62" s="5" t="e">
        <f t="shared" ca="1" si="3"/>
        <v>#NAME?</v>
      </c>
      <c r="AO62" s="1" t="e">
        <f t="shared" ca="1" si="4"/>
        <v>#NAME?</v>
      </c>
      <c r="AP62" s="1"/>
      <c r="AQ62" s="1" t="e">
        <f t="shared" ca="1" si="5"/>
        <v>#NAME?</v>
      </c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</row>
    <row r="63" spans="1:54" x14ac:dyDescent="0.2">
      <c r="A63" s="7">
        <v>46107</v>
      </c>
      <c r="B63" s="1" t="s">
        <v>284</v>
      </c>
      <c r="C63" s="1" t="s">
        <v>285</v>
      </c>
      <c r="D63" s="1" t="s">
        <v>268</v>
      </c>
      <c r="E63" s="1" t="s">
        <v>93</v>
      </c>
      <c r="F63" s="1"/>
      <c r="G63" s="1"/>
      <c r="H63" s="1"/>
      <c r="I63" s="1"/>
      <c r="J63" s="1"/>
      <c r="K63" s="1" t="s">
        <v>51</v>
      </c>
      <c r="L63" s="5">
        <v>0.49590000000000001</v>
      </c>
      <c r="M63" s="5">
        <v>0.26790000000000003</v>
      </c>
      <c r="N63" s="5">
        <v>0.23619999999999999</v>
      </c>
      <c r="O63" s="5">
        <v>0.4153</v>
      </c>
      <c r="P63" s="5">
        <v>0.5847</v>
      </c>
      <c r="Q63" s="15">
        <v>2</v>
      </c>
      <c r="R63" s="15">
        <v>1</v>
      </c>
      <c r="S63" s="3"/>
      <c r="T63" s="3"/>
      <c r="U63" s="9" t="str">
        <f t="shared" si="0"/>
        <v>[ACIERTO]</v>
      </c>
      <c r="V63" s="10">
        <f ca="1">IFERROR(__xludf.DUMMYFUNCTION("IF(B63="""", """", IFERROR(IF(VALUE(REGEXEXTRACT(TO_TEXT(Y63), ""[0-9.,]+"")) &gt; 0, IF(ISNUMBER(SEARCH(""[GANADA]"", W63)), VALUE(REGEXEXTRACT(TO_TEXT(Y63), ""[0-9.,]+"")) * (IF(ISNUMBER(SEARCH(""LOCAL"", W63)), VALUE(REGEXEXTRACT(TO_TEXT(F63), ""[0-9.,]+"&amp;""")), IF(ISNUMBER(SEARCH(""EMPATE"", W63)), VALUE(REGEXEXTRACT(TO_TEXT(G63), ""[0-9.,]+"")), VALUE(REGEXEXTRACT(TO_TEXT(H63), ""[0-9.,]+"")))) - 1), IF(ISNUMBER(SEARCH(""[PERDIDA]"", W63)), -VALUE(REGEXEXTRACT(TO_TEXT(Y63), ""[0-9.,]+"")), 0)), 0), 0) + I"&amp;"FERROR(IF(VALUE(REGEXEXTRACT(TO_TEXT(Z63), ""[0-9.,]+"")) &gt; 0, IF(ISNUMBER(SEARCH(""[GANADA]"", X63)), VALUE(REGEXEXTRACT(TO_TEXT(Z63), ""[0-9.,]+"")) * (IF(ISNUMBER(SEARCH(""OVER"", X63)), VALUE(REGEXEXTRACT(TO_TEXT(I63), ""[0-9.,]+"")), VALUE(REGEXEXTRA"&amp;"CT(TO_TEXT(J63), ""[0-9.,]+""))) - 1), IF(ISNUMBER(SEARCH(""[PERDIDA]"", X63)), -VALUE(REGEXEXTRACT(TO_TEXT(Z63), ""[0-9.,]+"")), 0)), 0), 0))"),0)</f>
        <v>0</v>
      </c>
      <c r="W63" s="1" t="s">
        <v>52</v>
      </c>
      <c r="X63" s="1" t="s">
        <v>52</v>
      </c>
      <c r="Y63" s="11">
        <v>0</v>
      </c>
      <c r="Z63" s="11">
        <v>0</v>
      </c>
      <c r="AA63" s="4" t="e">
        <f t="shared" ca="1" si="6"/>
        <v>#NAME?</v>
      </c>
      <c r="AB63" s="5" t="e">
        <f t="shared" ca="1" si="1"/>
        <v>#NAME?</v>
      </c>
      <c r="AC63" s="6" t="e">
        <f t="shared" ca="1" si="2"/>
        <v>#NAME?</v>
      </c>
      <c r="AD63" s="6"/>
      <c r="AE63" s="6"/>
      <c r="AF63" s="6" t="b">
        <v>0</v>
      </c>
      <c r="AG63" s="5"/>
      <c r="AH63" s="1"/>
      <c r="AI63" s="1"/>
      <c r="AJ63" s="1"/>
      <c r="AK63" s="1"/>
      <c r="AL63" s="1"/>
      <c r="AM63" s="1"/>
      <c r="AN63" s="5" t="e">
        <f t="shared" ca="1" si="3"/>
        <v>#NAME?</v>
      </c>
      <c r="AO63" s="1" t="e">
        <f t="shared" ca="1" si="4"/>
        <v>#NAME?</v>
      </c>
      <c r="AP63" s="1"/>
      <c r="AQ63" s="1" t="str">
        <f t="shared" si="5"/>
        <v/>
      </c>
      <c r="AR63" s="1"/>
      <c r="AS63" s="1"/>
      <c r="AT63" s="1"/>
      <c r="AU63" s="1"/>
      <c r="AV63" s="1"/>
      <c r="AW63" s="1"/>
      <c r="AX63" s="5"/>
      <c r="AY63" s="5"/>
      <c r="AZ63" s="1"/>
      <c r="BA63" s="1"/>
      <c r="BB63" s="1" t="s">
        <v>69</v>
      </c>
    </row>
    <row r="64" spans="1:54" x14ac:dyDescent="0.2">
      <c r="A64" s="7">
        <v>46110</v>
      </c>
      <c r="B64" s="1" t="s">
        <v>286</v>
      </c>
      <c r="C64" s="1" t="s">
        <v>287</v>
      </c>
      <c r="D64" s="1" t="s">
        <v>207</v>
      </c>
      <c r="E64" s="1" t="s">
        <v>136</v>
      </c>
      <c r="F64" s="1">
        <v>2</v>
      </c>
      <c r="G64" s="1">
        <v>3.38</v>
      </c>
      <c r="H64" s="1">
        <v>4.0999999999999996</v>
      </c>
      <c r="I64" s="1"/>
      <c r="J64" s="1"/>
      <c r="K64" s="1" t="s">
        <v>68</v>
      </c>
      <c r="L64" s="5">
        <v>0.47920000000000001</v>
      </c>
      <c r="M64" s="5">
        <v>0.25030000000000002</v>
      </c>
      <c r="N64" s="5">
        <v>0.27039999999999997</v>
      </c>
      <c r="O64" s="5">
        <v>0.50690000000000002</v>
      </c>
      <c r="P64" s="5">
        <v>0.49309999999999998</v>
      </c>
      <c r="Q64" s="1">
        <v>4</v>
      </c>
      <c r="R64" s="1">
        <v>1</v>
      </c>
      <c r="S64" s="3"/>
      <c r="T64" s="3"/>
      <c r="U64" s="9" t="str">
        <f t="shared" si="0"/>
        <v>[ACIERTO]</v>
      </c>
      <c r="V64" s="10">
        <f ca="1">IFERROR(__xludf.DUMMYFUNCTION("IF(B64="""", """", IFERROR(IF(VALUE(REGEXEXTRACT(TO_TEXT(Y64), ""[0-9.,]+"")) &gt; 0, IF(ISNUMBER(SEARCH(""[GANADA]"", W64)), VALUE(REGEXEXTRACT(TO_TEXT(Y64), ""[0-9.,]+"")) * (IF(ISNUMBER(SEARCH(""LOCAL"", W64)), VALUE(REGEXEXTRACT(TO_TEXT(F64), ""[0-9.,]+"&amp;""")), IF(ISNUMBER(SEARCH(""EMPATE"", W64)), VALUE(REGEXEXTRACT(TO_TEXT(G64), ""[0-9.,]+"")), VALUE(REGEXEXTRACT(TO_TEXT(H64), ""[0-9.,]+"")))) - 1), IF(ISNUMBER(SEARCH(""[PERDIDA]"", W64)), -VALUE(REGEXEXTRACT(TO_TEXT(Y64), ""[0-9.,]+"")), 0)), 0), 0) + I"&amp;"FERROR(IF(VALUE(REGEXEXTRACT(TO_TEXT(Z64), ""[0-9.,]+"")) &gt; 0, IF(ISNUMBER(SEARCH(""[GANADA]"", X64)), VALUE(REGEXEXTRACT(TO_TEXT(Z64), ""[0-9.,]+"")) * (IF(ISNUMBER(SEARCH(""OVER"", X64)), VALUE(REGEXEXTRACT(TO_TEXT(I64), ""[0-9.,]+"")), VALUE(REGEXEXTRA"&amp;"CT(TO_TEXT(J64), ""[0-9.,]+""))) - 1), IF(ISNUMBER(SEARCH(""[PERDIDA]"", X64)), -VALUE(REGEXEXTRACT(TO_TEXT(Z64), ""[0-9.,]+"")), 0)), 0), 0))"),-2500)</f>
        <v>-2500</v>
      </c>
      <c r="W64" s="1" t="s">
        <v>288</v>
      </c>
      <c r="X64" s="1" t="s">
        <v>52</v>
      </c>
      <c r="Y64" s="11">
        <v>2500</v>
      </c>
      <c r="Z64" s="11">
        <v>0</v>
      </c>
      <c r="AA64" s="4" t="e">
        <f t="shared" ca="1" si="6"/>
        <v>#NAME?</v>
      </c>
      <c r="AB64" s="5" t="e">
        <f t="shared" ca="1" si="1"/>
        <v>#NAME?</v>
      </c>
      <c r="AC64" s="6" t="e">
        <f t="shared" ca="1" si="2"/>
        <v>#NAME?</v>
      </c>
      <c r="AD64" s="6"/>
      <c r="AE64" s="6"/>
      <c r="AF64" s="6" t="b">
        <v>0</v>
      </c>
      <c r="AG64" s="5"/>
      <c r="AH64" s="1"/>
      <c r="AI64" s="1"/>
      <c r="AJ64" s="1"/>
      <c r="AK64" s="1"/>
      <c r="AL64" s="1"/>
      <c r="AM64" s="1"/>
      <c r="AN64" s="5" t="e">
        <f t="shared" ca="1" si="3"/>
        <v>#NAME?</v>
      </c>
      <c r="AO64" s="1" t="e">
        <f t="shared" ca="1" si="4"/>
        <v>#NAME?</v>
      </c>
      <c r="AP64" s="1"/>
      <c r="AQ64" s="1" t="e">
        <f t="shared" ca="1" si="5"/>
        <v>#NAME?</v>
      </c>
      <c r="AR64" s="1"/>
      <c r="AS64" s="1"/>
      <c r="AT64" s="1"/>
      <c r="AU64" s="1"/>
      <c r="AV64" s="1"/>
      <c r="AW64" s="1"/>
      <c r="AX64" s="5"/>
      <c r="AY64" s="5"/>
      <c r="AZ64" s="1"/>
      <c r="BA64" s="1"/>
      <c r="BB64" s="1" t="s">
        <v>69</v>
      </c>
    </row>
    <row r="65" spans="1:54" x14ac:dyDescent="0.2">
      <c r="A65" s="7">
        <v>46112</v>
      </c>
      <c r="B65" s="1" t="s">
        <v>289</v>
      </c>
      <c r="C65" s="1" t="s">
        <v>290</v>
      </c>
      <c r="D65" s="1" t="s">
        <v>49</v>
      </c>
      <c r="E65" s="1" t="s">
        <v>268</v>
      </c>
      <c r="F65" s="1">
        <v>4.68</v>
      </c>
      <c r="G65" s="1">
        <v>3.12</v>
      </c>
      <c r="H65" s="1">
        <v>1.97</v>
      </c>
      <c r="I65" s="1">
        <v>2.38</v>
      </c>
      <c r="J65" s="1">
        <v>1.56</v>
      </c>
      <c r="K65" s="1" t="s">
        <v>51</v>
      </c>
      <c r="L65" s="5">
        <v>0.35920000000000002</v>
      </c>
      <c r="M65" s="5">
        <v>0.28499999999999998</v>
      </c>
      <c r="N65" s="5">
        <v>0.35570000000000002</v>
      </c>
      <c r="O65" s="5">
        <v>0.3992</v>
      </c>
      <c r="P65" s="5">
        <v>0.6008</v>
      </c>
      <c r="Q65" s="1">
        <v>0</v>
      </c>
      <c r="R65" s="1">
        <v>2</v>
      </c>
      <c r="S65" s="3"/>
      <c r="T65" s="3"/>
      <c r="U65" s="9" t="str">
        <f t="shared" si="0"/>
        <v>[PASAR] Margen Insuficiente (&lt;5%)</v>
      </c>
      <c r="V65" s="10">
        <f ca="1">IFERROR(__xludf.DUMMYFUNCTION("IF(B65="""", """", IFERROR(IF(VALUE(REGEXEXTRACT(TO_TEXT(Y65), ""[0-9.,]+"")) &gt; 0, IF(ISNUMBER(SEARCH(""[GANADA]"", W65)), VALUE(REGEXEXTRACT(TO_TEXT(Y65), ""[0-9.,]+"")) * (IF(ISNUMBER(SEARCH(""LOCAL"", W65)), VALUE(REGEXEXTRACT(TO_TEXT(F65), ""[0-9.,]+"&amp;""")), IF(ISNUMBER(SEARCH(""EMPATE"", W65)), VALUE(REGEXEXTRACT(TO_TEXT(G65), ""[0-9.,]+"")), VALUE(REGEXEXTRACT(TO_TEXT(H65), ""[0-9.,]+"")))) - 1), IF(ISNUMBER(SEARCH(""[PERDIDA]"", W65)), -VALUE(REGEXEXTRACT(TO_TEXT(Y65), ""[0-9.,]+"")), 0)), 0), 0) + I"&amp;"FERROR(IF(VALUE(REGEXEXTRACT(TO_TEXT(Z65), ""[0-9.,]+"")) &gt; 0, IF(ISNUMBER(SEARCH(""[GANADA]"", X65)), VALUE(REGEXEXTRACT(TO_TEXT(Z65), ""[0-9.,]+"")) * (IF(ISNUMBER(SEARCH(""OVER"", X65)), VALUE(REGEXEXTRACT(TO_TEXT(I65), ""[0-9.,]+"")), VALUE(REGEXEXTRA"&amp;"CT(TO_TEXT(J65), ""[0-9.,]+""))) - 1), IF(ISNUMBER(SEARCH(""[PERDIDA]"", X65)), -VALUE(REGEXEXTRACT(TO_TEXT(Z65), ""[0-9.,]+"")), 0)), 0), 0))"),0)</f>
        <v>0</v>
      </c>
      <c r="W65" s="1" t="s">
        <v>82</v>
      </c>
      <c r="X65" s="1" t="s">
        <v>57</v>
      </c>
      <c r="Y65" s="11">
        <v>0</v>
      </c>
      <c r="Z65" s="11">
        <v>0</v>
      </c>
      <c r="AA65" s="4" t="e">
        <f t="shared" ca="1" si="6"/>
        <v>#NAME?</v>
      </c>
      <c r="AB65" s="5" t="e">
        <f t="shared" ca="1" si="1"/>
        <v>#NAME?</v>
      </c>
      <c r="AC65" s="6" t="e">
        <f t="shared" ca="1" si="2"/>
        <v>#NAME?</v>
      </c>
      <c r="AD65" s="6"/>
      <c r="AE65" s="6"/>
      <c r="AF65" s="6" t="b">
        <v>0</v>
      </c>
      <c r="AG65" s="5"/>
      <c r="AH65" s="1"/>
      <c r="AI65" s="1"/>
      <c r="AJ65" s="1"/>
      <c r="AK65" s="1"/>
      <c r="AL65" s="1"/>
      <c r="AM65" s="1"/>
      <c r="AN65" s="5" t="e">
        <f t="shared" ca="1" si="3"/>
        <v>#NAME?</v>
      </c>
      <c r="AO65" s="1" t="e">
        <f t="shared" ca="1" si="4"/>
        <v>#NAME?</v>
      </c>
      <c r="AP65" s="1"/>
      <c r="AQ65" s="1" t="e">
        <f t="shared" ca="1" si="5"/>
        <v>#NAME?</v>
      </c>
      <c r="AR65" s="1"/>
      <c r="AS65" s="1"/>
      <c r="AT65" s="1"/>
      <c r="AU65" s="1"/>
      <c r="AV65" s="1"/>
      <c r="AW65" s="1"/>
      <c r="AX65" s="5"/>
      <c r="AY65" s="5"/>
      <c r="AZ65" s="5"/>
      <c r="BA65" s="5"/>
      <c r="BB65" s="1" t="s">
        <v>69</v>
      </c>
    </row>
    <row r="66" spans="1:54" x14ac:dyDescent="0.2">
      <c r="A66" s="7">
        <v>46113</v>
      </c>
      <c r="B66" s="1" t="s">
        <v>291</v>
      </c>
      <c r="C66" s="1" t="s">
        <v>292</v>
      </c>
      <c r="D66" s="1" t="s">
        <v>110</v>
      </c>
      <c r="E66" s="1" t="s">
        <v>207</v>
      </c>
      <c r="F66" s="1">
        <v>4.58</v>
      </c>
      <c r="G66" s="1">
        <v>3.56</v>
      </c>
      <c r="H66" s="1">
        <v>1.87</v>
      </c>
      <c r="I66" s="1">
        <v>2.0099999999999998</v>
      </c>
      <c r="J66" s="1">
        <v>1.83</v>
      </c>
      <c r="K66" s="1" t="s">
        <v>68</v>
      </c>
      <c r="L66" s="5">
        <v>0.51970000000000005</v>
      </c>
      <c r="M66" s="5">
        <v>0.23730000000000001</v>
      </c>
      <c r="N66" s="5">
        <v>0.24299999999999999</v>
      </c>
      <c r="O66" s="5">
        <v>0.54020000000000001</v>
      </c>
      <c r="P66" s="5">
        <v>0.45979999999999999</v>
      </c>
      <c r="Q66" s="1"/>
      <c r="R66" s="1"/>
      <c r="S66" s="3"/>
      <c r="T66" s="3"/>
      <c r="U66" s="9" t="str">
        <f t="shared" si="0"/>
        <v>[PREDICCION] LOCAL</v>
      </c>
      <c r="V66" s="10">
        <f ca="1">IFERROR(__xludf.DUMMYFUNCTION("IF(B66="""", """", IFERROR(IF(VALUE(REGEXEXTRACT(TO_TEXT(Y66), ""[0-9.,]+"")) &gt; 0, IF(ISNUMBER(SEARCH(""[GANADA]"", W66)), VALUE(REGEXEXTRACT(TO_TEXT(Y66), ""[0-9.,]+"")) * (IF(ISNUMBER(SEARCH(""LOCAL"", W66)), VALUE(REGEXEXTRACT(TO_TEXT(F66), ""[0-9.,]+"&amp;""")), IF(ISNUMBER(SEARCH(""EMPATE"", W66)), VALUE(REGEXEXTRACT(TO_TEXT(G66), ""[0-9.,]+"")), VALUE(REGEXEXTRACT(TO_TEXT(H66), ""[0-9.,]+"")))) - 1), IF(ISNUMBER(SEARCH(""[PERDIDA]"", W66)), -VALUE(REGEXEXTRACT(TO_TEXT(Y66), ""[0-9.,]+"")), 0)), 0), 0) + I"&amp;"FERROR(IF(VALUE(REGEXEXTRACT(TO_TEXT(Z66), ""[0-9.,]+"")) &gt; 0, IF(ISNUMBER(SEARCH(""[GANADA]"", X66)), VALUE(REGEXEXTRACT(TO_TEXT(Z66), ""[0-9.,]+"")) * (IF(ISNUMBER(SEARCH(""OVER"", X66)), VALUE(REGEXEXTRACT(TO_TEXT(I66), ""[0-9.,]+"")), VALUE(REGEXEXTRA"&amp;"CT(TO_TEXT(J66), ""[0-9.,]+""))) - 1), IF(ISNUMBER(SEARCH(""[PERDIDA]"", X66)), -VALUE(REGEXEXTRACT(TO_TEXT(Z66), ""[0-9.,]+"")), 0)), 0), 0))"),0)</f>
        <v>0</v>
      </c>
      <c r="W66" s="1" t="str">
        <f t="shared" ref="W66:W68" si="13">IF(OR(Q66="", R66=""), "[APOSTAR] LOCAL", IF(Q66&gt;R66, "[GANADA] LOCAL", "[PERDIDA] LOCAL"))</f>
        <v>[APOSTAR] LOCAL</v>
      </c>
      <c r="X66" s="1" t="s">
        <v>63</v>
      </c>
      <c r="Y66" s="11">
        <v>1250</v>
      </c>
      <c r="Z66" s="11">
        <v>0</v>
      </c>
      <c r="AA66" s="4" t="e">
        <f t="shared" ca="1" si="6"/>
        <v>#NAME?</v>
      </c>
      <c r="AB66" s="5" t="e">
        <f t="shared" ca="1" si="1"/>
        <v>#NAME?</v>
      </c>
      <c r="AC66" s="6" t="e">
        <f t="shared" ca="1" si="2"/>
        <v>#NAME?</v>
      </c>
      <c r="AD66" s="6"/>
      <c r="AE66" s="6"/>
      <c r="AF66" s="6" t="b">
        <v>0</v>
      </c>
      <c r="AG66" s="5"/>
      <c r="AH66" s="1"/>
      <c r="AI66" s="1"/>
      <c r="AJ66" s="1"/>
      <c r="AK66" s="1"/>
      <c r="AL66" s="1"/>
      <c r="AM66" s="1"/>
      <c r="AN66" s="5" t="e">
        <f t="shared" ca="1" si="3"/>
        <v>#NAME?</v>
      </c>
      <c r="AO66" s="1" t="str">
        <f t="shared" si="4"/>
        <v/>
      </c>
      <c r="AP66" s="1"/>
      <c r="AQ66" s="1" t="str">
        <f t="shared" si="5"/>
        <v/>
      </c>
      <c r="AR66" s="1"/>
      <c r="AS66" s="1"/>
      <c r="AT66" s="1"/>
      <c r="AU66" s="1"/>
      <c r="AV66" s="1"/>
      <c r="AW66" s="1"/>
      <c r="AX66" s="5"/>
      <c r="AY66" s="5"/>
      <c r="AZ66" s="1"/>
      <c r="BA66" s="1"/>
      <c r="BB66" s="1" t="s">
        <v>69</v>
      </c>
    </row>
    <row r="67" spans="1:54" x14ac:dyDescent="0.2">
      <c r="A67" s="7">
        <v>46113</v>
      </c>
      <c r="B67" s="1" t="s">
        <v>293</v>
      </c>
      <c r="C67" s="1" t="s">
        <v>294</v>
      </c>
      <c r="D67" s="1" t="s">
        <v>136</v>
      </c>
      <c r="E67" s="1" t="s">
        <v>131</v>
      </c>
      <c r="F67" s="1">
        <v>2.2400000000000002</v>
      </c>
      <c r="G67" s="1">
        <v>3.5</v>
      </c>
      <c r="H67" s="1">
        <v>3.32</v>
      </c>
      <c r="I67" s="1">
        <v>2.21</v>
      </c>
      <c r="J67" s="1">
        <v>1.7</v>
      </c>
      <c r="K67" s="1" t="s">
        <v>68</v>
      </c>
      <c r="L67" s="5">
        <v>0.48749999999999999</v>
      </c>
      <c r="M67" s="5">
        <v>0.24179999999999999</v>
      </c>
      <c r="N67" s="5">
        <v>0.27060000000000001</v>
      </c>
      <c r="O67" s="5">
        <v>0.54349999999999998</v>
      </c>
      <c r="P67" s="5">
        <v>0.45650000000000002</v>
      </c>
      <c r="Q67" s="1"/>
      <c r="R67" s="1"/>
      <c r="S67" s="3"/>
      <c r="T67" s="3"/>
      <c r="U67" s="9" t="str">
        <f t="shared" si="0"/>
        <v>[PREDICCION] LOCAL</v>
      </c>
      <c r="V67" s="10">
        <f ca="1">IFERROR(__xludf.DUMMYFUNCTION("IF(B67="""", """", IFERROR(IF(VALUE(REGEXEXTRACT(TO_TEXT(Y67), ""[0-9.,]+"")) &gt; 0, IF(ISNUMBER(SEARCH(""[GANADA]"", W67)), VALUE(REGEXEXTRACT(TO_TEXT(Y67), ""[0-9.,]+"")) * (IF(ISNUMBER(SEARCH(""LOCAL"", W67)), VALUE(REGEXEXTRACT(TO_TEXT(F67), ""[0-9.,]+"&amp;""")), IF(ISNUMBER(SEARCH(""EMPATE"", W67)), VALUE(REGEXEXTRACT(TO_TEXT(G67), ""[0-9.,]+"")), VALUE(REGEXEXTRACT(TO_TEXT(H67), ""[0-9.,]+"")))) - 1), IF(ISNUMBER(SEARCH(""[PERDIDA]"", W67)), -VALUE(REGEXEXTRACT(TO_TEXT(Y67), ""[0-9.,]+"")), 0)), 0), 0) + I"&amp;"FERROR(IF(VALUE(REGEXEXTRACT(TO_TEXT(Z67), ""[0-9.,]+"")) &gt; 0, IF(ISNUMBER(SEARCH(""[GANADA]"", X67)), VALUE(REGEXEXTRACT(TO_TEXT(Z67), ""[0-9.,]+"")) * (IF(ISNUMBER(SEARCH(""OVER"", X67)), VALUE(REGEXEXTRACT(TO_TEXT(I67), ""[0-9.,]+"")), VALUE(REGEXEXTRA"&amp;"CT(TO_TEXT(J67), ""[0-9.,]+""))) - 1), IF(ISNUMBER(SEARCH(""[PERDIDA]"", X67)), -VALUE(REGEXEXTRACT(TO_TEXT(Z67), ""[0-9.,]+"")), 0)), 0), 0))"),0)</f>
        <v>0</v>
      </c>
      <c r="W67" s="1" t="str">
        <f t="shared" si="13"/>
        <v>[APOSTAR] LOCAL</v>
      </c>
      <c r="X67" s="1" t="s">
        <v>63</v>
      </c>
      <c r="Y67" s="11">
        <v>1250</v>
      </c>
      <c r="Z67" s="11">
        <v>0</v>
      </c>
      <c r="AA67" s="4" t="e">
        <f t="shared" ca="1" si="6"/>
        <v>#NAME?</v>
      </c>
      <c r="AB67" s="5" t="e">
        <f t="shared" ca="1" si="1"/>
        <v>#NAME?</v>
      </c>
      <c r="AC67" s="6" t="e">
        <f t="shared" ca="1" si="2"/>
        <v>#NAME?</v>
      </c>
      <c r="AD67" s="6"/>
      <c r="AE67" s="6"/>
      <c r="AF67" s="6" t="b">
        <v>0</v>
      </c>
      <c r="AG67" s="5"/>
      <c r="AH67" s="1"/>
      <c r="AI67" s="1"/>
      <c r="AJ67" s="1"/>
      <c r="AK67" s="1"/>
      <c r="AL67" s="1"/>
      <c r="AM67" s="1"/>
      <c r="AN67" s="5" t="e">
        <f t="shared" ca="1" si="3"/>
        <v>#NAME?</v>
      </c>
      <c r="AO67" s="1" t="str">
        <f t="shared" si="4"/>
        <v/>
      </c>
      <c r="AP67" s="1"/>
      <c r="AQ67" s="1" t="str">
        <f t="shared" si="5"/>
        <v/>
      </c>
      <c r="AR67" s="1"/>
      <c r="AS67" s="1"/>
      <c r="AT67" s="1"/>
      <c r="AU67" s="1"/>
      <c r="AV67" s="1"/>
      <c r="AW67" s="1"/>
      <c r="AX67" s="5"/>
      <c r="AY67" s="5"/>
      <c r="AZ67" s="5"/>
      <c r="BA67" s="5"/>
      <c r="BB67" s="5"/>
    </row>
    <row r="68" spans="1:54" x14ac:dyDescent="0.2">
      <c r="A68" s="7">
        <v>46113</v>
      </c>
      <c r="B68" s="1" t="s">
        <v>295</v>
      </c>
      <c r="C68" s="1" t="s">
        <v>296</v>
      </c>
      <c r="D68" s="1" t="s">
        <v>132</v>
      </c>
      <c r="E68" s="1" t="s">
        <v>143</v>
      </c>
      <c r="F68" s="1">
        <v>2.62</v>
      </c>
      <c r="G68" s="1">
        <v>3.1</v>
      </c>
      <c r="H68" s="1">
        <v>3.03</v>
      </c>
      <c r="I68" s="1">
        <v>2.23</v>
      </c>
      <c r="J68" s="1">
        <v>1.68</v>
      </c>
      <c r="K68" s="1" t="s">
        <v>68</v>
      </c>
      <c r="L68" s="5">
        <v>0.44059999999999999</v>
      </c>
      <c r="M68" s="5">
        <v>0.24690000000000001</v>
      </c>
      <c r="N68" s="5">
        <v>0.3125</v>
      </c>
      <c r="O68" s="5">
        <v>0.54490000000000005</v>
      </c>
      <c r="P68" s="5">
        <v>0.4551</v>
      </c>
      <c r="Q68" s="1"/>
      <c r="R68" s="1"/>
      <c r="S68" s="3"/>
      <c r="T68" s="3"/>
      <c r="U68" s="9" t="str">
        <f t="shared" si="0"/>
        <v>[PREDICCION] LOCAL</v>
      </c>
      <c r="V68" s="10">
        <f ca="1">IFERROR(__xludf.DUMMYFUNCTION("IF(B68="""", """", IFERROR(IF(VALUE(REGEXEXTRACT(TO_TEXT(Y68), ""[0-9.,]+"")) &gt; 0, IF(ISNUMBER(SEARCH(""[GANADA]"", W68)), VALUE(REGEXEXTRACT(TO_TEXT(Y68), ""[0-9.,]+"")) * (IF(ISNUMBER(SEARCH(""LOCAL"", W68)), VALUE(REGEXEXTRACT(TO_TEXT(F68), ""[0-9.,]+"&amp;""")), IF(ISNUMBER(SEARCH(""EMPATE"", W68)), VALUE(REGEXEXTRACT(TO_TEXT(G68), ""[0-9.,]+"")), VALUE(REGEXEXTRACT(TO_TEXT(H68), ""[0-9.,]+"")))) - 1), IF(ISNUMBER(SEARCH(""[PERDIDA]"", W68)), -VALUE(REGEXEXTRACT(TO_TEXT(Y68), ""[0-9.,]+"")), 0)), 0), 0) + I"&amp;"FERROR(IF(VALUE(REGEXEXTRACT(TO_TEXT(Z68), ""[0-9.,]+"")) &gt; 0, IF(ISNUMBER(SEARCH(""[GANADA]"", X68)), VALUE(REGEXEXTRACT(TO_TEXT(Z68), ""[0-9.,]+"")) * (IF(ISNUMBER(SEARCH(""OVER"", X68)), VALUE(REGEXEXTRACT(TO_TEXT(I68), ""[0-9.,]+"")), VALUE(REGEXEXTRA"&amp;"CT(TO_TEXT(J68), ""[0-9.,]+""))) - 1), IF(ISNUMBER(SEARCH(""[PERDIDA]"", X68)), -VALUE(REGEXEXTRACT(TO_TEXT(Z68), ""[0-9.,]+"")), 0)), 0), 0))"),0)</f>
        <v>0</v>
      </c>
      <c r="W68" s="1" t="str">
        <f t="shared" si="13"/>
        <v>[APOSTAR] LOCAL</v>
      </c>
      <c r="X68" s="1" t="s">
        <v>63</v>
      </c>
      <c r="Y68" s="11">
        <v>1250</v>
      </c>
      <c r="Z68" s="11">
        <v>0</v>
      </c>
      <c r="AA68" s="4" t="e">
        <f t="shared" ca="1" si="6"/>
        <v>#NAME?</v>
      </c>
      <c r="AB68" s="5" t="e">
        <f t="shared" ca="1" si="1"/>
        <v>#NAME?</v>
      </c>
      <c r="AC68" s="6" t="e">
        <f t="shared" ca="1" si="2"/>
        <v>#NAME?</v>
      </c>
      <c r="AD68" s="6"/>
      <c r="AE68" s="6"/>
      <c r="AF68" s="6" t="b">
        <v>0</v>
      </c>
      <c r="AG68" s="5"/>
      <c r="AH68" s="1"/>
      <c r="AI68" s="1"/>
      <c r="AJ68" s="1"/>
      <c r="AK68" s="1"/>
      <c r="AL68" s="1"/>
      <c r="AM68" s="1"/>
      <c r="AN68" s="5" t="e">
        <f t="shared" ca="1" si="3"/>
        <v>#NAME?</v>
      </c>
      <c r="AO68" s="1" t="str">
        <f t="shared" si="4"/>
        <v/>
      </c>
      <c r="AP68" s="1"/>
      <c r="AQ68" s="1" t="str">
        <f t="shared" si="5"/>
        <v/>
      </c>
      <c r="AR68" s="1"/>
      <c r="AS68" s="1"/>
      <c r="AT68" s="1"/>
      <c r="AU68" s="1"/>
      <c r="AV68" s="1"/>
      <c r="AW68" s="1"/>
      <c r="AX68" s="5"/>
      <c r="AY68" s="5"/>
      <c r="AZ68" s="5"/>
      <c r="BA68" s="5"/>
      <c r="BB68" s="1" t="s">
        <v>69</v>
      </c>
    </row>
    <row r="69" spans="1:54" x14ac:dyDescent="0.2">
      <c r="A69" s="7">
        <v>46113</v>
      </c>
      <c r="B69" s="1" t="s">
        <v>297</v>
      </c>
      <c r="C69" s="1" t="s">
        <v>298</v>
      </c>
      <c r="D69" s="1" t="s">
        <v>107</v>
      </c>
      <c r="E69" s="1" t="s">
        <v>265</v>
      </c>
      <c r="F69" s="1">
        <v>1.54</v>
      </c>
      <c r="G69" s="1">
        <v>4.04</v>
      </c>
      <c r="H69" s="1">
        <v>7.2</v>
      </c>
      <c r="I69" s="1">
        <v>2.09</v>
      </c>
      <c r="J69" s="1">
        <v>1.77</v>
      </c>
      <c r="K69" s="1" t="s">
        <v>68</v>
      </c>
      <c r="L69" s="5">
        <v>0.56779999999999997</v>
      </c>
      <c r="M69" s="5">
        <v>0.22939999999999999</v>
      </c>
      <c r="N69" s="5">
        <v>0.20280000000000001</v>
      </c>
      <c r="O69" s="5">
        <v>0.5292</v>
      </c>
      <c r="P69" s="5">
        <v>0.4708</v>
      </c>
      <c r="Q69" s="1"/>
      <c r="R69" s="1"/>
      <c r="S69" s="3"/>
      <c r="T69" s="3"/>
      <c r="U69" s="9" t="str">
        <f t="shared" si="0"/>
        <v>[PREDICCION] LOCAL</v>
      </c>
      <c r="V69" s="10">
        <f ca="1">IFERROR(__xludf.DUMMYFUNCTION("IF(B69="""", """", IFERROR(IF(VALUE(REGEXEXTRACT(TO_TEXT(Y69), ""[0-9.,]+"")) &gt; 0, IF(ISNUMBER(SEARCH(""[GANADA]"", W69)), VALUE(REGEXEXTRACT(TO_TEXT(Y69), ""[0-9.,]+"")) * (IF(ISNUMBER(SEARCH(""LOCAL"", W69)), VALUE(REGEXEXTRACT(TO_TEXT(F69), ""[0-9.,]+"&amp;""")), IF(ISNUMBER(SEARCH(""EMPATE"", W69)), VALUE(REGEXEXTRACT(TO_TEXT(G69), ""[0-9.,]+"")), VALUE(REGEXEXTRACT(TO_TEXT(H69), ""[0-9.,]+"")))) - 1), IF(ISNUMBER(SEARCH(""[PERDIDA]"", W69)), -VALUE(REGEXEXTRACT(TO_TEXT(Y69), ""[0-9.,]+"")), 0)), 0), 0) + I"&amp;"FERROR(IF(VALUE(REGEXEXTRACT(TO_TEXT(Z69), ""[0-9.,]+"")) &gt; 0, IF(ISNUMBER(SEARCH(""[GANADA]"", X69)), VALUE(REGEXEXTRACT(TO_TEXT(Z69), ""[0-9.,]+"")) * (IF(ISNUMBER(SEARCH(""OVER"", X69)), VALUE(REGEXEXTRACT(TO_TEXT(I69), ""[0-9.,]+"")), VALUE(REGEXEXTRA"&amp;"CT(TO_TEXT(J69), ""[0-9.,]+""))) - 1), IF(ISNUMBER(SEARCH(""[PERDIDA]"", X69)), -VALUE(REGEXEXTRACT(TO_TEXT(Z69), ""[0-9.,]+"")), 0)), 0), 0))"),0)</f>
        <v>0</v>
      </c>
      <c r="W69" s="1" t="s">
        <v>57</v>
      </c>
      <c r="X69" s="1" t="s">
        <v>63</v>
      </c>
      <c r="Y69" s="11">
        <v>0</v>
      </c>
      <c r="Z69" s="11">
        <v>0</v>
      </c>
      <c r="AA69" s="4" t="e">
        <f t="shared" ca="1" si="6"/>
        <v>#NAME?</v>
      </c>
      <c r="AB69" s="5" t="e">
        <f t="shared" ca="1" si="1"/>
        <v>#NAME?</v>
      </c>
      <c r="AC69" s="6" t="e">
        <f t="shared" ca="1" si="2"/>
        <v>#NAME?</v>
      </c>
      <c r="AD69" s="6"/>
      <c r="AE69" s="6"/>
      <c r="AF69" s="6" t="b">
        <v>0</v>
      </c>
      <c r="AG69" s="5"/>
      <c r="AH69" s="1"/>
      <c r="AI69" s="1"/>
      <c r="AJ69" s="1"/>
      <c r="AK69" s="1"/>
      <c r="AL69" s="1"/>
      <c r="AM69" s="1"/>
      <c r="AN69" s="5" t="e">
        <f t="shared" ca="1" si="3"/>
        <v>#NAME?</v>
      </c>
      <c r="AO69" s="1" t="str">
        <f t="shared" si="4"/>
        <v/>
      </c>
      <c r="AP69" s="1"/>
      <c r="AQ69" s="1" t="str">
        <f t="shared" si="5"/>
        <v/>
      </c>
      <c r="AR69" s="1"/>
      <c r="AS69" s="1"/>
      <c r="AT69" s="1"/>
      <c r="AU69" s="1"/>
      <c r="AV69" s="1"/>
      <c r="AW69" s="1"/>
      <c r="AX69" s="5"/>
      <c r="AY69" s="5"/>
      <c r="AZ69" s="1"/>
      <c r="BA69" s="1"/>
      <c r="BB69" s="1" t="s">
        <v>69</v>
      </c>
    </row>
    <row r="70" spans="1:54" x14ac:dyDescent="0.2">
      <c r="A70" s="7">
        <v>46113</v>
      </c>
      <c r="B70" s="1" t="s">
        <v>299</v>
      </c>
      <c r="C70" s="1" t="s">
        <v>300</v>
      </c>
      <c r="D70" s="1" t="s">
        <v>144</v>
      </c>
      <c r="E70" s="1" t="s">
        <v>217</v>
      </c>
      <c r="F70" s="1">
        <v>5.76</v>
      </c>
      <c r="G70" s="1">
        <v>3.56</v>
      </c>
      <c r="H70" s="1">
        <v>1.72</v>
      </c>
      <c r="I70" s="1">
        <v>2.33</v>
      </c>
      <c r="J70" s="1">
        <v>1.63</v>
      </c>
      <c r="K70" s="1" t="s">
        <v>68</v>
      </c>
      <c r="L70" s="5">
        <v>0.52859999999999996</v>
      </c>
      <c r="M70" s="5">
        <v>0.2601</v>
      </c>
      <c r="N70" s="5">
        <v>0.21129999999999999</v>
      </c>
      <c r="O70" s="5">
        <v>0.42080000000000001</v>
      </c>
      <c r="P70" s="5">
        <v>0.57920000000000005</v>
      </c>
      <c r="Q70" s="1"/>
      <c r="R70" s="1"/>
      <c r="S70" s="3"/>
      <c r="T70" s="3"/>
      <c r="U70" s="9" t="str">
        <f t="shared" si="0"/>
        <v>[PREDICCION] LOCAL</v>
      </c>
      <c r="V70" s="10">
        <f ca="1">IFERROR(__xludf.DUMMYFUNCTION("IF(B70="""", """", IFERROR(IF(VALUE(REGEXEXTRACT(TO_TEXT(Y70), ""[0-9.,]+"")) &gt; 0, IF(ISNUMBER(SEARCH(""[GANADA]"", W70)), VALUE(REGEXEXTRACT(TO_TEXT(Y70), ""[0-9.,]+"")) * (IF(ISNUMBER(SEARCH(""LOCAL"", W70)), VALUE(REGEXEXTRACT(TO_TEXT(F70), ""[0-9.,]+"&amp;""")), IF(ISNUMBER(SEARCH(""EMPATE"", W70)), VALUE(REGEXEXTRACT(TO_TEXT(G70), ""[0-9.,]+"")), VALUE(REGEXEXTRACT(TO_TEXT(H70), ""[0-9.,]+"")))) - 1), IF(ISNUMBER(SEARCH(""[PERDIDA]"", W70)), -VALUE(REGEXEXTRACT(TO_TEXT(Y70), ""[0-9.,]+"")), 0)), 0), 0) + I"&amp;"FERROR(IF(VALUE(REGEXEXTRACT(TO_TEXT(Z70), ""[0-9.,]+"")) &gt; 0, IF(ISNUMBER(SEARCH(""[GANADA]"", X70)), VALUE(REGEXEXTRACT(TO_TEXT(Z70), ""[0-9.,]+"")) * (IF(ISNUMBER(SEARCH(""OVER"", X70)), VALUE(REGEXEXTRACT(TO_TEXT(I70), ""[0-9.,]+"")), VALUE(REGEXEXTRA"&amp;"CT(TO_TEXT(J70), ""[0-9.,]+""))) - 1), IF(ISNUMBER(SEARCH(""[PERDIDA]"", X70)), -VALUE(REGEXEXTRACT(TO_TEXT(Z70), ""[0-9.,]+"")), 0)), 0), 0))"),0)</f>
        <v>0</v>
      </c>
      <c r="W70" s="1" t="s">
        <v>57</v>
      </c>
      <c r="X70" s="1" t="s">
        <v>57</v>
      </c>
      <c r="Y70" s="11">
        <v>0</v>
      </c>
      <c r="Z70" s="11">
        <v>0</v>
      </c>
      <c r="AA70" s="4" t="e">
        <f t="shared" ca="1" si="6"/>
        <v>#NAME?</v>
      </c>
      <c r="AB70" s="5" t="e">
        <f t="shared" ca="1" si="1"/>
        <v>#NAME?</v>
      </c>
      <c r="AC70" s="6" t="e">
        <f t="shared" ca="1" si="2"/>
        <v>#NAME?</v>
      </c>
      <c r="AD70" s="6"/>
      <c r="AE70" s="6"/>
      <c r="AF70" s="6" t="b">
        <v>0</v>
      </c>
      <c r="AG70" s="5"/>
      <c r="AH70" s="1"/>
      <c r="AI70" s="1"/>
      <c r="AJ70" s="1"/>
      <c r="AK70" s="1"/>
      <c r="AL70" s="1"/>
      <c r="AM70" s="1"/>
      <c r="AN70" s="5" t="e">
        <f t="shared" ca="1" si="3"/>
        <v>#NAME?</v>
      </c>
      <c r="AO70" s="1" t="str">
        <f t="shared" si="4"/>
        <v/>
      </c>
      <c r="AP70" s="1"/>
      <c r="AQ70" s="1" t="str">
        <f t="shared" si="5"/>
        <v/>
      </c>
      <c r="AR70" s="1"/>
      <c r="AS70" s="1"/>
      <c r="AT70" s="1"/>
      <c r="AU70" s="1"/>
      <c r="AV70" s="1"/>
      <c r="AW70" s="1"/>
      <c r="AX70" s="5"/>
      <c r="AY70" s="5"/>
      <c r="AZ70" s="5"/>
      <c r="BA70" s="5"/>
      <c r="BB70" s="1" t="s">
        <v>69</v>
      </c>
    </row>
    <row r="71" spans="1:54" x14ac:dyDescent="0.2">
      <c r="A71" s="16">
        <v>46113</v>
      </c>
      <c r="B71" s="8" t="s">
        <v>301</v>
      </c>
      <c r="C71" s="8" t="s">
        <v>302</v>
      </c>
      <c r="D71" s="8" t="s">
        <v>140</v>
      </c>
      <c r="E71" s="8" t="s">
        <v>248</v>
      </c>
      <c r="F71" s="8">
        <v>2.36</v>
      </c>
      <c r="G71" s="8">
        <v>3.18</v>
      </c>
      <c r="H71" s="8">
        <v>3.39</v>
      </c>
      <c r="I71" s="8">
        <v>2.17</v>
      </c>
      <c r="J71" s="8">
        <v>1.72</v>
      </c>
      <c r="K71" s="8" t="s">
        <v>68</v>
      </c>
      <c r="L71" s="17">
        <v>0.50160000000000005</v>
      </c>
      <c r="M71" s="17">
        <v>0.25940000000000002</v>
      </c>
      <c r="N71" s="17">
        <v>0.23899999999999999</v>
      </c>
      <c r="O71" s="17">
        <v>0.44769999999999999</v>
      </c>
      <c r="P71" s="17">
        <v>0.55230000000000001</v>
      </c>
      <c r="Q71" s="8"/>
      <c r="R71" s="8"/>
      <c r="S71" s="18"/>
      <c r="T71" s="18"/>
      <c r="U71" s="9" t="str">
        <f t="shared" si="0"/>
        <v>[PREDICCION] LOCAL</v>
      </c>
      <c r="V71" s="10">
        <f ca="1">IFERROR(__xludf.DUMMYFUNCTION("IF(B71="""", """", IFERROR(IF(VALUE(REGEXEXTRACT(TO_TEXT(Y71), ""[0-9.,]+"")) &gt; 0, IF(ISNUMBER(SEARCH(""[GANADA]"", W71)), VALUE(REGEXEXTRACT(TO_TEXT(Y71), ""[0-9.,]+"")) * (IF(ISNUMBER(SEARCH(""LOCAL"", W71)), VALUE(REGEXEXTRACT(TO_TEXT(F71), ""[0-9.,]+"&amp;""")), IF(ISNUMBER(SEARCH(""EMPATE"", W71)), VALUE(REGEXEXTRACT(TO_TEXT(G71), ""[0-9.,]+"")), VALUE(REGEXEXTRACT(TO_TEXT(H71), ""[0-9.,]+"")))) - 1), IF(ISNUMBER(SEARCH(""[PERDIDA]"", W71)), -VALUE(REGEXEXTRACT(TO_TEXT(Y71), ""[0-9.,]+"")), 0)), 0), 0) + I"&amp;"FERROR(IF(VALUE(REGEXEXTRACT(TO_TEXT(Z71), ""[0-9.,]+"")) &gt; 0, IF(ISNUMBER(SEARCH(""[GANADA]"", X71)), VALUE(REGEXEXTRACT(TO_TEXT(Z71), ""[0-9.,]+"")) * (IF(ISNUMBER(SEARCH(""OVER"", X71)), VALUE(REGEXEXTRACT(TO_TEXT(I71), ""[0-9.,]+"")), VALUE(REGEXEXTRA"&amp;"CT(TO_TEXT(J71), ""[0-9.,]+""))) - 1), IF(ISNUMBER(SEARCH(""[PERDIDA]"", X71)), -VALUE(REGEXEXTRACT(TO_TEXT(Z71), ""[0-9.,]+"")), 0)), 0), 0))"),0)</f>
        <v>0</v>
      </c>
      <c r="W71" s="1" t="str">
        <f>IF(OR(Q71="", R71=""), "[APOSTAR] LOCAL", IF(Q71&gt;R71, "[GANADA] LOCAL", "[PERDIDA] LOCAL"))</f>
        <v>[APOSTAR] LOCAL</v>
      </c>
      <c r="X71" s="22" t="s">
        <v>63</v>
      </c>
      <c r="Y71" s="11">
        <v>1250</v>
      </c>
      <c r="Z71" s="11">
        <v>0</v>
      </c>
      <c r="AA71" s="4" t="e">
        <f t="shared" ca="1" si="6"/>
        <v>#NAME?</v>
      </c>
      <c r="AB71" s="5" t="e">
        <f t="shared" ca="1" si="1"/>
        <v>#NAME?</v>
      </c>
      <c r="AC71" s="6" t="e">
        <f t="shared" ca="1" si="2"/>
        <v>#NAME?</v>
      </c>
      <c r="AD71" s="6"/>
      <c r="AE71" s="6"/>
      <c r="AF71" s="6" t="b">
        <v>0</v>
      </c>
      <c r="AG71" s="5"/>
      <c r="AH71" s="5"/>
      <c r="AI71" s="1"/>
      <c r="AJ71" s="5"/>
      <c r="AK71" s="5"/>
      <c r="AL71" s="5"/>
      <c r="AM71" s="5"/>
      <c r="AN71" s="5" t="e">
        <f t="shared" ca="1" si="3"/>
        <v>#NAME?</v>
      </c>
      <c r="AO71" s="1" t="str">
        <f t="shared" si="4"/>
        <v/>
      </c>
      <c r="AP71" s="9"/>
      <c r="AQ71" s="1" t="str">
        <f t="shared" si="5"/>
        <v/>
      </c>
      <c r="AR71" s="9"/>
      <c r="AS71" s="9"/>
      <c r="AT71" s="9"/>
      <c r="AU71" s="1"/>
      <c r="AV71" s="1"/>
      <c r="AW71" s="1"/>
      <c r="AX71" s="1"/>
      <c r="AY71" s="5"/>
      <c r="AZ71" s="4"/>
      <c r="BA71" s="5"/>
      <c r="BB71" s="1" t="s">
        <v>69</v>
      </c>
    </row>
    <row r="72" spans="1:54" x14ac:dyDescent="0.2">
      <c r="A72" s="7">
        <v>46113</v>
      </c>
      <c r="B72" s="1" t="s">
        <v>303</v>
      </c>
      <c r="C72" s="1" t="s">
        <v>304</v>
      </c>
      <c r="D72" s="1" t="s">
        <v>196</v>
      </c>
      <c r="E72" s="1" t="s">
        <v>269</v>
      </c>
      <c r="F72" s="1">
        <v>2.11</v>
      </c>
      <c r="G72" s="1">
        <v>2.99</v>
      </c>
      <c r="H72" s="1">
        <v>4.4400000000000004</v>
      </c>
      <c r="I72" s="1"/>
      <c r="J72" s="1"/>
      <c r="K72" s="1" t="s">
        <v>51</v>
      </c>
      <c r="L72" s="5">
        <v>0.44109999999999999</v>
      </c>
      <c r="M72" s="5">
        <v>0.2777</v>
      </c>
      <c r="N72" s="5">
        <v>0.28120000000000001</v>
      </c>
      <c r="O72" s="5">
        <v>0.4083</v>
      </c>
      <c r="P72" s="5">
        <v>0.5917</v>
      </c>
      <c r="Q72" s="1"/>
      <c r="R72" s="1"/>
      <c r="S72" s="3"/>
      <c r="T72" s="3"/>
      <c r="U72" s="9" t="str">
        <f t="shared" si="0"/>
        <v>[PREDICCION] LOCAL</v>
      </c>
      <c r="V72" s="10">
        <f ca="1">IFERROR(__xludf.DUMMYFUNCTION("IF(B72="""", """", IFERROR(IF(VALUE(REGEXEXTRACT(TO_TEXT(Y72), ""[0-9.,]+"")) &gt; 0, IF(ISNUMBER(SEARCH(""[GANADA]"", W72)), VALUE(REGEXEXTRACT(TO_TEXT(Y72), ""[0-9.,]+"")) * (IF(ISNUMBER(SEARCH(""LOCAL"", W72)), VALUE(REGEXEXTRACT(TO_TEXT(F72), ""[0-9.,]+"&amp;""")), IF(ISNUMBER(SEARCH(""EMPATE"", W72)), VALUE(REGEXEXTRACT(TO_TEXT(G72), ""[0-9.,]+"")), VALUE(REGEXEXTRACT(TO_TEXT(H72), ""[0-9.,]+"")))) - 1), IF(ISNUMBER(SEARCH(""[PERDIDA]"", W72)), -VALUE(REGEXEXTRACT(TO_TEXT(Y72), ""[0-9.,]+"")), 0)), 0), 0) + I"&amp;"FERROR(IF(VALUE(REGEXEXTRACT(TO_TEXT(Z72), ""[0-9.,]+"")) &gt; 0, IF(ISNUMBER(SEARCH(""[GANADA]"", X72)), VALUE(REGEXEXTRACT(TO_TEXT(Z72), ""[0-9.,]+"")) * (IF(ISNUMBER(SEARCH(""OVER"", X72)), VALUE(REGEXEXTRACT(TO_TEXT(I72), ""[0-9.,]+"")), VALUE(REGEXEXTRA"&amp;"CT(TO_TEXT(J72), ""[0-9.,]+""))) - 1), IF(ISNUMBER(SEARCH(""[PERDIDA]"", X72)), -VALUE(REGEXEXTRACT(TO_TEXT(Z72), ""[0-9.,]+"")), 0)), 0), 0))"),0)</f>
        <v>0</v>
      </c>
      <c r="W72" s="1" t="str">
        <f>IF(OR(Q72="", R72=""), "[APOSTAR] VISITA", IF(Q72&lt;R72, "[GANADA] VISITA", "[PERDIDA] VISITA"))</f>
        <v>[APOSTAR] VISITA</v>
      </c>
      <c r="X72" s="1" t="s">
        <v>52</v>
      </c>
      <c r="Y72" s="11">
        <v>2500</v>
      </c>
      <c r="Z72" s="11">
        <v>0</v>
      </c>
      <c r="AA72" s="4" t="e">
        <f t="shared" ca="1" si="6"/>
        <v>#NAME?</v>
      </c>
      <c r="AB72" s="5" t="e">
        <f t="shared" ca="1" si="1"/>
        <v>#NAME?</v>
      </c>
      <c r="AC72" s="6" t="e">
        <f t="shared" ca="1" si="2"/>
        <v>#NAME?</v>
      </c>
      <c r="AD72" s="6"/>
      <c r="AE72" s="6"/>
      <c r="AF72" s="6" t="b">
        <v>0</v>
      </c>
      <c r="AG72" s="5"/>
      <c r="AH72" s="1"/>
      <c r="AI72" s="1"/>
      <c r="AJ72" s="1"/>
      <c r="AK72" s="1"/>
      <c r="AL72" s="1"/>
      <c r="AM72" s="1"/>
      <c r="AN72" s="5" t="e">
        <f t="shared" ca="1" si="3"/>
        <v>#NAME?</v>
      </c>
      <c r="AO72" s="1" t="str">
        <f t="shared" si="4"/>
        <v/>
      </c>
      <c r="AP72" s="1"/>
      <c r="AQ72" s="1" t="str">
        <f t="shared" si="5"/>
        <v/>
      </c>
      <c r="AR72" s="1"/>
      <c r="AS72" s="1"/>
      <c r="AT72" s="1"/>
      <c r="AU72" s="1"/>
      <c r="AV72" s="1"/>
      <c r="AW72" s="1"/>
      <c r="AX72" s="5"/>
      <c r="AY72" s="5"/>
      <c r="AZ72" s="1"/>
      <c r="BA72" s="1"/>
      <c r="BB72" s="1" t="s">
        <v>69</v>
      </c>
    </row>
    <row r="73" spans="1:54" x14ac:dyDescent="0.2">
      <c r="A73" s="7">
        <v>46114</v>
      </c>
      <c r="B73" s="1" t="s">
        <v>305</v>
      </c>
      <c r="C73" s="1" t="s">
        <v>306</v>
      </c>
      <c r="D73" s="1" t="s">
        <v>55</v>
      </c>
      <c r="E73" s="1" t="s">
        <v>307</v>
      </c>
      <c r="F73" s="1">
        <v>2.44</v>
      </c>
      <c r="G73" s="1">
        <v>2.84</v>
      </c>
      <c r="H73" s="1">
        <v>3.48</v>
      </c>
      <c r="I73" s="1"/>
      <c r="J73" s="1"/>
      <c r="K73" s="1" t="s">
        <v>51</v>
      </c>
      <c r="L73" s="5">
        <v>0.4698</v>
      </c>
      <c r="M73" s="5">
        <v>0.2616</v>
      </c>
      <c r="N73" s="5">
        <v>0.26860000000000001</v>
      </c>
      <c r="O73" s="5">
        <v>0.4607</v>
      </c>
      <c r="P73" s="5">
        <v>0.5393</v>
      </c>
      <c r="Q73" s="1"/>
      <c r="R73" s="1"/>
      <c r="S73" s="3"/>
      <c r="T73" s="3"/>
      <c r="U73" s="9" t="str">
        <f t="shared" si="0"/>
        <v>[PREDICCION] LOCAL</v>
      </c>
      <c r="V73" s="10">
        <f ca="1">IFERROR(__xludf.DUMMYFUNCTION("IF(B73="""", """", IFERROR(IF(VALUE(REGEXEXTRACT(TO_TEXT(Y73), ""[0-9.,]+"")) &gt; 0, IF(ISNUMBER(SEARCH(""[GANADA]"", W73)), VALUE(REGEXEXTRACT(TO_TEXT(Y73), ""[0-9.,]+"")) * (IF(ISNUMBER(SEARCH(""LOCAL"", W73)), VALUE(REGEXEXTRACT(TO_TEXT(F73), ""[0-9.,]+"&amp;""")), IF(ISNUMBER(SEARCH(""EMPATE"", W73)), VALUE(REGEXEXTRACT(TO_TEXT(G73), ""[0-9.,]+"")), VALUE(REGEXEXTRACT(TO_TEXT(H73), ""[0-9.,]+"")))) - 1), IF(ISNUMBER(SEARCH(""[PERDIDA]"", W73)), -VALUE(REGEXEXTRACT(TO_TEXT(Y73), ""[0-9.,]+"")), 0)), 0), 0) + I"&amp;"FERROR(IF(VALUE(REGEXEXTRACT(TO_TEXT(Z73), ""[0-9.,]+"")) &gt; 0, IF(ISNUMBER(SEARCH(""[GANADA]"", X73)), VALUE(REGEXEXTRACT(TO_TEXT(Z73), ""[0-9.,]+"")) * (IF(ISNUMBER(SEARCH(""OVER"", X73)), VALUE(REGEXEXTRACT(TO_TEXT(I73), ""[0-9.,]+"")), VALUE(REGEXEXTRA"&amp;"CT(TO_TEXT(J73), ""[0-9.,]+""))) - 1), IF(ISNUMBER(SEARCH(""[PERDIDA]"", X73)), -VALUE(REGEXEXTRACT(TO_TEXT(Z73), ""[0-9.,]+"")), 0)), 0), 0))"),0)</f>
        <v>0</v>
      </c>
      <c r="W73" s="1" t="str">
        <f t="shared" ref="W73:W74" si="14">IF(OR(Q73="", R73=""), "[APOSTAR] LOCAL", IF(Q73&gt;R73, "[GANADA] LOCAL", "[PERDIDA] LOCAL"))</f>
        <v>[APOSTAR] LOCAL</v>
      </c>
      <c r="X73" s="1" t="s">
        <v>52</v>
      </c>
      <c r="Y73" s="11">
        <v>1767.77</v>
      </c>
      <c r="Z73" s="11">
        <v>0</v>
      </c>
      <c r="AA73" s="4" t="e">
        <f t="shared" ca="1" si="6"/>
        <v>#NAME?</v>
      </c>
      <c r="AB73" s="5" t="e">
        <f t="shared" ca="1" si="1"/>
        <v>#NAME?</v>
      </c>
      <c r="AC73" s="6" t="e">
        <f t="shared" ca="1" si="2"/>
        <v>#NAME?</v>
      </c>
      <c r="AD73" s="6"/>
      <c r="AE73" s="6"/>
      <c r="AF73" s="6" t="b">
        <v>0</v>
      </c>
      <c r="AG73" s="5"/>
      <c r="AH73" s="1"/>
      <c r="AI73" s="1"/>
      <c r="AJ73" s="1"/>
      <c r="AK73" s="1"/>
      <c r="AL73" s="1"/>
      <c r="AM73" s="1"/>
      <c r="AN73" s="5" t="e">
        <f t="shared" ca="1" si="3"/>
        <v>#NAME?</v>
      </c>
      <c r="AO73" s="1" t="str">
        <f t="shared" si="4"/>
        <v/>
      </c>
      <c r="AP73" s="1"/>
      <c r="AQ73" s="1" t="str">
        <f t="shared" si="5"/>
        <v/>
      </c>
      <c r="AR73" s="1"/>
      <c r="AS73" s="1"/>
      <c r="AT73" s="1"/>
      <c r="AU73" s="1"/>
      <c r="AV73" s="1"/>
      <c r="AW73" s="1"/>
      <c r="AX73" s="5"/>
      <c r="AY73" s="5"/>
      <c r="AZ73" s="1"/>
      <c r="BA73" s="1"/>
      <c r="BB73" s="1" t="s">
        <v>69</v>
      </c>
    </row>
    <row r="74" spans="1:54" x14ac:dyDescent="0.2">
      <c r="A74" s="7">
        <v>46114</v>
      </c>
      <c r="B74" s="1" t="s">
        <v>308</v>
      </c>
      <c r="C74" s="1" t="s">
        <v>309</v>
      </c>
      <c r="D74" s="1" t="s">
        <v>66</v>
      </c>
      <c r="E74" s="1" t="s">
        <v>170</v>
      </c>
      <c r="F74" s="1">
        <v>2.4700000000000002</v>
      </c>
      <c r="G74" s="1">
        <v>3.4</v>
      </c>
      <c r="H74" s="1">
        <v>2.87</v>
      </c>
      <c r="I74" s="1"/>
      <c r="J74" s="1"/>
      <c r="K74" s="1" t="s">
        <v>68</v>
      </c>
      <c r="L74" s="5">
        <v>0.45590000000000003</v>
      </c>
      <c r="M74" s="5">
        <v>0.26219999999999999</v>
      </c>
      <c r="N74" s="5">
        <v>0.28189999999999998</v>
      </c>
      <c r="O74" s="5">
        <v>0.46579999999999999</v>
      </c>
      <c r="P74" s="5">
        <v>0.53420000000000001</v>
      </c>
      <c r="Q74" s="1"/>
      <c r="R74" s="1"/>
      <c r="S74" s="3"/>
      <c r="T74" s="3"/>
      <c r="U74" s="9" t="str">
        <f t="shared" si="0"/>
        <v>[PREDICCION] LOCAL</v>
      </c>
      <c r="V74" s="10">
        <f ca="1">IFERROR(__xludf.DUMMYFUNCTION("IF(B74="""", """", IFERROR(IF(VALUE(REGEXEXTRACT(TO_TEXT(Y74), ""[0-9.,]+"")) &gt; 0, IF(ISNUMBER(SEARCH(""[GANADA]"", W74)), VALUE(REGEXEXTRACT(TO_TEXT(Y74), ""[0-9.,]+"")) * (IF(ISNUMBER(SEARCH(""LOCAL"", W74)), VALUE(REGEXEXTRACT(TO_TEXT(F74), ""[0-9.,]+"&amp;""")), IF(ISNUMBER(SEARCH(""EMPATE"", W74)), VALUE(REGEXEXTRACT(TO_TEXT(G74), ""[0-9.,]+"")), VALUE(REGEXEXTRACT(TO_TEXT(H74), ""[0-9.,]+"")))) - 1), IF(ISNUMBER(SEARCH(""[PERDIDA]"", W74)), -VALUE(REGEXEXTRACT(TO_TEXT(Y74), ""[0-9.,]+"")), 0)), 0), 0) + I"&amp;"FERROR(IF(VALUE(REGEXEXTRACT(TO_TEXT(Z74), ""[0-9.,]+"")) &gt; 0, IF(ISNUMBER(SEARCH(""[GANADA]"", X74)), VALUE(REGEXEXTRACT(TO_TEXT(Z74), ""[0-9.,]+"")) * (IF(ISNUMBER(SEARCH(""OVER"", X74)), VALUE(REGEXEXTRACT(TO_TEXT(I74), ""[0-9.,]+"")), VALUE(REGEXEXTRA"&amp;"CT(TO_TEXT(J74), ""[0-9.,]+""))) - 1), IF(ISNUMBER(SEARCH(""[PERDIDA]"", X74)), -VALUE(REGEXEXTRACT(TO_TEXT(Z74), ""[0-9.,]+"")), 0)), 0), 0))"),0)</f>
        <v>0</v>
      </c>
      <c r="W74" s="1" t="str">
        <f t="shared" si="14"/>
        <v>[APOSTAR] LOCAL</v>
      </c>
      <c r="X74" s="1" t="s">
        <v>52</v>
      </c>
      <c r="Y74" s="11">
        <v>1767.77</v>
      </c>
      <c r="Z74" s="11">
        <v>0</v>
      </c>
      <c r="AA74" s="4" t="e">
        <f t="shared" ca="1" si="6"/>
        <v>#NAME?</v>
      </c>
      <c r="AB74" s="5" t="e">
        <f t="shared" ca="1" si="1"/>
        <v>#NAME?</v>
      </c>
      <c r="AC74" s="6" t="e">
        <f t="shared" ca="1" si="2"/>
        <v>#NAME?</v>
      </c>
      <c r="AD74" s="6"/>
      <c r="AE74" s="6"/>
      <c r="AF74" s="6" t="b">
        <v>0</v>
      </c>
      <c r="AG74" s="5"/>
      <c r="AH74" s="1"/>
      <c r="AI74" s="1"/>
      <c r="AJ74" s="1"/>
      <c r="AK74" s="1"/>
      <c r="AL74" s="1"/>
      <c r="AM74" s="1"/>
      <c r="AN74" s="5" t="e">
        <f t="shared" ca="1" si="3"/>
        <v>#NAME?</v>
      </c>
      <c r="AO74" s="1" t="str">
        <f t="shared" si="4"/>
        <v/>
      </c>
      <c r="AP74" s="1"/>
      <c r="AQ74" s="1" t="str">
        <f t="shared" si="5"/>
        <v/>
      </c>
      <c r="AR74" s="1"/>
      <c r="AS74" s="1"/>
      <c r="AT74" s="1"/>
      <c r="AU74" s="1"/>
      <c r="AV74" s="1"/>
      <c r="AW74" s="1"/>
      <c r="AX74" s="5"/>
      <c r="AY74" s="5"/>
      <c r="AZ74" s="1"/>
      <c r="BA74" s="1"/>
      <c r="BB74" s="5"/>
    </row>
    <row r="75" spans="1:54" x14ac:dyDescent="0.2">
      <c r="A75" s="7">
        <v>46113</v>
      </c>
      <c r="B75" s="1" t="s">
        <v>310</v>
      </c>
      <c r="C75" s="1" t="s">
        <v>300</v>
      </c>
      <c r="D75" s="1" t="s">
        <v>144</v>
      </c>
      <c r="E75" s="1" t="s">
        <v>217</v>
      </c>
      <c r="F75" s="1">
        <v>5.76</v>
      </c>
      <c r="G75" s="1">
        <v>3.56</v>
      </c>
      <c r="H75" s="1">
        <v>1.72</v>
      </c>
      <c r="I75" s="1"/>
      <c r="J75" s="1"/>
      <c r="K75" s="1" t="s">
        <v>68</v>
      </c>
      <c r="L75" s="5">
        <v>0.52859999999999996</v>
      </c>
      <c r="M75" s="5">
        <v>0.2601</v>
      </c>
      <c r="N75" s="5">
        <v>0.21129999999999999</v>
      </c>
      <c r="O75" s="5">
        <v>0.42080000000000001</v>
      </c>
      <c r="P75" s="5">
        <v>0.57920000000000005</v>
      </c>
      <c r="Q75" s="1"/>
      <c r="R75" s="1"/>
      <c r="S75" s="3"/>
      <c r="T75" s="3"/>
      <c r="U75" s="9" t="str">
        <f t="shared" si="0"/>
        <v>[PREDICCION] LOCAL</v>
      </c>
      <c r="V75" s="10">
        <f ca="1">IFERROR(__xludf.DUMMYFUNCTION("IF(B75="""", """", IFERROR(IF(VALUE(REGEXEXTRACT(TO_TEXT(Y75), ""[0-9.,]+"")) &gt; 0, IF(ISNUMBER(SEARCH(""[GANADA]"", W75)), VALUE(REGEXEXTRACT(TO_TEXT(Y75), ""[0-9.,]+"")) * (IF(ISNUMBER(SEARCH(""LOCAL"", W75)), VALUE(REGEXEXTRACT(TO_TEXT(F75), ""[0-9.,]+"&amp;""")), IF(ISNUMBER(SEARCH(""EMPATE"", W75)), VALUE(REGEXEXTRACT(TO_TEXT(G75), ""[0-9.,]+"")), VALUE(REGEXEXTRACT(TO_TEXT(H75), ""[0-9.,]+"")))) - 1), IF(ISNUMBER(SEARCH(""[PERDIDA]"", W75)), -VALUE(REGEXEXTRACT(TO_TEXT(Y75), ""[0-9.,]+"")), 0)), 0), 0) + I"&amp;"FERROR(IF(VALUE(REGEXEXTRACT(TO_TEXT(Z75), ""[0-9.,]+"")) &gt; 0, IF(ISNUMBER(SEARCH(""[GANADA]"", X75)), VALUE(REGEXEXTRACT(TO_TEXT(Z75), ""[0-9.,]+"")) * (IF(ISNUMBER(SEARCH(""OVER"", X75)), VALUE(REGEXEXTRACT(TO_TEXT(I75), ""[0-9.,]+"")), VALUE(REGEXEXTRA"&amp;"CT(TO_TEXT(J75), ""[0-9.,]+""))) - 1), IF(ISNUMBER(SEARCH(""[PERDIDA]"", X75)), -VALUE(REGEXEXTRACT(TO_TEXT(Z75), ""[0-9.,]+"")), 0)), 0), 0))"),0)</f>
        <v>0</v>
      </c>
      <c r="W75" s="1" t="s">
        <v>57</v>
      </c>
      <c r="X75" s="1" t="s">
        <v>52</v>
      </c>
      <c r="Y75" s="11">
        <v>0</v>
      </c>
      <c r="Z75" s="11">
        <v>0</v>
      </c>
      <c r="AA75" s="4" t="e">
        <f t="shared" ca="1" si="6"/>
        <v>#NAME?</v>
      </c>
      <c r="AB75" s="5" t="e">
        <f t="shared" ca="1" si="1"/>
        <v>#NAME?</v>
      </c>
      <c r="AC75" s="6"/>
      <c r="AD75" s="6"/>
      <c r="AE75" s="6"/>
      <c r="AF75" s="6" t="b">
        <v>0</v>
      </c>
      <c r="AG75" s="5"/>
      <c r="AH75" s="1"/>
      <c r="AI75" s="1"/>
      <c r="AJ75" s="1"/>
      <c r="AK75" s="1"/>
      <c r="AL75" s="1"/>
      <c r="AM75" s="1"/>
      <c r="AN75" s="5" t="e">
        <f t="shared" ca="1" si="3"/>
        <v>#NAME?</v>
      </c>
      <c r="AO75" s="1" t="str">
        <f t="shared" si="4"/>
        <v/>
      </c>
      <c r="AP75" s="1"/>
      <c r="AQ75" s="1" t="str">
        <f t="shared" si="5"/>
        <v/>
      </c>
      <c r="AR75" s="1"/>
      <c r="AS75" s="1"/>
      <c r="AT75" s="1"/>
      <c r="AU75" s="1"/>
      <c r="AV75" s="1"/>
      <c r="AW75" s="1"/>
      <c r="AX75" s="5"/>
      <c r="AY75" s="5"/>
      <c r="AZ75" s="1"/>
      <c r="BA75" s="1"/>
      <c r="BB75" s="5"/>
    </row>
    <row r="76" spans="1:54" x14ac:dyDescent="0.2">
      <c r="A76" s="7">
        <v>46114</v>
      </c>
      <c r="B76" s="1" t="s">
        <v>311</v>
      </c>
      <c r="C76" s="1" t="s">
        <v>312</v>
      </c>
      <c r="D76" s="1" t="s">
        <v>135</v>
      </c>
      <c r="E76" s="1" t="s">
        <v>262</v>
      </c>
      <c r="F76" s="1">
        <v>6.03</v>
      </c>
      <c r="G76" s="1">
        <v>4.25</v>
      </c>
      <c r="H76" s="1">
        <v>1.53</v>
      </c>
      <c r="I76" s="1">
        <v>1.85</v>
      </c>
      <c r="J76" s="1">
        <v>2</v>
      </c>
      <c r="K76" s="1" t="s">
        <v>68</v>
      </c>
      <c r="L76" s="5">
        <v>0.57569999999999999</v>
      </c>
      <c r="M76" s="5">
        <v>0.223</v>
      </c>
      <c r="N76" s="5">
        <v>0.20130000000000001</v>
      </c>
      <c r="O76" s="5">
        <v>0.55469999999999997</v>
      </c>
      <c r="P76" s="5">
        <v>0.44529999999999997</v>
      </c>
      <c r="Q76" s="15"/>
      <c r="R76" s="15"/>
      <c r="S76" s="3"/>
      <c r="T76" s="3"/>
      <c r="U76" s="9" t="str">
        <f t="shared" si="0"/>
        <v>[PREDICCION] LOCAL</v>
      </c>
      <c r="V76" s="10">
        <f ca="1">IFERROR(__xludf.DUMMYFUNCTION("IF(B76="""", """", IFERROR(IF(VALUE(REGEXEXTRACT(TO_TEXT(Y76), ""[0-9.,]+"")) &gt; 0, IF(ISNUMBER(SEARCH(""[GANADA]"", W76)), VALUE(REGEXEXTRACT(TO_TEXT(Y76), ""[0-9.,]+"")) * (IF(ISNUMBER(SEARCH(""LOCAL"", W76)), VALUE(REGEXEXTRACT(TO_TEXT(F76), ""[0-9.,]+"&amp;""")), IF(ISNUMBER(SEARCH(""EMPATE"", W76)), VALUE(REGEXEXTRACT(TO_TEXT(G76), ""[0-9.,]+"")), VALUE(REGEXEXTRACT(TO_TEXT(H76), ""[0-9.,]+"")))) - 1), IF(ISNUMBER(SEARCH(""[PERDIDA]"", W76)), -VALUE(REGEXEXTRACT(TO_TEXT(Y76), ""[0-9.,]+"")), 0)), 0), 0) + I"&amp;"FERROR(IF(VALUE(REGEXEXTRACT(TO_TEXT(Z76), ""[0-9.,]+"")) &gt; 0, IF(ISNUMBER(SEARCH(""[GANADA]"", X76)), VALUE(REGEXEXTRACT(TO_TEXT(Z76), ""[0-9.,]+"")) * (IF(ISNUMBER(SEARCH(""OVER"", X76)), VALUE(REGEXEXTRACT(TO_TEXT(I76), ""[0-9.,]+"")), VALUE(REGEXEXTRA"&amp;"CT(TO_TEXT(J76), ""[0-9.,]+""))) - 1), IF(ISNUMBER(SEARCH(""[PERDIDA]"", X76)), -VALUE(REGEXEXTRACT(TO_TEXT(Z76), ""[0-9.,]+"")), 0)), 0), 0))"),0)</f>
        <v>0</v>
      </c>
      <c r="W76" s="1" t="s">
        <v>57</v>
      </c>
      <c r="X76" s="1" t="s">
        <v>63</v>
      </c>
      <c r="Y76" s="11">
        <v>0</v>
      </c>
      <c r="Z76" s="11">
        <v>0</v>
      </c>
      <c r="AA76" s="4" t="e">
        <f t="shared" ca="1" si="6"/>
        <v>#NAME?</v>
      </c>
      <c r="AB76" s="5" t="e">
        <f t="shared" ca="1" si="1"/>
        <v>#NAME?</v>
      </c>
      <c r="AC76" s="6" t="e">
        <f t="shared" ref="AC76:AC80" ca="1" si="15">_xludf.LET(valY, IF(Y76="", 0, Y76), valZ, IF(Z76="", 0, Z76), IF(AND(valY=0, valZ=0), "NO APOSTADO", _xludf.LET(suma1X2, IF((L76+M76+N76)=0, 1, L76+M76+N76), evL, IFERROR(((L76/suma1X2)*F76)-1, -100), evX, IFERROR(((M76/suma1X2)*G76)-1, -100), evV, IFERROR(((N76/suma1X2)*H76)-1, -100), max1X2, MAX(evL, evX, evV), cuota1X2, IF(max1X2=evL, F76, IF(max1X2=evX, G76, H76)), sumaOU, IF((O76+P76)=0, 1, O76+P76), evO, IFERROR(((O76/sumaOU)*I76)-1, -100), evU, IFERROR(((P76/sumaOU)*J76)-1, -100), maxOU, MAX(evO, evU), cuotaOU, IF(maxOU=evO, I76, J76), IF(valY &gt;= valZ, cuota1X2, cuotaOU))))</f>
        <v>#NAME?</v>
      </c>
      <c r="AD76" s="6"/>
      <c r="AE76" s="6"/>
      <c r="AF76" s="6" t="b">
        <v>0</v>
      </c>
      <c r="AG76" s="5"/>
      <c r="AH76" s="1"/>
      <c r="AI76" s="1"/>
      <c r="AJ76" s="1"/>
      <c r="AK76" s="1"/>
      <c r="AL76" s="1"/>
      <c r="AM76" s="1"/>
      <c r="AN76" s="5" t="e">
        <f t="shared" ca="1" si="3"/>
        <v>#NAME?</v>
      </c>
      <c r="AO76" s="1" t="str">
        <f t="shared" si="4"/>
        <v/>
      </c>
      <c r="AP76" s="1"/>
      <c r="AQ76" s="1" t="str">
        <f t="shared" si="5"/>
        <v/>
      </c>
      <c r="AR76" s="1"/>
      <c r="AS76" s="1"/>
      <c r="AT76" s="1"/>
      <c r="AU76" s="1"/>
      <c r="AV76" s="1"/>
      <c r="AW76" s="1"/>
      <c r="AX76" s="5"/>
      <c r="AY76" s="5"/>
      <c r="AZ76" s="1"/>
      <c r="BA76" s="1"/>
      <c r="BB76" s="1" t="s">
        <v>69</v>
      </c>
    </row>
    <row r="77" spans="1:54" x14ac:dyDescent="0.2">
      <c r="A77" s="7">
        <v>46114</v>
      </c>
      <c r="B77" s="1" t="s">
        <v>313</v>
      </c>
      <c r="C77" s="1" t="s">
        <v>314</v>
      </c>
      <c r="D77" s="1" t="s">
        <v>192</v>
      </c>
      <c r="E77" s="1" t="s">
        <v>218</v>
      </c>
      <c r="F77" s="1">
        <v>4.42</v>
      </c>
      <c r="G77" s="1">
        <v>3.41</v>
      </c>
      <c r="H77" s="1">
        <v>1.88</v>
      </c>
      <c r="I77" s="1"/>
      <c r="J77" s="1"/>
      <c r="K77" s="1" t="s">
        <v>68</v>
      </c>
      <c r="L77" s="5">
        <v>0.3473</v>
      </c>
      <c r="M77" s="5">
        <v>0.2616</v>
      </c>
      <c r="N77" s="5">
        <v>0.3911</v>
      </c>
      <c r="O77" s="5">
        <v>0.49</v>
      </c>
      <c r="P77" s="5">
        <v>0.51</v>
      </c>
      <c r="Q77" s="1"/>
      <c r="R77" s="1"/>
      <c r="S77" s="3"/>
      <c r="T77" s="3"/>
      <c r="U77" s="9" t="str">
        <f t="shared" si="0"/>
        <v>[PASAR] Margen Insuficiente (&lt;5%)</v>
      </c>
      <c r="V77" s="10">
        <f ca="1">IFERROR(__xludf.DUMMYFUNCTION("IF(B77="""", """", IFERROR(IF(VALUE(REGEXEXTRACT(TO_TEXT(Y77), ""[0-9.,]+"")) &gt; 0, IF(ISNUMBER(SEARCH(""[GANADA]"", W77)), VALUE(REGEXEXTRACT(TO_TEXT(Y77), ""[0-9.,]+"")) * (IF(ISNUMBER(SEARCH(""LOCAL"", W77)), VALUE(REGEXEXTRACT(TO_TEXT(F77), ""[0-9.,]+"&amp;""")), IF(ISNUMBER(SEARCH(""EMPATE"", W77)), VALUE(REGEXEXTRACT(TO_TEXT(G77), ""[0-9.,]+"")), VALUE(REGEXEXTRACT(TO_TEXT(H77), ""[0-9.,]+"")))) - 1), IF(ISNUMBER(SEARCH(""[PERDIDA]"", W77)), -VALUE(REGEXEXTRACT(TO_TEXT(Y77), ""[0-9.,]+"")), 0)), 0), 0) + I"&amp;"FERROR(IF(VALUE(REGEXEXTRACT(TO_TEXT(Z77), ""[0-9.,]+"")) &gt; 0, IF(ISNUMBER(SEARCH(""[GANADA]"", X77)), VALUE(REGEXEXTRACT(TO_TEXT(Z77), ""[0-9.,]+"")) * (IF(ISNUMBER(SEARCH(""OVER"", X77)), VALUE(REGEXEXTRACT(TO_TEXT(I77), ""[0-9.,]+"")), VALUE(REGEXEXTRA"&amp;"CT(TO_TEXT(J77), ""[0-9.,]+""))) - 1), IF(ISNUMBER(SEARCH(""[PERDIDA]"", X77)), -VALUE(REGEXEXTRACT(TO_TEXT(Z77), ""[0-9.,]+"")), 0)), 0), 0))"),0)</f>
        <v>0</v>
      </c>
      <c r="W77" s="1" t="s">
        <v>82</v>
      </c>
      <c r="X77" s="1" t="s">
        <v>52</v>
      </c>
      <c r="Y77" s="11">
        <v>0</v>
      </c>
      <c r="Z77" s="11">
        <v>0</v>
      </c>
      <c r="AA77" s="4" t="e">
        <f t="shared" ca="1" si="6"/>
        <v>#NAME?</v>
      </c>
      <c r="AB77" s="5" t="e">
        <f t="shared" ca="1" si="1"/>
        <v>#NAME?</v>
      </c>
      <c r="AC77" s="6" t="e">
        <f t="shared" ca="1" si="15"/>
        <v>#NAME?</v>
      </c>
      <c r="AD77" s="6"/>
      <c r="AE77" s="6"/>
      <c r="AF77" s="6" t="b">
        <v>0</v>
      </c>
      <c r="AG77" s="5"/>
      <c r="AH77" s="1"/>
      <c r="AI77" s="1"/>
      <c r="AJ77" s="1"/>
      <c r="AK77" s="1"/>
      <c r="AL77" s="1"/>
      <c r="AM77" s="1"/>
      <c r="AN77" s="5" t="e">
        <f t="shared" ca="1" si="3"/>
        <v>#NAME?</v>
      </c>
      <c r="AO77" s="1" t="str">
        <f t="shared" si="4"/>
        <v/>
      </c>
      <c r="AP77" s="1"/>
      <c r="AQ77" s="1" t="str">
        <f t="shared" si="5"/>
        <v/>
      </c>
      <c r="AR77" s="1"/>
      <c r="AS77" s="1"/>
      <c r="AT77" s="1"/>
      <c r="AU77" s="1"/>
      <c r="AV77" s="1"/>
      <c r="AW77" s="1"/>
      <c r="AX77" s="5"/>
      <c r="AY77" s="5"/>
      <c r="AZ77" s="5"/>
      <c r="BA77" s="5"/>
      <c r="BB77" s="1" t="s">
        <v>69</v>
      </c>
    </row>
    <row r="78" spans="1:54" x14ac:dyDescent="0.2">
      <c r="A78" s="7">
        <v>46114</v>
      </c>
      <c r="B78" s="1" t="s">
        <v>315</v>
      </c>
      <c r="C78" s="1" t="s">
        <v>316</v>
      </c>
      <c r="D78" s="1" t="s">
        <v>139</v>
      </c>
      <c r="E78" s="1" t="s">
        <v>237</v>
      </c>
      <c r="F78" s="1">
        <v>6.37</v>
      </c>
      <c r="G78" s="1">
        <v>4.0999999999999996</v>
      </c>
      <c r="H78" s="1">
        <v>1.53</v>
      </c>
      <c r="I78" s="1">
        <v>1.86</v>
      </c>
      <c r="J78" s="1">
        <v>1.99</v>
      </c>
      <c r="K78" s="1" t="s">
        <v>68</v>
      </c>
      <c r="L78" s="5">
        <v>0.45</v>
      </c>
      <c r="M78" s="5">
        <v>0.25869999999999999</v>
      </c>
      <c r="N78" s="5">
        <v>0.29120000000000001</v>
      </c>
      <c r="O78" s="5">
        <v>0.4844</v>
      </c>
      <c r="P78" s="5">
        <v>0.51559999999999995</v>
      </c>
      <c r="Q78" s="1"/>
      <c r="R78" s="1"/>
      <c r="S78" s="3"/>
      <c r="T78" s="3"/>
      <c r="U78" s="9" t="str">
        <f t="shared" si="0"/>
        <v>[PREDICCION] LOCAL</v>
      </c>
      <c r="V78" s="10">
        <f ca="1">IFERROR(__xludf.DUMMYFUNCTION("IF(B78="""", """", IFERROR(IF(VALUE(REGEXEXTRACT(TO_TEXT(Y78), ""[0-9.,]+"")) &gt; 0, IF(ISNUMBER(SEARCH(""[GANADA]"", W78)), VALUE(REGEXEXTRACT(TO_TEXT(Y78), ""[0-9.,]+"")) * (IF(ISNUMBER(SEARCH(""LOCAL"", W78)), VALUE(REGEXEXTRACT(TO_TEXT(F78), ""[0-9.,]+"&amp;""")), IF(ISNUMBER(SEARCH(""EMPATE"", W78)), VALUE(REGEXEXTRACT(TO_TEXT(G78), ""[0-9.,]+"")), VALUE(REGEXEXTRACT(TO_TEXT(H78), ""[0-9.,]+"")))) - 1), IF(ISNUMBER(SEARCH(""[PERDIDA]"", W78)), -VALUE(REGEXEXTRACT(TO_TEXT(Y78), ""[0-9.,]+"")), 0)), 0), 0) + I"&amp;"FERROR(IF(VALUE(REGEXEXTRACT(TO_TEXT(Z78), ""[0-9.,]+"")) &gt; 0, IF(ISNUMBER(SEARCH(""[GANADA]"", X78)), VALUE(REGEXEXTRACT(TO_TEXT(Z78), ""[0-9.,]+"")) * (IF(ISNUMBER(SEARCH(""OVER"", X78)), VALUE(REGEXEXTRACT(TO_TEXT(I78), ""[0-9.,]+"")), VALUE(REGEXEXTRA"&amp;"CT(TO_TEXT(J78), ""[0-9.,]+""))) - 1), IF(ISNUMBER(SEARCH(""[PERDIDA]"", X78)), -VALUE(REGEXEXTRACT(TO_TEXT(Z78), ""[0-9.,]+"")), 0)), 0), 0))"),0)</f>
        <v>0</v>
      </c>
      <c r="W78" s="1" t="str">
        <f>IF(OR(Q78="", R78=""), "[APOSTAR] EMPATE", IF(Q78=R78, "[GANADA] EMPATE", "[PERDIDA] EMPATE"))</f>
        <v>[APOSTAR] EMPATE</v>
      </c>
      <c r="X78" s="1" t="s">
        <v>63</v>
      </c>
      <c r="Y78" s="11">
        <v>1387.9</v>
      </c>
      <c r="Z78" s="11">
        <v>0</v>
      </c>
      <c r="AA78" s="4" t="e">
        <f t="shared" ca="1" si="6"/>
        <v>#NAME?</v>
      </c>
      <c r="AB78" s="5" t="e">
        <f t="shared" ca="1" si="1"/>
        <v>#NAME?</v>
      </c>
      <c r="AC78" s="6" t="e">
        <f t="shared" ca="1" si="15"/>
        <v>#NAME?</v>
      </c>
      <c r="AD78" s="6"/>
      <c r="AE78" s="6"/>
      <c r="AF78" s="6" t="b">
        <v>0</v>
      </c>
      <c r="AG78" s="5"/>
      <c r="AH78" s="1"/>
      <c r="AI78" s="1"/>
      <c r="AJ78" s="1"/>
      <c r="AK78" s="1"/>
      <c r="AL78" s="1"/>
      <c r="AM78" s="1"/>
      <c r="AN78" s="5" t="e">
        <f t="shared" ca="1" si="3"/>
        <v>#NAME?</v>
      </c>
      <c r="AO78" s="1" t="str">
        <f t="shared" si="4"/>
        <v/>
      </c>
      <c r="AP78" s="1"/>
      <c r="AQ78" s="1" t="str">
        <f t="shared" si="5"/>
        <v/>
      </c>
      <c r="AR78" s="1"/>
      <c r="AS78" s="1"/>
      <c r="AT78" s="1"/>
      <c r="AU78" s="1"/>
      <c r="AV78" s="1"/>
      <c r="AW78" s="1"/>
      <c r="AX78" s="1"/>
      <c r="AY78" s="5"/>
      <c r="AZ78" s="4"/>
      <c r="BA78" s="5"/>
      <c r="BB78" s="1" t="s">
        <v>69</v>
      </c>
    </row>
    <row r="79" spans="1:54" x14ac:dyDescent="0.2">
      <c r="A79" s="7">
        <v>46114</v>
      </c>
      <c r="B79" s="1" t="s">
        <v>317</v>
      </c>
      <c r="C79" s="1" t="s">
        <v>318</v>
      </c>
      <c r="D79" s="1" t="s">
        <v>182</v>
      </c>
      <c r="E79" s="1" t="s">
        <v>213</v>
      </c>
      <c r="F79" s="1"/>
      <c r="G79" s="1"/>
      <c r="H79" s="1"/>
      <c r="I79" s="1"/>
      <c r="J79" s="1"/>
      <c r="K79" s="1" t="s">
        <v>51</v>
      </c>
      <c r="L79" s="5">
        <v>0.3795</v>
      </c>
      <c r="M79" s="5">
        <v>0.27179999999999999</v>
      </c>
      <c r="N79" s="5">
        <v>0.34870000000000001</v>
      </c>
      <c r="O79" s="5">
        <v>0.44850000000000001</v>
      </c>
      <c r="P79" s="5">
        <v>0.55149999999999999</v>
      </c>
      <c r="Q79" s="1"/>
      <c r="R79" s="1"/>
      <c r="S79" s="3"/>
      <c r="T79" s="3"/>
      <c r="U79" s="9" t="str">
        <f t="shared" si="0"/>
        <v>[PASAR] Margen Insuficiente (&lt;5%)</v>
      </c>
      <c r="V79" s="10">
        <f ca="1">IFERROR(__xludf.DUMMYFUNCTION("IF(B79="""", """", IFERROR(IF(VALUE(REGEXEXTRACT(TO_TEXT(Y79), ""[0-9.,]+"")) &gt; 0, IF(ISNUMBER(SEARCH(""[GANADA]"", W79)), VALUE(REGEXEXTRACT(TO_TEXT(Y79), ""[0-9.,]+"")) * (IF(ISNUMBER(SEARCH(""LOCAL"", W79)), VALUE(REGEXEXTRACT(TO_TEXT(F79), ""[0-9.,]+"&amp;""")), IF(ISNUMBER(SEARCH(""EMPATE"", W79)), VALUE(REGEXEXTRACT(TO_TEXT(G79), ""[0-9.,]+"")), VALUE(REGEXEXTRACT(TO_TEXT(H79), ""[0-9.,]+"")))) - 1), IF(ISNUMBER(SEARCH(""[PERDIDA]"", W79)), -VALUE(REGEXEXTRACT(TO_TEXT(Y79), ""[0-9.,]+"")), 0)), 0), 0) + I"&amp;"FERROR(IF(VALUE(REGEXEXTRACT(TO_TEXT(Z79), ""[0-9.,]+"")) &gt; 0, IF(ISNUMBER(SEARCH(""[GANADA]"", X79)), VALUE(REGEXEXTRACT(TO_TEXT(Z79), ""[0-9.,]+"")) * (IF(ISNUMBER(SEARCH(""OVER"", X79)), VALUE(REGEXEXTRACT(TO_TEXT(I79), ""[0-9.,]+"")), VALUE(REGEXEXTRA"&amp;"CT(TO_TEXT(J79), ""[0-9.,]+""))) - 1), IF(ISNUMBER(SEARCH(""[PERDIDA]"", X79)), -VALUE(REGEXEXTRACT(TO_TEXT(Z79), ""[0-9.,]+"")), 0)), 0), 0))"),0)</f>
        <v>0</v>
      </c>
      <c r="W79" s="1" t="s">
        <v>52</v>
      </c>
      <c r="X79" s="1" t="s">
        <v>52</v>
      </c>
      <c r="Y79" s="11">
        <v>0</v>
      </c>
      <c r="Z79" s="11">
        <v>0</v>
      </c>
      <c r="AA79" s="4" t="e">
        <f t="shared" ca="1" si="6"/>
        <v>#NAME?</v>
      </c>
      <c r="AB79" s="5" t="e">
        <f t="shared" ca="1" si="1"/>
        <v>#NAME?</v>
      </c>
      <c r="AC79" s="6" t="e">
        <f t="shared" ca="1" si="15"/>
        <v>#NAME?</v>
      </c>
      <c r="AD79" s="6"/>
      <c r="AE79" s="6"/>
      <c r="AF79" s="6" t="b">
        <v>0</v>
      </c>
      <c r="AG79" s="5"/>
      <c r="AH79" s="1"/>
      <c r="AI79" s="1"/>
      <c r="AJ79" s="1"/>
      <c r="AK79" s="1"/>
      <c r="AL79" s="1"/>
      <c r="AM79" s="1"/>
      <c r="AN79" s="5" t="e">
        <f t="shared" ca="1" si="3"/>
        <v>#NAME?</v>
      </c>
      <c r="AO79" s="1" t="str">
        <f t="shared" si="4"/>
        <v/>
      </c>
      <c r="AP79" s="1"/>
      <c r="AQ79" s="1" t="str">
        <f t="shared" si="5"/>
        <v/>
      </c>
      <c r="AR79" s="1"/>
      <c r="AS79" s="1"/>
      <c r="AT79" s="1"/>
      <c r="AU79" s="1"/>
      <c r="AV79" s="1"/>
      <c r="AW79" s="1"/>
      <c r="AX79" s="5"/>
      <c r="AY79" s="5"/>
      <c r="AZ79" s="5"/>
      <c r="BA79" s="5"/>
      <c r="BB79" s="1" t="s">
        <v>69</v>
      </c>
    </row>
    <row r="80" spans="1:54" x14ac:dyDescent="0.2">
      <c r="A80" s="7">
        <v>46114</v>
      </c>
      <c r="B80" s="1" t="s">
        <v>319</v>
      </c>
      <c r="C80" s="1" t="s">
        <v>320</v>
      </c>
      <c r="D80" s="1" t="s">
        <v>156</v>
      </c>
      <c r="E80" s="1" t="s">
        <v>276</v>
      </c>
      <c r="F80" s="1">
        <v>2.37</v>
      </c>
      <c r="G80" s="1">
        <v>2.87</v>
      </c>
      <c r="H80" s="1">
        <v>3.58</v>
      </c>
      <c r="I80" s="1"/>
      <c r="J80" s="1"/>
      <c r="K80" s="1" t="s">
        <v>51</v>
      </c>
      <c r="L80" s="5">
        <v>0.40100000000000002</v>
      </c>
      <c r="M80" s="5">
        <v>0.28289999999999998</v>
      </c>
      <c r="N80" s="5">
        <v>0.31609999999999999</v>
      </c>
      <c r="O80" s="5">
        <v>0.40210000000000001</v>
      </c>
      <c r="P80" s="5">
        <v>0.59789999999999999</v>
      </c>
      <c r="Q80" s="15"/>
      <c r="R80" s="15"/>
      <c r="S80" s="3"/>
      <c r="T80" s="3"/>
      <c r="U80" s="9" t="str">
        <f t="shared" si="0"/>
        <v>[PREDICCION] LOCAL</v>
      </c>
      <c r="V80" s="10">
        <f ca="1">IFERROR(__xludf.DUMMYFUNCTION("IF(B80="""", """", IFERROR(IF(VALUE(REGEXEXTRACT(TO_TEXT(Y80), ""[0-9.,]+"")) &gt; 0, IF(ISNUMBER(SEARCH(""[GANADA]"", W80)), VALUE(REGEXEXTRACT(TO_TEXT(Y80), ""[0-9.,]+"")) * (IF(ISNUMBER(SEARCH(""LOCAL"", W80)), VALUE(REGEXEXTRACT(TO_TEXT(F80), ""[0-9.,]+"&amp;""")), IF(ISNUMBER(SEARCH(""EMPATE"", W80)), VALUE(REGEXEXTRACT(TO_TEXT(G80), ""[0-9.,]+"")), VALUE(REGEXEXTRACT(TO_TEXT(H80), ""[0-9.,]+"")))) - 1), IF(ISNUMBER(SEARCH(""[PERDIDA]"", W80)), -VALUE(REGEXEXTRACT(TO_TEXT(Y80), ""[0-9.,]+"")), 0)), 0), 0) + I"&amp;"FERROR(IF(VALUE(REGEXEXTRACT(TO_TEXT(Z80), ""[0-9.,]+"")) &gt; 0, IF(ISNUMBER(SEARCH(""[GANADA]"", X80)), VALUE(REGEXEXTRACT(TO_TEXT(Z80), ""[0-9.,]+"")) * (IF(ISNUMBER(SEARCH(""OVER"", X80)), VALUE(REGEXEXTRACT(TO_TEXT(I80), ""[0-9.,]+"")), VALUE(REGEXEXTRA"&amp;"CT(TO_TEXT(J80), ""[0-9.,]+""))) - 1), IF(ISNUMBER(SEARCH(""[PERDIDA]"", X80)), -VALUE(REGEXEXTRACT(TO_TEXT(Z80), ""[0-9.,]+"")), 0)), 0), 0))"),0)</f>
        <v>0</v>
      </c>
      <c r="W80" s="1" t="str">
        <f>IF(OR(Q80="", R80=""), "[APOSTAR] VISITA", IF(Q80&lt;R80, "[GANADA] VISITA", "[PERDIDA] VISITA"))</f>
        <v>[APOSTAR] VISITA</v>
      </c>
      <c r="X80" s="1" t="s">
        <v>52</v>
      </c>
      <c r="Y80" s="11">
        <v>1767.77</v>
      </c>
      <c r="Z80" s="11">
        <v>0</v>
      </c>
      <c r="AA80" s="4" t="e">
        <f t="shared" ca="1" si="6"/>
        <v>#NAME?</v>
      </c>
      <c r="AB80" s="5" t="e">
        <f t="shared" ca="1" si="1"/>
        <v>#NAME?</v>
      </c>
      <c r="AC80" s="6" t="e">
        <f t="shared" ca="1" si="15"/>
        <v>#NAME?</v>
      </c>
      <c r="AD80" s="6"/>
      <c r="AE80" s="6"/>
      <c r="AF80" s="6" t="b">
        <v>0</v>
      </c>
      <c r="AG80" s="5"/>
      <c r="AH80" s="1"/>
      <c r="AI80" s="1"/>
      <c r="AJ80" s="1"/>
      <c r="AK80" s="1"/>
      <c r="AL80" s="1"/>
      <c r="AM80" s="1"/>
      <c r="AN80" s="5" t="e">
        <f t="shared" ca="1" si="3"/>
        <v>#NAME?</v>
      </c>
      <c r="AO80" s="1" t="str">
        <f t="shared" si="4"/>
        <v/>
      </c>
      <c r="AP80" s="1"/>
      <c r="AQ80" s="1" t="str">
        <f t="shared" si="5"/>
        <v/>
      </c>
      <c r="AR80" s="1"/>
      <c r="AS80" s="1"/>
      <c r="AT80" s="1"/>
      <c r="AU80" s="1"/>
      <c r="AV80" s="1"/>
      <c r="AW80" s="1"/>
      <c r="AX80" s="5"/>
      <c r="AY80" s="5"/>
      <c r="AZ80" s="1"/>
      <c r="BA80" s="1"/>
      <c r="BB80" s="5"/>
    </row>
    <row r="81" spans="1:54" x14ac:dyDescent="0.2">
      <c r="A81" s="7">
        <v>46115</v>
      </c>
      <c r="B81" s="1" t="s">
        <v>321</v>
      </c>
      <c r="C81" s="1" t="s">
        <v>322</v>
      </c>
      <c r="D81" s="1" t="s">
        <v>89</v>
      </c>
      <c r="E81" s="1" t="s">
        <v>323</v>
      </c>
      <c r="F81" s="1">
        <v>3.69</v>
      </c>
      <c r="G81" s="1">
        <v>2.83</v>
      </c>
      <c r="H81" s="1">
        <v>2.35</v>
      </c>
      <c r="I81" s="1"/>
      <c r="J81" s="1"/>
      <c r="K81" s="1" t="s">
        <v>51</v>
      </c>
      <c r="L81" s="5">
        <v>0.34899999999999998</v>
      </c>
      <c r="M81" s="5">
        <v>0.27579999999999999</v>
      </c>
      <c r="N81" s="5">
        <v>0.37519999999999998</v>
      </c>
      <c r="O81" s="5">
        <v>0.43309999999999998</v>
      </c>
      <c r="P81" s="5">
        <v>0.56689999999999996</v>
      </c>
      <c r="Q81" s="1"/>
      <c r="R81" s="1"/>
      <c r="S81" s="3"/>
      <c r="T81" s="3"/>
      <c r="U81" s="9" t="str">
        <f t="shared" si="0"/>
        <v>[PASAR] Margen Insuficiente (&lt;5%)</v>
      </c>
      <c r="V81" s="10">
        <f ca="1">IFERROR(__xludf.DUMMYFUNCTION("IF(B81="""", """", IFERROR(IF(VALUE(REGEXEXTRACT(TO_TEXT(Y81), ""[0-9.,]+"")) &gt; 0, IF(ISNUMBER(SEARCH(""[GANADA]"", W81)), VALUE(REGEXEXTRACT(TO_TEXT(Y81), ""[0-9.,]+"")) * (IF(ISNUMBER(SEARCH(""LOCAL"", W81)), VALUE(REGEXEXTRACT(TO_TEXT(F81), ""[0-9.,]+"&amp;""")), IF(ISNUMBER(SEARCH(""EMPATE"", W81)), VALUE(REGEXEXTRACT(TO_TEXT(G81), ""[0-9.,]+"")), VALUE(REGEXEXTRACT(TO_TEXT(H81), ""[0-9.,]+"")))) - 1), IF(ISNUMBER(SEARCH(""[PERDIDA]"", W81)), -VALUE(REGEXEXTRACT(TO_TEXT(Y81), ""[0-9.,]+"")), 0)), 0), 0) + I"&amp;"FERROR(IF(VALUE(REGEXEXTRACT(TO_TEXT(Z81), ""[0-9.,]+"")) &gt; 0, IF(ISNUMBER(SEARCH(""[GANADA]"", X81)), VALUE(REGEXEXTRACT(TO_TEXT(Z81), ""[0-9.,]+"")) * (IF(ISNUMBER(SEARCH(""OVER"", X81)), VALUE(REGEXEXTRACT(TO_TEXT(I81), ""[0-9.,]+"")), VALUE(REGEXEXTRA"&amp;"CT(TO_TEXT(J81), ""[0-9.,]+""))) - 1), IF(ISNUMBER(SEARCH(""[PERDIDA]"", X81)), -VALUE(REGEXEXTRACT(TO_TEXT(Z81), ""[0-9.,]+"")), 0)), 0), 0))"),0)</f>
        <v>0</v>
      </c>
      <c r="W81" s="1" t="s">
        <v>82</v>
      </c>
      <c r="X81" s="1" t="s">
        <v>52</v>
      </c>
      <c r="Y81" s="11">
        <v>0</v>
      </c>
      <c r="Z81" s="11">
        <v>0</v>
      </c>
      <c r="AA81" s="4" t="e">
        <f t="shared" ca="1" si="6"/>
        <v>#NAME?</v>
      </c>
      <c r="AB81" s="5" t="e">
        <f t="shared" ca="1" si="1"/>
        <v>#NAME?</v>
      </c>
      <c r="AC81" s="6"/>
      <c r="AD81" s="6"/>
      <c r="AE81" s="6"/>
      <c r="AF81" s="6" t="b">
        <v>0</v>
      </c>
      <c r="AG81" s="5"/>
      <c r="AH81" s="1"/>
      <c r="AI81" s="1"/>
      <c r="AJ81" s="1"/>
      <c r="AK81" s="1"/>
      <c r="AL81" s="1"/>
      <c r="AM81" s="1"/>
      <c r="AN81" s="5" t="e">
        <f t="shared" ca="1" si="3"/>
        <v>#NAME?</v>
      </c>
      <c r="AO81" s="1" t="str">
        <f t="shared" si="4"/>
        <v/>
      </c>
      <c r="AP81" s="1"/>
      <c r="AQ81" s="1" t="str">
        <f t="shared" si="5"/>
        <v/>
      </c>
      <c r="AR81" s="1"/>
      <c r="AS81" s="1"/>
      <c r="AT81" s="1"/>
      <c r="AU81" s="1"/>
      <c r="AV81" s="1"/>
      <c r="AW81" s="1"/>
      <c r="AX81" s="5"/>
      <c r="AY81" s="5"/>
      <c r="AZ81" s="1"/>
      <c r="BA81" s="1"/>
      <c r="BB81" s="1" t="s">
        <v>69</v>
      </c>
    </row>
    <row r="82" spans="1:54" x14ac:dyDescent="0.2">
      <c r="A82" s="7">
        <v>46114</v>
      </c>
      <c r="B82" s="1" t="s">
        <v>324</v>
      </c>
      <c r="C82" s="1" t="s">
        <v>325</v>
      </c>
      <c r="D82" s="1" t="s">
        <v>135</v>
      </c>
      <c r="E82" s="1" t="s">
        <v>67</v>
      </c>
      <c r="F82" s="1">
        <v>6.03</v>
      </c>
      <c r="G82" s="1">
        <v>4.25</v>
      </c>
      <c r="H82" s="1">
        <v>1.53</v>
      </c>
      <c r="I82" s="1">
        <v>1.85</v>
      </c>
      <c r="J82" s="1">
        <v>2</v>
      </c>
      <c r="K82" s="1" t="s">
        <v>68</v>
      </c>
      <c r="L82" s="5">
        <v>0.57569999999999999</v>
      </c>
      <c r="M82" s="5">
        <v>0.223</v>
      </c>
      <c r="N82" s="5">
        <v>0.20130000000000001</v>
      </c>
      <c r="O82" s="5">
        <v>0.55469999999999997</v>
      </c>
      <c r="P82" s="5">
        <v>0.44529999999999997</v>
      </c>
      <c r="Q82" s="1"/>
      <c r="R82" s="1"/>
      <c r="S82" s="3"/>
      <c r="T82" s="3"/>
      <c r="U82" s="9" t="str">
        <f t="shared" si="0"/>
        <v>[PREDICCION] LOCAL</v>
      </c>
      <c r="V82" s="10">
        <f ca="1">IFERROR(__xludf.DUMMYFUNCTION("IF(B82="""", """", IFERROR(IF(VALUE(REGEXEXTRACT(TO_TEXT(Y82), ""[0-9.,]+"")) &gt; 0, IF(ISNUMBER(SEARCH(""[GANADA]"", W82)), VALUE(REGEXEXTRACT(TO_TEXT(Y82), ""[0-9.,]+"")) * (IF(ISNUMBER(SEARCH(""LOCAL"", W82)), VALUE(REGEXEXTRACT(TO_TEXT(F82), ""[0-9.,]+"&amp;""")), IF(ISNUMBER(SEARCH(""EMPATE"", W82)), VALUE(REGEXEXTRACT(TO_TEXT(G82), ""[0-9.,]+"")), VALUE(REGEXEXTRACT(TO_TEXT(H82), ""[0-9.,]+"")))) - 1), IF(ISNUMBER(SEARCH(""[PERDIDA]"", W82)), -VALUE(REGEXEXTRACT(TO_TEXT(Y82), ""[0-9.,]+"")), 0)), 0), 0) + I"&amp;"FERROR(IF(VALUE(REGEXEXTRACT(TO_TEXT(Z82), ""[0-9.,]+"")) &gt; 0, IF(ISNUMBER(SEARCH(""[GANADA]"", X82)), VALUE(REGEXEXTRACT(TO_TEXT(Z82), ""[0-9.,]+"")) * (IF(ISNUMBER(SEARCH(""OVER"", X82)), VALUE(REGEXEXTRACT(TO_TEXT(I82), ""[0-9.,]+"")), VALUE(REGEXEXTRA"&amp;"CT(TO_TEXT(J82), ""[0-9.,]+""))) - 1), IF(ISNUMBER(SEARCH(""[PERDIDA]"", X82)), -VALUE(REGEXEXTRACT(TO_TEXT(Z82), ""[0-9.,]+"")), 0)), 0), 0))"),0)</f>
        <v>0</v>
      </c>
      <c r="W82" s="1" t="s">
        <v>57</v>
      </c>
      <c r="X82" s="1" t="s">
        <v>63</v>
      </c>
      <c r="Y82" s="4">
        <v>0</v>
      </c>
      <c r="Z82" s="12">
        <v>0</v>
      </c>
      <c r="AA82" s="4" t="e">
        <f t="shared" ca="1" si="6"/>
        <v>#NAME?</v>
      </c>
      <c r="AB82" s="5" t="e">
        <f t="shared" ca="1" si="1"/>
        <v>#NAME?</v>
      </c>
      <c r="AC82" s="6" t="e">
        <f ca="1">_xludf.LET(valY, IF(Y82="", 0, Y82), valZ, IF(Z82="", 0, Z82), IF(AND(valY=0, valZ=0), "NO APOSTADO", _xludf.LET(suma1X2, IF((L82+M82+N82)=0, 1, L82+M82+N82), evL, IFERROR(((L82/suma1X2)*F82)-1, -100), evX, IFERROR(((M82/suma1X2)*G82)-1, -100), evV, IFERROR(((N82/suma1X2)*H82)-1, -100), max1X2, MAX(evL, evX, evV), cuota1X2, IF(max1X2=evL, F82, IF(max1X2=evX, G82, H82)), sumaOU, IF((O82+P82)=0, 1, O82+P82), evO, IFERROR(((O82/sumaOU)*I82)-1, -100), evU, IFERROR(((P82/sumaOU)*J82)-1, -100), maxOU, MAX(evO, evU), cuotaOU, IF(maxOU=evO, I82, J82), IF(valY &gt;= valZ, cuota1X2, cuotaOU))))</f>
        <v>#NAME?</v>
      </c>
      <c r="AD82" s="6"/>
      <c r="AE82" s="6"/>
      <c r="AF82" s="6" t="b">
        <v>0</v>
      </c>
      <c r="AG82" s="5"/>
      <c r="AH82" s="1"/>
      <c r="AI82" s="1"/>
      <c r="AJ82" s="1"/>
      <c r="AK82" s="1"/>
      <c r="AL82" s="1"/>
      <c r="AM82" s="1"/>
      <c r="AN82" s="5" t="e">
        <f t="shared" ca="1" si="3"/>
        <v>#NAME?</v>
      </c>
      <c r="AO82" s="1" t="str">
        <f t="shared" si="4"/>
        <v/>
      </c>
      <c r="AP82" s="1"/>
      <c r="AQ82" s="1" t="str">
        <f t="shared" si="5"/>
        <v/>
      </c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</row>
    <row r="83" spans="1:54" x14ac:dyDescent="0.2">
      <c r="A83" s="7">
        <v>46114</v>
      </c>
      <c r="B83" s="1" t="s">
        <v>326</v>
      </c>
      <c r="C83" s="1" t="s">
        <v>314</v>
      </c>
      <c r="D83" s="1" t="s">
        <v>192</v>
      </c>
      <c r="E83" s="1" t="s">
        <v>218</v>
      </c>
      <c r="F83" s="1"/>
      <c r="G83" s="1"/>
      <c r="H83" s="1"/>
      <c r="I83" s="1"/>
      <c r="J83" s="1"/>
      <c r="K83" s="1" t="s">
        <v>68</v>
      </c>
      <c r="L83" s="5">
        <v>0.3473</v>
      </c>
      <c r="M83" s="5">
        <v>0.2616</v>
      </c>
      <c r="N83" s="5">
        <v>0.3911</v>
      </c>
      <c r="O83" s="5">
        <v>0.49</v>
      </c>
      <c r="P83" s="5">
        <v>0.51</v>
      </c>
      <c r="Q83" s="15"/>
      <c r="R83" s="15"/>
      <c r="S83" s="3"/>
      <c r="T83" s="3"/>
      <c r="U83" s="9" t="str">
        <f t="shared" si="0"/>
        <v>[PASAR] Margen Insuficiente (&lt;5%)</v>
      </c>
      <c r="V83" s="10">
        <f ca="1">IFERROR(__xludf.DUMMYFUNCTION("IF(B83="""", """", IFERROR(IF(VALUE(REGEXEXTRACT(TO_TEXT(Y83), ""[0-9.,]+"")) &gt; 0, IF(ISNUMBER(SEARCH(""[GANADA]"", W83)), VALUE(REGEXEXTRACT(TO_TEXT(Y83), ""[0-9.,]+"")) * (IF(ISNUMBER(SEARCH(""LOCAL"", W83)), VALUE(REGEXEXTRACT(TO_TEXT(F83), ""[0-9.,]+"&amp;""")), IF(ISNUMBER(SEARCH(""EMPATE"", W83)), VALUE(REGEXEXTRACT(TO_TEXT(G83), ""[0-9.,]+"")), VALUE(REGEXEXTRACT(TO_TEXT(H83), ""[0-9.,]+"")))) - 1), IF(ISNUMBER(SEARCH(""[PERDIDA]"", W83)), -VALUE(REGEXEXTRACT(TO_TEXT(Y83), ""[0-9.,]+"")), 0)), 0), 0) + I"&amp;"FERROR(IF(VALUE(REGEXEXTRACT(TO_TEXT(Z83), ""[0-9.,]+"")) &gt; 0, IF(ISNUMBER(SEARCH(""[GANADA]"", X83)), VALUE(REGEXEXTRACT(TO_TEXT(Z83), ""[0-9.,]+"")) * (IF(ISNUMBER(SEARCH(""OVER"", X83)), VALUE(REGEXEXTRACT(TO_TEXT(I83), ""[0-9.,]+"")), VALUE(REGEXEXTRA"&amp;"CT(TO_TEXT(J83), ""[0-9.,]+""))) - 1), IF(ISNUMBER(SEARCH(""[PERDIDA]"", X83)), -VALUE(REGEXEXTRACT(TO_TEXT(Z83), ""[0-9.,]+"")), 0)), 0), 0))"),0)</f>
        <v>0</v>
      </c>
      <c r="W83" s="1" t="s">
        <v>52</v>
      </c>
      <c r="X83" s="1" t="s">
        <v>52</v>
      </c>
      <c r="Y83" s="11">
        <v>0</v>
      </c>
      <c r="Z83" s="11">
        <v>0</v>
      </c>
      <c r="AA83" s="4" t="e">
        <f t="shared" ca="1" si="6"/>
        <v>#NAME?</v>
      </c>
      <c r="AB83" s="5" t="e">
        <f t="shared" ca="1" si="1"/>
        <v>#NAME?</v>
      </c>
      <c r="AC83" s="6"/>
      <c r="AD83" s="6"/>
      <c r="AE83" s="6"/>
      <c r="AF83" s="6" t="b">
        <v>0</v>
      </c>
      <c r="AG83" s="5"/>
      <c r="AH83" s="1"/>
      <c r="AI83" s="1"/>
      <c r="AJ83" s="1"/>
      <c r="AK83" s="1"/>
      <c r="AL83" s="1"/>
      <c r="AM83" s="1"/>
      <c r="AN83" s="5" t="e">
        <f t="shared" ca="1" si="3"/>
        <v>#NAME?</v>
      </c>
      <c r="AO83" s="1" t="str">
        <f t="shared" si="4"/>
        <v/>
      </c>
      <c r="AP83" s="1"/>
      <c r="AQ83" s="1" t="str">
        <f t="shared" si="5"/>
        <v/>
      </c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</row>
    <row r="84" spans="1:54" x14ac:dyDescent="0.2">
      <c r="A84" s="7">
        <v>46115</v>
      </c>
      <c r="B84" s="1" t="s">
        <v>327</v>
      </c>
      <c r="C84" s="1" t="s">
        <v>328</v>
      </c>
      <c r="D84" s="1" t="s">
        <v>80</v>
      </c>
      <c r="E84" s="1" t="s">
        <v>272</v>
      </c>
      <c r="F84" s="1"/>
      <c r="G84" s="1"/>
      <c r="H84" s="1"/>
      <c r="I84" s="1"/>
      <c r="J84" s="1"/>
      <c r="K84" s="1" t="s">
        <v>51</v>
      </c>
      <c r="L84" s="5">
        <v>0.3387</v>
      </c>
      <c r="M84" s="5">
        <v>0.28710000000000002</v>
      </c>
      <c r="N84" s="5">
        <v>0.37409999999999999</v>
      </c>
      <c r="O84" s="5">
        <v>0.39090000000000003</v>
      </c>
      <c r="P84" s="5">
        <v>0.60909999999999997</v>
      </c>
      <c r="Q84" s="1"/>
      <c r="R84" s="1"/>
      <c r="S84" s="3"/>
      <c r="T84" s="3"/>
      <c r="U84" s="9" t="str">
        <f t="shared" si="0"/>
        <v>[PASAR] Margen Insuficiente (&lt;5%)</v>
      </c>
      <c r="V84" s="10">
        <f ca="1">IFERROR(__xludf.DUMMYFUNCTION("IF(B84="""", """", IFERROR(IF(VALUE(REGEXEXTRACT(TO_TEXT(Y84), ""[0-9.,]+"")) &gt; 0, IF(ISNUMBER(SEARCH(""[GANADA]"", W84)), VALUE(REGEXEXTRACT(TO_TEXT(Y84), ""[0-9.,]+"")) * (IF(ISNUMBER(SEARCH(""LOCAL"", W84)), VALUE(REGEXEXTRACT(TO_TEXT(F84), ""[0-9.,]+"&amp;""")), IF(ISNUMBER(SEARCH(""EMPATE"", W84)), VALUE(REGEXEXTRACT(TO_TEXT(G84), ""[0-9.,]+"")), VALUE(REGEXEXTRACT(TO_TEXT(H84), ""[0-9.,]+"")))) - 1), IF(ISNUMBER(SEARCH(""[PERDIDA]"", W84)), -VALUE(REGEXEXTRACT(TO_TEXT(Y84), ""[0-9.,]+"")), 0)), 0), 0) + I"&amp;"FERROR(IF(VALUE(REGEXEXTRACT(TO_TEXT(Z84), ""[0-9.,]+"")) &gt; 0, IF(ISNUMBER(SEARCH(""[GANADA]"", X84)), VALUE(REGEXEXTRACT(TO_TEXT(Z84), ""[0-9.,]+"")) * (IF(ISNUMBER(SEARCH(""OVER"", X84)), VALUE(REGEXEXTRACT(TO_TEXT(I84), ""[0-9.,]+"")), VALUE(REGEXEXTRA"&amp;"CT(TO_TEXT(J84), ""[0-9.,]+""))) - 1), IF(ISNUMBER(SEARCH(""[PERDIDA]"", X84)), -VALUE(REGEXEXTRACT(TO_TEXT(Z84), ""[0-9.,]+"")), 0)), 0), 0))"),0)</f>
        <v>0</v>
      </c>
      <c r="W84" s="1" t="s">
        <v>52</v>
      </c>
      <c r="X84" s="1" t="s">
        <v>52</v>
      </c>
      <c r="Y84" s="11">
        <v>0</v>
      </c>
      <c r="Z84" s="11">
        <v>0</v>
      </c>
      <c r="AA84" s="4" t="e">
        <f t="shared" ca="1" si="6"/>
        <v>#NAME?</v>
      </c>
      <c r="AB84" s="5" t="e">
        <f t="shared" ca="1" si="1"/>
        <v>#NAME?</v>
      </c>
      <c r="AC84" s="6"/>
      <c r="AD84" s="6"/>
      <c r="AE84" s="6"/>
      <c r="AF84" s="6" t="b">
        <v>0</v>
      </c>
      <c r="AG84" s="5"/>
      <c r="AH84" s="1"/>
      <c r="AI84" s="1"/>
      <c r="AJ84" s="1"/>
      <c r="AK84" s="1"/>
      <c r="AL84" s="1"/>
      <c r="AM84" s="1"/>
      <c r="AN84" s="5" t="e">
        <f t="shared" ca="1" si="3"/>
        <v>#NAME?</v>
      </c>
      <c r="AO84" s="1" t="str">
        <f t="shared" si="4"/>
        <v/>
      </c>
      <c r="AP84" s="1"/>
      <c r="AQ84" s="1" t="str">
        <f t="shared" si="5"/>
        <v/>
      </c>
      <c r="AR84" s="1"/>
      <c r="AS84" s="1"/>
      <c r="AT84" s="1"/>
      <c r="AU84" s="1"/>
      <c r="AV84" s="1"/>
      <c r="AW84" s="1"/>
      <c r="AX84" s="5"/>
      <c r="AY84" s="5"/>
      <c r="AZ84" s="1"/>
      <c r="BA84" s="1"/>
      <c r="BB84" s="1" t="s">
        <v>69</v>
      </c>
    </row>
    <row r="85" spans="1:54" x14ac:dyDescent="0.2">
      <c r="A85" s="7">
        <v>46115</v>
      </c>
      <c r="B85" s="1" t="s">
        <v>329</v>
      </c>
      <c r="C85" s="1" t="s">
        <v>330</v>
      </c>
      <c r="D85" s="1" t="s">
        <v>331</v>
      </c>
      <c r="E85" s="1" t="s">
        <v>86</v>
      </c>
      <c r="F85" s="1">
        <v>4.92</v>
      </c>
      <c r="G85" s="1">
        <v>3.12</v>
      </c>
      <c r="H85" s="1">
        <v>1.89</v>
      </c>
      <c r="I85" s="1"/>
      <c r="J85" s="1"/>
      <c r="K85" s="1" t="s">
        <v>51</v>
      </c>
      <c r="L85" s="5">
        <v>0.47310000000000002</v>
      </c>
      <c r="M85" s="5">
        <v>0.27800000000000002</v>
      </c>
      <c r="N85" s="5">
        <v>0.24890000000000001</v>
      </c>
      <c r="O85" s="5">
        <v>0.3901</v>
      </c>
      <c r="P85" s="5">
        <v>0.6099</v>
      </c>
      <c r="Q85" s="1"/>
      <c r="R85" s="1"/>
      <c r="S85" s="3"/>
      <c r="T85" s="3"/>
      <c r="U85" s="9" t="str">
        <f t="shared" si="0"/>
        <v>[PREDICCION] LOCAL</v>
      </c>
      <c r="V85" s="10">
        <f ca="1">IFERROR(__xludf.DUMMYFUNCTION("IF(B85="""", """", IFERROR(IF(VALUE(REGEXEXTRACT(TO_TEXT(Y85), ""[0-9.,]+"")) &gt; 0, IF(ISNUMBER(SEARCH(""[GANADA]"", W85)), VALUE(REGEXEXTRACT(TO_TEXT(Y85), ""[0-9.,]+"")) * (IF(ISNUMBER(SEARCH(""LOCAL"", W85)), VALUE(REGEXEXTRACT(TO_TEXT(F85), ""[0-9.,]+"&amp;""")), IF(ISNUMBER(SEARCH(""EMPATE"", W85)), VALUE(REGEXEXTRACT(TO_TEXT(G85), ""[0-9.,]+"")), VALUE(REGEXEXTRACT(TO_TEXT(H85), ""[0-9.,]+"")))) - 1), IF(ISNUMBER(SEARCH(""[PERDIDA]"", W85)), -VALUE(REGEXEXTRACT(TO_TEXT(Y85), ""[0-9.,]+"")), 0)), 0), 0) + I"&amp;"FERROR(IF(VALUE(REGEXEXTRACT(TO_TEXT(Z85), ""[0-9.,]+"")) &gt; 0, IF(ISNUMBER(SEARCH(""[GANADA]"", X85)), VALUE(REGEXEXTRACT(TO_TEXT(Z85), ""[0-9.,]+"")) * (IF(ISNUMBER(SEARCH(""OVER"", X85)), VALUE(REGEXEXTRACT(TO_TEXT(I85), ""[0-9.,]+"")), VALUE(REGEXEXTRA"&amp;"CT(TO_TEXT(J85), ""[0-9.,]+""))) - 1), IF(ISNUMBER(SEARCH(""[PERDIDA]"", X85)), -VALUE(REGEXEXTRACT(TO_TEXT(Z85), ""[0-9.,]+"")), 0)), 0), 0))"),0)</f>
        <v>0</v>
      </c>
      <c r="W85" s="1" t="str">
        <f>IF(OR(Q85="", R85=""), "[APOSTAR] LOCAL", IF(Q85&gt;R85, "[GANADA] LOCAL", "[PERDIDA] LOCAL"))</f>
        <v>[APOSTAR] LOCAL</v>
      </c>
      <c r="X85" s="1" t="s">
        <v>52</v>
      </c>
      <c r="Y85" s="11">
        <v>2500</v>
      </c>
      <c r="Z85" s="11">
        <v>0</v>
      </c>
      <c r="AA85" s="4" t="e">
        <f t="shared" ca="1" si="6"/>
        <v>#NAME?</v>
      </c>
      <c r="AB85" s="5" t="e">
        <f t="shared" ca="1" si="1"/>
        <v>#NAME?</v>
      </c>
      <c r="AC85" s="6"/>
      <c r="AD85" s="6"/>
      <c r="AE85" s="6"/>
      <c r="AF85" s="6" t="b">
        <v>0</v>
      </c>
      <c r="AG85" s="5"/>
      <c r="AH85" s="1"/>
      <c r="AI85" s="1"/>
      <c r="AJ85" s="1"/>
      <c r="AK85" s="1"/>
      <c r="AL85" s="1"/>
      <c r="AM85" s="1"/>
      <c r="AN85" s="5" t="e">
        <f t="shared" ca="1" si="3"/>
        <v>#NAME?</v>
      </c>
      <c r="AO85" s="1" t="str">
        <f t="shared" si="4"/>
        <v/>
      </c>
      <c r="AP85" s="1"/>
      <c r="AQ85" s="1" t="str">
        <f t="shared" si="5"/>
        <v/>
      </c>
      <c r="AR85" s="1"/>
      <c r="AS85" s="1"/>
      <c r="AT85" s="1"/>
      <c r="AU85" s="1"/>
      <c r="AV85" s="1"/>
      <c r="AW85" s="1"/>
      <c r="AX85" s="5"/>
      <c r="AY85" s="5"/>
      <c r="AZ85" s="5"/>
      <c r="BA85" s="5"/>
      <c r="BB85" s="1" t="s">
        <v>69</v>
      </c>
    </row>
    <row r="86" spans="1:54" x14ac:dyDescent="0.2">
      <c r="A86" s="7">
        <v>46116</v>
      </c>
      <c r="B86" s="1" t="s">
        <v>332</v>
      </c>
      <c r="C86" s="1" t="s">
        <v>333</v>
      </c>
      <c r="D86" s="1" t="s">
        <v>49</v>
      </c>
      <c r="E86" s="1" t="s">
        <v>77</v>
      </c>
      <c r="F86" s="1">
        <v>2.14</v>
      </c>
      <c r="G86" s="1">
        <v>3.09</v>
      </c>
      <c r="H86" s="1">
        <v>3.86</v>
      </c>
      <c r="I86" s="1"/>
      <c r="J86" s="1"/>
      <c r="K86" s="1" t="s">
        <v>51</v>
      </c>
      <c r="L86" s="5">
        <v>0.4476</v>
      </c>
      <c r="M86" s="5">
        <v>0.27129999999999999</v>
      </c>
      <c r="N86" s="5">
        <v>0.28110000000000002</v>
      </c>
      <c r="O86" s="5">
        <v>0.43109999999999998</v>
      </c>
      <c r="P86" s="5">
        <v>0.56889999999999996</v>
      </c>
      <c r="Q86" s="1"/>
      <c r="R86" s="1"/>
      <c r="S86" s="3"/>
      <c r="T86" s="3"/>
      <c r="U86" s="9" t="str">
        <f t="shared" si="0"/>
        <v>[PREDICCION] LOCAL</v>
      </c>
      <c r="V86" s="10">
        <f ca="1">IFERROR(__xludf.DUMMYFUNCTION("IF(B86="""", """", IFERROR(IF(VALUE(REGEXEXTRACT(TO_TEXT(Y86), ""[0-9.,]+"")) &gt; 0, IF(ISNUMBER(SEARCH(""[GANADA]"", W86)), VALUE(REGEXEXTRACT(TO_TEXT(Y86), ""[0-9.,]+"")) * (IF(ISNUMBER(SEARCH(""LOCAL"", W86)), VALUE(REGEXEXTRACT(TO_TEXT(F86), ""[0-9.,]+"&amp;""")), IF(ISNUMBER(SEARCH(""EMPATE"", W86)), VALUE(REGEXEXTRACT(TO_TEXT(G86), ""[0-9.,]+"")), VALUE(REGEXEXTRACT(TO_TEXT(H86), ""[0-9.,]+"")))) - 1), IF(ISNUMBER(SEARCH(""[PERDIDA]"", W86)), -VALUE(REGEXEXTRACT(TO_TEXT(Y86), ""[0-9.,]+"")), 0)), 0), 0) + I"&amp;"FERROR(IF(VALUE(REGEXEXTRACT(TO_TEXT(Z86), ""[0-9.,]+"")) &gt; 0, IF(ISNUMBER(SEARCH(""[GANADA]"", X86)), VALUE(REGEXEXTRACT(TO_TEXT(Z86), ""[0-9.,]+"")) * (IF(ISNUMBER(SEARCH(""OVER"", X86)), VALUE(REGEXEXTRACT(TO_TEXT(I86), ""[0-9.,]+"")), VALUE(REGEXEXTRA"&amp;"CT(TO_TEXT(J86), ""[0-9.,]+""))) - 1), IF(ISNUMBER(SEARCH(""[PERDIDA]"", X86)), -VALUE(REGEXEXTRACT(TO_TEXT(Z86), ""[0-9.,]+"")), 0)), 0), 0))"),0)</f>
        <v>0</v>
      </c>
      <c r="W86" s="1" t="str">
        <f>IF(OR(Q86="", R86=""), "[APOSTAR] VISITA", IF(Q86&lt;R86, "[GANADA] VISITA", "[PERDIDA] VISITA"))</f>
        <v>[APOSTAR] VISITA</v>
      </c>
      <c r="X86" s="1" t="s">
        <v>52</v>
      </c>
      <c r="Y86" s="11">
        <v>2500</v>
      </c>
      <c r="Z86" s="11">
        <v>0</v>
      </c>
      <c r="AA86" s="4" t="e">
        <f t="shared" ca="1" si="6"/>
        <v>#NAME?</v>
      </c>
      <c r="AB86" s="5" t="e">
        <f t="shared" ca="1" si="1"/>
        <v>#NAME?</v>
      </c>
      <c r="AC86" s="6"/>
      <c r="AD86" s="6"/>
      <c r="AE86" s="6"/>
      <c r="AF86" s="6" t="b">
        <v>0</v>
      </c>
      <c r="AG86" s="5"/>
      <c r="AH86" s="1"/>
      <c r="AI86" s="1"/>
      <c r="AJ86" s="1"/>
      <c r="AK86" s="1"/>
      <c r="AL86" s="1"/>
      <c r="AM86" s="1"/>
      <c r="AN86" s="5" t="e">
        <f t="shared" ca="1" si="3"/>
        <v>#NAME?</v>
      </c>
      <c r="AO86" s="1" t="str">
        <f t="shared" si="4"/>
        <v/>
      </c>
      <c r="AP86" s="1"/>
      <c r="AQ86" s="1" t="str">
        <f t="shared" si="5"/>
        <v/>
      </c>
      <c r="AR86" s="1"/>
      <c r="AS86" s="1"/>
      <c r="AT86" s="1"/>
      <c r="AU86" s="1"/>
      <c r="AV86" s="1"/>
      <c r="AW86" s="1"/>
      <c r="AX86" s="1"/>
      <c r="AY86" s="5"/>
      <c r="AZ86" s="4"/>
      <c r="BA86" s="5"/>
      <c r="BB86" s="1" t="s">
        <v>69</v>
      </c>
    </row>
    <row r="87" spans="1:54" x14ac:dyDescent="0.2">
      <c r="A87" s="7">
        <v>46116</v>
      </c>
      <c r="B87" s="1" t="s">
        <v>334</v>
      </c>
      <c r="C87" s="1" t="s">
        <v>335</v>
      </c>
      <c r="D87" s="1" t="s">
        <v>132</v>
      </c>
      <c r="E87" s="1" t="s">
        <v>144</v>
      </c>
      <c r="F87" s="1"/>
      <c r="G87" s="1"/>
      <c r="H87" s="1"/>
      <c r="I87" s="1"/>
      <c r="J87" s="1"/>
      <c r="K87" s="1" t="s">
        <v>68</v>
      </c>
      <c r="L87" s="5">
        <v>0.37630000000000002</v>
      </c>
      <c r="M87" s="5">
        <v>0.25969999999999999</v>
      </c>
      <c r="N87" s="5">
        <v>0.36399999999999999</v>
      </c>
      <c r="O87" s="5">
        <v>0.49980000000000002</v>
      </c>
      <c r="P87" s="5">
        <v>0.50019999999999998</v>
      </c>
      <c r="Q87" s="1"/>
      <c r="R87" s="1"/>
      <c r="S87" s="3"/>
      <c r="T87" s="3"/>
      <c r="U87" s="9" t="str">
        <f t="shared" si="0"/>
        <v>[PASAR] Margen Insuficiente (&lt;5%)</v>
      </c>
      <c r="V87" s="10">
        <f ca="1">IFERROR(__xludf.DUMMYFUNCTION("IF(B87="""", """", IFERROR(IF(VALUE(REGEXEXTRACT(TO_TEXT(Y87), ""[0-9.,]+"")) &gt; 0, IF(ISNUMBER(SEARCH(""[GANADA]"", W87)), VALUE(REGEXEXTRACT(TO_TEXT(Y87), ""[0-9.,]+"")) * (IF(ISNUMBER(SEARCH(""LOCAL"", W87)), VALUE(REGEXEXTRACT(TO_TEXT(F87), ""[0-9.,]+"&amp;""")), IF(ISNUMBER(SEARCH(""EMPATE"", W87)), VALUE(REGEXEXTRACT(TO_TEXT(G87), ""[0-9.,]+"")), VALUE(REGEXEXTRACT(TO_TEXT(H87), ""[0-9.,]+"")))) - 1), IF(ISNUMBER(SEARCH(""[PERDIDA]"", W87)), -VALUE(REGEXEXTRACT(TO_TEXT(Y87), ""[0-9.,]+"")), 0)), 0), 0) + I"&amp;"FERROR(IF(VALUE(REGEXEXTRACT(TO_TEXT(Z87), ""[0-9.,]+"")) &gt; 0, IF(ISNUMBER(SEARCH(""[GANADA]"", X87)), VALUE(REGEXEXTRACT(TO_TEXT(Z87), ""[0-9.,]+"")) * (IF(ISNUMBER(SEARCH(""OVER"", X87)), VALUE(REGEXEXTRACT(TO_TEXT(I87), ""[0-9.,]+"")), VALUE(REGEXEXTRA"&amp;"CT(TO_TEXT(J87), ""[0-9.,]+""))) - 1), IF(ISNUMBER(SEARCH(""[PERDIDA]"", X87)), -VALUE(REGEXEXTRACT(TO_TEXT(Z87), ""[0-9.,]+"")), 0)), 0), 0))"),0)</f>
        <v>0</v>
      </c>
      <c r="W87" s="1" t="s">
        <v>52</v>
      </c>
      <c r="X87" s="1" t="s">
        <v>52</v>
      </c>
      <c r="Y87" s="11">
        <v>0</v>
      </c>
      <c r="Z87" s="11">
        <v>0</v>
      </c>
      <c r="AA87" s="4" t="e">
        <f t="shared" ca="1" si="6"/>
        <v>#NAME?</v>
      </c>
      <c r="AB87" s="5" t="e">
        <f t="shared" ca="1" si="1"/>
        <v>#NAME?</v>
      </c>
      <c r="AC87" s="6"/>
      <c r="AD87" s="6"/>
      <c r="AE87" s="6"/>
      <c r="AF87" s="6" t="b">
        <v>0</v>
      </c>
      <c r="AG87" s="5"/>
      <c r="AH87" s="1"/>
      <c r="AI87" s="1"/>
      <c r="AJ87" s="1"/>
      <c r="AK87" s="1"/>
      <c r="AL87" s="1"/>
      <c r="AM87" s="1"/>
      <c r="AN87" s="5"/>
      <c r="AO87" s="1" t="str">
        <f t="shared" si="4"/>
        <v/>
      </c>
      <c r="AP87" s="1"/>
      <c r="AQ87" s="1" t="str">
        <f t="shared" si="5"/>
        <v/>
      </c>
      <c r="AR87" s="1"/>
      <c r="AS87" s="1"/>
      <c r="AT87" s="1"/>
      <c r="AU87" s="1"/>
      <c r="AV87" s="1"/>
      <c r="AW87" s="1"/>
      <c r="AX87" s="5"/>
      <c r="AY87" s="5"/>
      <c r="AZ87" s="1"/>
      <c r="BA87" s="1"/>
      <c r="BB87" s="1" t="s">
        <v>69</v>
      </c>
    </row>
    <row r="88" spans="1:54" x14ac:dyDescent="0.2">
      <c r="A88" s="7">
        <v>46116</v>
      </c>
      <c r="B88" s="1" t="s">
        <v>336</v>
      </c>
      <c r="C88" s="1" t="s">
        <v>337</v>
      </c>
      <c r="D88" s="1" t="s">
        <v>338</v>
      </c>
      <c r="E88" s="1" t="s">
        <v>97</v>
      </c>
      <c r="F88" s="1"/>
      <c r="G88" s="1"/>
      <c r="H88" s="1"/>
      <c r="I88" s="1"/>
      <c r="J88" s="1"/>
      <c r="K88" s="1" t="s">
        <v>99</v>
      </c>
      <c r="L88" s="5">
        <v>0.39419999999999999</v>
      </c>
      <c r="M88" s="5">
        <v>0.25</v>
      </c>
      <c r="N88" s="5">
        <v>0.35580000000000001</v>
      </c>
      <c r="O88" s="5">
        <v>0.54259999999999997</v>
      </c>
      <c r="P88" s="5">
        <v>0.45739999999999997</v>
      </c>
      <c r="Q88" s="1"/>
      <c r="R88" s="1"/>
      <c r="S88" s="3"/>
      <c r="T88" s="3"/>
      <c r="U88" s="9" t="str">
        <f t="shared" si="0"/>
        <v>[PASAR] Margen Insuficiente (&lt;5%)</v>
      </c>
      <c r="V88" s="10">
        <f ca="1">IFERROR(__xludf.DUMMYFUNCTION("IF(B88="""", """", IFERROR(IF(VALUE(REGEXEXTRACT(TO_TEXT(Y88), ""[0-9.,]+"")) &gt; 0, IF(ISNUMBER(SEARCH(""[GANADA]"", W88)), VALUE(REGEXEXTRACT(TO_TEXT(Y88), ""[0-9.,]+"")) * (IF(ISNUMBER(SEARCH(""LOCAL"", W88)), VALUE(REGEXEXTRACT(TO_TEXT(F88), ""[0-9.,]+"&amp;""")), IF(ISNUMBER(SEARCH(""EMPATE"", W88)), VALUE(REGEXEXTRACT(TO_TEXT(G88), ""[0-9.,]+"")), VALUE(REGEXEXTRACT(TO_TEXT(H88), ""[0-9.,]+"")))) - 1), IF(ISNUMBER(SEARCH(""[PERDIDA]"", W88)), -VALUE(REGEXEXTRACT(TO_TEXT(Y88), ""[0-9.,]+"")), 0)), 0), 0) + I"&amp;"FERROR(IF(VALUE(REGEXEXTRACT(TO_TEXT(Z88), ""[0-9.,]+"")) &gt; 0, IF(ISNUMBER(SEARCH(""[GANADA]"", X88)), VALUE(REGEXEXTRACT(TO_TEXT(Z88), ""[0-9.,]+"")) * (IF(ISNUMBER(SEARCH(""OVER"", X88)), VALUE(REGEXEXTRACT(TO_TEXT(I88), ""[0-9.,]+"")), VALUE(REGEXEXTRA"&amp;"CT(TO_TEXT(J88), ""[0-9.,]+""))) - 1), IF(ISNUMBER(SEARCH(""[PERDIDA]"", X88)), -VALUE(REGEXEXTRACT(TO_TEXT(Z88), ""[0-9.,]+"")), 0)), 0), 0))"),0)</f>
        <v>0</v>
      </c>
      <c r="W88" s="1" t="s">
        <v>52</v>
      </c>
      <c r="X88" s="1" t="s">
        <v>52</v>
      </c>
      <c r="Y88" s="11">
        <v>0</v>
      </c>
      <c r="Z88" s="11">
        <v>0</v>
      </c>
      <c r="AA88" s="4" t="e">
        <f t="shared" ca="1" si="6"/>
        <v>#NAME?</v>
      </c>
      <c r="AB88" s="5" t="e">
        <f t="shared" ca="1" si="1"/>
        <v>#NAME?</v>
      </c>
      <c r="AC88" s="6"/>
      <c r="AD88" s="6"/>
      <c r="AE88" s="6"/>
      <c r="AF88" s="6" t="b">
        <v>0</v>
      </c>
      <c r="AG88" s="5"/>
      <c r="AH88" s="1"/>
      <c r="AI88" s="1"/>
      <c r="AJ88" s="1"/>
      <c r="AK88" s="1"/>
      <c r="AL88" s="1"/>
      <c r="AM88" s="1"/>
      <c r="AN88" s="5" t="e">
        <f t="shared" ref="AN88:AN91" ca="1" si="16">IF(A88="", "", _xludf.LET(
    sumaTot, L88+M88+N88,
    probL_n, L88/sumaTot, probX_n, M88/sumaTot, probV_n, N88/sumaTot,
    evL, IFERROR((probL_n * F88) - 1, -100),
    evX, IFERROR((probX_n * G88) - 1, -100),
    evV, IFERROR((probV_n * H88) - 1, -100),
    maxEV, MAX(evL, evX, evV),
    cuotaElegida, IF(maxEV=evL, F88, IF(maxEV=evX, G88, H88)),
    kelly_bruto, IF(cuotaElegida &gt; 1, maxEV / (cuotaElegida - 1), 0),
    kelly_fraccionado, kelly_bruto * 0.25,
    MAX(0, MIN(0.05, kelly_fraccionado))
))</f>
        <v>#NAME?</v>
      </c>
      <c r="AO88" s="1" t="str">
        <f t="shared" si="4"/>
        <v/>
      </c>
      <c r="AP88" s="1"/>
      <c r="AQ88" s="1" t="str">
        <f t="shared" si="5"/>
        <v/>
      </c>
      <c r="AR88" s="1"/>
      <c r="AS88" s="1"/>
      <c r="AT88" s="1"/>
      <c r="AU88" s="1"/>
      <c r="AV88" s="1"/>
      <c r="AW88" s="1"/>
      <c r="AX88" s="5"/>
      <c r="AY88" s="5"/>
      <c r="AZ88" s="1"/>
      <c r="BA88" s="1"/>
      <c r="BB88" s="1" t="s">
        <v>69</v>
      </c>
    </row>
    <row r="89" spans="1:54" x14ac:dyDescent="0.2">
      <c r="A89" s="7">
        <v>46116</v>
      </c>
      <c r="B89" s="1" t="s">
        <v>339</v>
      </c>
      <c r="C89" s="1" t="s">
        <v>340</v>
      </c>
      <c r="D89" s="1" t="s">
        <v>341</v>
      </c>
      <c r="E89" s="1" t="s">
        <v>123</v>
      </c>
      <c r="F89" s="1">
        <v>3.14</v>
      </c>
      <c r="G89" s="1">
        <v>3.13</v>
      </c>
      <c r="H89" s="1">
        <v>2.4300000000000002</v>
      </c>
      <c r="I89" s="1"/>
      <c r="J89" s="1"/>
      <c r="K89" s="1" t="s">
        <v>99</v>
      </c>
      <c r="L89" s="5">
        <v>0.39360000000000001</v>
      </c>
      <c r="M89" s="5">
        <v>0.253</v>
      </c>
      <c r="N89" s="5">
        <v>0.35339999999999999</v>
      </c>
      <c r="O89" s="5">
        <v>0.52839999999999998</v>
      </c>
      <c r="P89" s="5">
        <v>0.47160000000000002</v>
      </c>
      <c r="Q89" s="1"/>
      <c r="R89" s="1"/>
      <c r="S89" s="3"/>
      <c r="T89" s="3"/>
      <c r="U89" s="9" t="str">
        <f t="shared" si="0"/>
        <v>[PASAR] Margen Insuficiente (&lt;5%)</v>
      </c>
      <c r="V89" s="10">
        <f ca="1">IFERROR(__xludf.DUMMYFUNCTION("IF(B89="""", """", IFERROR(IF(VALUE(REGEXEXTRACT(TO_TEXT(Y89), ""[0-9.,]+"")) &gt; 0, IF(ISNUMBER(SEARCH(""[GANADA]"", W89)), VALUE(REGEXEXTRACT(TO_TEXT(Y89), ""[0-9.,]+"")) * (IF(ISNUMBER(SEARCH(""LOCAL"", W89)), VALUE(REGEXEXTRACT(TO_TEXT(F89), ""[0-9.,]+"&amp;""")), IF(ISNUMBER(SEARCH(""EMPATE"", W89)), VALUE(REGEXEXTRACT(TO_TEXT(G89), ""[0-9.,]+"")), VALUE(REGEXEXTRACT(TO_TEXT(H89), ""[0-9.,]+"")))) - 1), IF(ISNUMBER(SEARCH(""[PERDIDA]"", W89)), -VALUE(REGEXEXTRACT(TO_TEXT(Y89), ""[0-9.,]+"")), 0)), 0), 0) + I"&amp;"FERROR(IF(VALUE(REGEXEXTRACT(TO_TEXT(Z89), ""[0-9.,]+"")) &gt; 0, IF(ISNUMBER(SEARCH(""[GANADA]"", X89)), VALUE(REGEXEXTRACT(TO_TEXT(Z89), ""[0-9.,]+"")) * (IF(ISNUMBER(SEARCH(""OVER"", X89)), VALUE(REGEXEXTRACT(TO_TEXT(I89), ""[0-9.,]+"")), VALUE(REGEXEXTRA"&amp;"CT(TO_TEXT(J89), ""[0-9.,]+""))) - 1), IF(ISNUMBER(SEARCH(""[PERDIDA]"", X89)), -VALUE(REGEXEXTRACT(TO_TEXT(Z89), ""[0-9.,]+"")), 0)), 0), 0))"),0)</f>
        <v>0</v>
      </c>
      <c r="W89" s="1" t="s">
        <v>82</v>
      </c>
      <c r="X89" s="1" t="s">
        <v>52</v>
      </c>
      <c r="Y89" s="11">
        <v>0</v>
      </c>
      <c r="Z89" s="11">
        <v>0</v>
      </c>
      <c r="AA89" s="4" t="e">
        <f t="shared" ca="1" si="6"/>
        <v>#NAME?</v>
      </c>
      <c r="AB89" s="5" t="e">
        <f t="shared" ca="1" si="1"/>
        <v>#NAME?</v>
      </c>
      <c r="AC89" s="6"/>
      <c r="AD89" s="6"/>
      <c r="AE89" s="6"/>
      <c r="AF89" s="6" t="b">
        <v>0</v>
      </c>
      <c r="AG89" s="5"/>
      <c r="AH89" s="1"/>
      <c r="AI89" s="1"/>
      <c r="AJ89" s="1"/>
      <c r="AK89" s="1"/>
      <c r="AL89" s="1"/>
      <c r="AM89" s="1"/>
      <c r="AN89" s="5" t="e">
        <f t="shared" ca="1" si="16"/>
        <v>#NAME?</v>
      </c>
      <c r="AO89" s="1" t="str">
        <f t="shared" si="4"/>
        <v/>
      </c>
      <c r="AP89" s="1"/>
      <c r="AQ89" s="1" t="str">
        <f t="shared" si="5"/>
        <v/>
      </c>
      <c r="AR89" s="1"/>
      <c r="AS89" s="1"/>
      <c r="AT89" s="1"/>
      <c r="AU89" s="1"/>
      <c r="AV89" s="1"/>
      <c r="AW89" s="1"/>
      <c r="AX89" s="5"/>
      <c r="AY89" s="5"/>
      <c r="AZ89" s="1"/>
      <c r="BA89" s="1"/>
      <c r="BB89" s="1" t="s">
        <v>69</v>
      </c>
    </row>
    <row r="90" spans="1:54" x14ac:dyDescent="0.2">
      <c r="A90" s="7">
        <v>46116</v>
      </c>
      <c r="B90" s="1" t="s">
        <v>342</v>
      </c>
      <c r="C90" s="1" t="s">
        <v>343</v>
      </c>
      <c r="D90" s="1" t="s">
        <v>73</v>
      </c>
      <c r="E90" s="1" t="s">
        <v>76</v>
      </c>
      <c r="F90" s="1">
        <v>2.61</v>
      </c>
      <c r="G90" s="1">
        <v>3.02</v>
      </c>
      <c r="H90" s="1">
        <v>2.98</v>
      </c>
      <c r="I90" s="1"/>
      <c r="J90" s="1"/>
      <c r="K90" s="1" t="s">
        <v>51</v>
      </c>
      <c r="L90" s="5">
        <v>0.38929999999999998</v>
      </c>
      <c r="M90" s="5">
        <v>0.27189999999999998</v>
      </c>
      <c r="N90" s="5">
        <v>0.33879999999999999</v>
      </c>
      <c r="O90" s="5">
        <v>0.44700000000000001</v>
      </c>
      <c r="P90" s="5">
        <v>0.55300000000000005</v>
      </c>
      <c r="Q90" s="1"/>
      <c r="R90" s="1"/>
      <c r="S90" s="3"/>
      <c r="T90" s="3"/>
      <c r="U90" s="1" t="str">
        <f t="shared" si="0"/>
        <v>[PREDICCION] LOCAL</v>
      </c>
      <c r="V90" s="10">
        <f ca="1">IFERROR(__xludf.DUMMYFUNCTION("IF(B90="""", """", IFERROR(IF(VALUE(REGEXEXTRACT(TO_TEXT(Y90), ""[0-9.,]+"")) &gt; 0, IF(ISNUMBER(SEARCH(""[GANADA]"", W90)), VALUE(REGEXEXTRACT(TO_TEXT(Y90), ""[0-9.,]+"")) * (IF(ISNUMBER(SEARCH(""LOCAL"", W90)), VALUE(REGEXEXTRACT(TO_TEXT(F90), ""[0-9.,]+"&amp;""")), IF(ISNUMBER(SEARCH(""EMPATE"", W90)), VALUE(REGEXEXTRACT(TO_TEXT(G90), ""[0-9.,]+"")), VALUE(REGEXEXTRACT(TO_TEXT(H90), ""[0-9.,]+"")))) - 1), IF(ISNUMBER(SEARCH(""[PERDIDA]"", W90)), -VALUE(REGEXEXTRACT(TO_TEXT(Y90), ""[0-9.,]+"")), 0)), 0), 0) + I"&amp;"FERROR(IF(VALUE(REGEXEXTRACT(TO_TEXT(Z90), ""[0-9.,]+"")) &gt; 0, IF(ISNUMBER(SEARCH(""[GANADA]"", X90)), VALUE(REGEXEXTRACT(TO_TEXT(Z90), ""[0-9.,]+"")) * (IF(ISNUMBER(SEARCH(""OVER"", X90)), VALUE(REGEXEXTRACT(TO_TEXT(I90), ""[0-9.,]+"")), VALUE(REGEXEXTRA"&amp;"CT(TO_TEXT(J90), ""[0-9.,]+""))) - 1), IF(ISNUMBER(SEARCH(""[PERDIDA]"", X90)), -VALUE(REGEXEXTRACT(TO_TEXT(Z90), ""[0-9.,]+"")), 0)), 0), 0))"),0)</f>
        <v>0</v>
      </c>
      <c r="W90" s="1" t="s">
        <v>57</v>
      </c>
      <c r="X90" s="1" t="s">
        <v>52</v>
      </c>
      <c r="Y90" s="11">
        <v>0</v>
      </c>
      <c r="Z90" s="11">
        <v>0</v>
      </c>
      <c r="AA90" s="4" t="e">
        <f t="shared" ca="1" si="6"/>
        <v>#NAME?</v>
      </c>
      <c r="AB90" s="5" t="e">
        <f t="shared" ca="1" si="1"/>
        <v>#NAME?</v>
      </c>
      <c r="AC90" s="6"/>
      <c r="AD90" s="6"/>
      <c r="AE90" s="6"/>
      <c r="AF90" s="6" t="b">
        <v>0</v>
      </c>
      <c r="AG90" s="5"/>
      <c r="AH90" s="1"/>
      <c r="AI90" s="1"/>
      <c r="AJ90" s="1"/>
      <c r="AK90" s="1"/>
      <c r="AL90" s="1"/>
      <c r="AM90" s="1"/>
      <c r="AN90" s="5" t="e">
        <f t="shared" ca="1" si="16"/>
        <v>#NAME?</v>
      </c>
      <c r="AO90" s="1" t="str">
        <f t="shared" si="4"/>
        <v/>
      </c>
      <c r="AP90" s="1"/>
      <c r="AQ90" s="1" t="str">
        <f t="shared" si="5"/>
        <v/>
      </c>
      <c r="AR90" s="1"/>
      <c r="AS90" s="1"/>
      <c r="AT90" s="1"/>
      <c r="AU90" s="1"/>
      <c r="AV90" s="1"/>
      <c r="AW90" s="1"/>
      <c r="AX90" s="5"/>
      <c r="AY90" s="5"/>
      <c r="AZ90" s="1"/>
      <c r="BA90" s="1"/>
      <c r="BB90" s="1" t="s">
        <v>69</v>
      </c>
    </row>
    <row r="91" spans="1:54" x14ac:dyDescent="0.2">
      <c r="A91" s="7">
        <v>46116</v>
      </c>
      <c r="B91" s="1" t="s">
        <v>344</v>
      </c>
      <c r="C91" s="1" t="s">
        <v>345</v>
      </c>
      <c r="D91" s="1" t="s">
        <v>346</v>
      </c>
      <c r="E91" s="1" t="s">
        <v>347</v>
      </c>
      <c r="F91" s="1">
        <v>2.16</v>
      </c>
      <c r="G91" s="1">
        <v>3.44</v>
      </c>
      <c r="H91" s="1">
        <v>3.37</v>
      </c>
      <c r="I91" s="1">
        <v>1.9</v>
      </c>
      <c r="J91" s="1">
        <v>1.93</v>
      </c>
      <c r="K91" s="1" t="s">
        <v>99</v>
      </c>
      <c r="L91" s="5">
        <v>0.43959999999999999</v>
      </c>
      <c r="M91" s="5">
        <v>0.26200000000000001</v>
      </c>
      <c r="N91" s="5">
        <v>0.29830000000000001</v>
      </c>
      <c r="O91" s="5">
        <v>0.4743</v>
      </c>
      <c r="P91" s="5">
        <v>0.52569999999999995</v>
      </c>
      <c r="Q91" s="1"/>
      <c r="R91" s="1"/>
      <c r="S91" s="3"/>
      <c r="T91" s="3"/>
      <c r="U91" s="1" t="str">
        <f t="shared" si="0"/>
        <v>[PREDICCION] LOCAL</v>
      </c>
      <c r="V91" s="10">
        <f ca="1">IFERROR(__xludf.DUMMYFUNCTION("IF(B91="""", """", IFERROR(IF(VALUE(REGEXEXTRACT(TO_TEXT(Y91), ""[0-9.,]+"")) &gt; 0, IF(ISNUMBER(SEARCH(""[GANADA]"", W91)), VALUE(REGEXEXTRACT(TO_TEXT(Y91), ""[0-9.,]+"")) * (IF(ISNUMBER(SEARCH(""LOCAL"", W91)), VALUE(REGEXEXTRACT(TO_TEXT(F91), ""[0-9.,]+"&amp;""")), IF(ISNUMBER(SEARCH(""EMPATE"", W91)), VALUE(REGEXEXTRACT(TO_TEXT(G91), ""[0-9.,]+"")), VALUE(REGEXEXTRACT(TO_TEXT(H91), ""[0-9.,]+"")))) - 1), IF(ISNUMBER(SEARCH(""[PERDIDA]"", W91)), -VALUE(REGEXEXTRACT(TO_TEXT(Y91), ""[0-9.,]+"")), 0)), 0), 0) + I"&amp;"FERROR(IF(VALUE(REGEXEXTRACT(TO_TEXT(Z91), ""[0-9.,]+"")) &gt; 0, IF(ISNUMBER(SEARCH(""[GANADA]"", X91)), VALUE(REGEXEXTRACT(TO_TEXT(Z91), ""[0-9.,]+"")) * (IF(ISNUMBER(SEARCH(""OVER"", X91)), VALUE(REGEXEXTRACT(TO_TEXT(I91), ""[0-9.,]+"")), VALUE(REGEXEXTRA"&amp;"CT(TO_TEXT(J91), ""[0-9.,]+""))) - 1), IF(ISNUMBER(SEARCH(""[PERDIDA]"", X91)), -VALUE(REGEXEXTRACT(TO_TEXT(Z91), ""[0-9.,]+"")), 0)), 0), 0))"),0)</f>
        <v>0</v>
      </c>
      <c r="W91" s="1" t="s">
        <v>57</v>
      </c>
      <c r="X91" s="1" t="s">
        <v>63</v>
      </c>
      <c r="Y91" s="11">
        <v>0</v>
      </c>
      <c r="Z91" s="11">
        <v>0</v>
      </c>
      <c r="AA91" s="4" t="e">
        <f t="shared" ca="1" si="6"/>
        <v>#NAME?</v>
      </c>
      <c r="AB91" s="5" t="e">
        <f t="shared" ca="1" si="1"/>
        <v>#NAME?</v>
      </c>
      <c r="AC91" s="6"/>
      <c r="AD91" s="6"/>
      <c r="AE91" s="6"/>
      <c r="AF91" s="6" t="b">
        <v>0</v>
      </c>
      <c r="AG91" s="5"/>
      <c r="AH91" s="1"/>
      <c r="AI91" s="1"/>
      <c r="AJ91" s="1"/>
      <c r="AK91" s="1"/>
      <c r="AL91" s="1"/>
      <c r="AM91" s="1"/>
      <c r="AN91" s="5" t="e">
        <f t="shared" ca="1" si="16"/>
        <v>#NAME?</v>
      </c>
      <c r="AO91" s="1" t="str">
        <f t="shared" si="4"/>
        <v/>
      </c>
      <c r="AP91" s="1"/>
      <c r="AQ91" s="1" t="str">
        <f t="shared" si="5"/>
        <v/>
      </c>
      <c r="AR91" s="1"/>
      <c r="AS91" s="1"/>
      <c r="AT91" s="1"/>
      <c r="AU91" s="1"/>
      <c r="AV91" s="1"/>
      <c r="AW91" s="1"/>
      <c r="AX91" s="5"/>
      <c r="AY91" s="5"/>
      <c r="AZ91" s="1"/>
      <c r="BA91" s="1"/>
      <c r="BB91" s="1" t="s">
        <v>69</v>
      </c>
    </row>
    <row r="92" spans="1:54" x14ac:dyDescent="0.2">
      <c r="A92" s="7">
        <v>46116</v>
      </c>
      <c r="B92" s="1" t="s">
        <v>348</v>
      </c>
      <c r="C92" s="1" t="s">
        <v>349</v>
      </c>
      <c r="D92" s="1" t="s">
        <v>103</v>
      </c>
      <c r="E92" s="1" t="s">
        <v>107</v>
      </c>
      <c r="F92" s="1"/>
      <c r="G92" s="1"/>
      <c r="H92" s="1"/>
      <c r="I92" s="1"/>
      <c r="J92" s="1"/>
      <c r="K92" s="1" t="s">
        <v>68</v>
      </c>
      <c r="L92" s="5">
        <v>0.48970000000000002</v>
      </c>
      <c r="M92" s="5">
        <v>0.25729999999999997</v>
      </c>
      <c r="N92" s="5">
        <v>0.253</v>
      </c>
      <c r="O92" s="5">
        <v>0.46660000000000001</v>
      </c>
      <c r="P92" s="5">
        <v>0.53339999999999999</v>
      </c>
      <c r="Q92" s="1"/>
      <c r="R92" s="1"/>
      <c r="S92" s="3"/>
      <c r="T92" s="3"/>
      <c r="U92" s="1" t="str">
        <f t="shared" si="0"/>
        <v>[PREDICCION] LOCAL</v>
      </c>
      <c r="V92" s="10">
        <f ca="1">IFERROR(__xludf.DUMMYFUNCTION("IF(B92="""", """", IFERROR(IF(VALUE(REGEXEXTRACT(TO_TEXT(Y92), ""[0-9.,]+"")) &gt; 0, IF(ISNUMBER(SEARCH(""[GANADA]"", W92)), VALUE(REGEXEXTRACT(TO_TEXT(Y92), ""[0-9.,]+"")) * (IF(ISNUMBER(SEARCH(""LOCAL"", W92)), VALUE(REGEXEXTRACT(TO_TEXT(F92), ""[0-9.,]+"&amp;""")), IF(ISNUMBER(SEARCH(""EMPATE"", W92)), VALUE(REGEXEXTRACT(TO_TEXT(G92), ""[0-9.,]+"")), VALUE(REGEXEXTRACT(TO_TEXT(H92), ""[0-9.,]+"")))) - 1), IF(ISNUMBER(SEARCH(""[PERDIDA]"", W92)), -VALUE(REGEXEXTRACT(TO_TEXT(Y92), ""[0-9.,]+"")), 0)), 0), 0) + I"&amp;"FERROR(IF(VALUE(REGEXEXTRACT(TO_TEXT(Z92), ""[0-9.,]+"")) &gt; 0, IF(ISNUMBER(SEARCH(""[GANADA]"", X92)), VALUE(REGEXEXTRACT(TO_TEXT(Z92), ""[0-9.,]+"")) * (IF(ISNUMBER(SEARCH(""OVER"", X92)), VALUE(REGEXEXTRACT(TO_TEXT(I92), ""[0-9.,]+"")), VALUE(REGEXEXTRA"&amp;"CT(TO_TEXT(J92), ""[0-9.,]+""))) - 1), IF(ISNUMBER(SEARCH(""[PERDIDA]"", X92)), -VALUE(REGEXEXTRACT(TO_TEXT(Z92), ""[0-9.,]+"")), 0)), 0), 0))"),0)</f>
        <v>0</v>
      </c>
      <c r="W92" s="1" t="s">
        <v>52</v>
      </c>
      <c r="X92" s="1" t="s">
        <v>52</v>
      </c>
      <c r="Y92" s="4">
        <v>0</v>
      </c>
      <c r="Z92" s="12">
        <v>0</v>
      </c>
      <c r="AA92" s="4" t="e">
        <f t="shared" ca="1" si="6"/>
        <v>#NAME?</v>
      </c>
      <c r="AB92" s="5" t="e">
        <f t="shared" ca="1" si="1"/>
        <v>#NAME?</v>
      </c>
      <c r="AC92" s="6"/>
      <c r="AD92" s="6"/>
      <c r="AE92" s="6"/>
      <c r="AF92" s="6" t="b">
        <v>0</v>
      </c>
      <c r="AG92" s="5"/>
      <c r="AH92" s="1"/>
      <c r="AI92" s="1"/>
      <c r="AJ92" s="1"/>
      <c r="AK92" s="1"/>
      <c r="AL92" s="1"/>
      <c r="AM92" s="1"/>
      <c r="AN92" s="5"/>
      <c r="AO92" s="1" t="str">
        <f t="shared" si="4"/>
        <v/>
      </c>
      <c r="AP92" s="1"/>
      <c r="AQ92" s="1" t="str">
        <f t="shared" si="5"/>
        <v/>
      </c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</row>
    <row r="93" spans="1:54" x14ac:dyDescent="0.2">
      <c r="A93" s="7">
        <v>46116</v>
      </c>
      <c r="B93" s="1" t="s">
        <v>350</v>
      </c>
      <c r="C93" s="1" t="s">
        <v>351</v>
      </c>
      <c r="D93" s="1" t="s">
        <v>120</v>
      </c>
      <c r="E93" s="1" t="s">
        <v>124</v>
      </c>
      <c r="F93" s="1">
        <v>2.08</v>
      </c>
      <c r="G93" s="1">
        <v>3.53</v>
      </c>
      <c r="H93" s="1">
        <v>3.48</v>
      </c>
      <c r="I93" s="1"/>
      <c r="J93" s="1"/>
      <c r="K93" s="1" t="s">
        <v>99</v>
      </c>
      <c r="L93" s="5">
        <v>0.38740000000000002</v>
      </c>
      <c r="M93" s="5">
        <v>0.25180000000000002</v>
      </c>
      <c r="N93" s="5">
        <v>0.36080000000000001</v>
      </c>
      <c r="O93" s="5">
        <v>0.53500000000000003</v>
      </c>
      <c r="P93" s="5">
        <v>0.46500000000000002</v>
      </c>
      <c r="Q93" s="1"/>
      <c r="R93" s="1"/>
      <c r="S93" s="3"/>
      <c r="T93" s="3"/>
      <c r="U93" s="1" t="str">
        <f t="shared" si="0"/>
        <v>[PASAR] Margen Insuficiente (&lt;5%)</v>
      </c>
      <c r="V93" s="10">
        <f ca="1">IFERROR(__xludf.DUMMYFUNCTION("IF(B93="""", """", IFERROR(IF(VALUE(REGEXEXTRACT(TO_TEXT(Y93), ""[0-9.,]+"")) &gt; 0, IF(ISNUMBER(SEARCH(""[GANADA]"", W93)), VALUE(REGEXEXTRACT(TO_TEXT(Y93), ""[0-9.,]+"")) * (IF(ISNUMBER(SEARCH(""LOCAL"", W93)), VALUE(REGEXEXTRACT(TO_TEXT(F93), ""[0-9.,]+"&amp;""")), IF(ISNUMBER(SEARCH(""EMPATE"", W93)), VALUE(REGEXEXTRACT(TO_TEXT(G93), ""[0-9.,]+"")), VALUE(REGEXEXTRACT(TO_TEXT(H93), ""[0-9.,]+"")))) - 1), IF(ISNUMBER(SEARCH(""[PERDIDA]"", W93)), -VALUE(REGEXEXTRACT(TO_TEXT(Y93), ""[0-9.,]+"")), 0)), 0), 0) + I"&amp;"FERROR(IF(VALUE(REGEXEXTRACT(TO_TEXT(Z93), ""[0-9.,]+"")) &gt; 0, IF(ISNUMBER(SEARCH(""[GANADA]"", X93)), VALUE(REGEXEXTRACT(TO_TEXT(Z93), ""[0-9.,]+"")) * (IF(ISNUMBER(SEARCH(""OVER"", X93)), VALUE(REGEXEXTRACT(TO_TEXT(I93), ""[0-9.,]+"")), VALUE(REGEXEXTRA"&amp;"CT(TO_TEXT(J93), ""[0-9.,]+""))) - 1), IF(ISNUMBER(SEARCH(""[PERDIDA]"", X93)), -VALUE(REGEXEXTRACT(TO_TEXT(Z93), ""[0-9.,]+"")), 0)), 0), 0))"),0)</f>
        <v>0</v>
      </c>
      <c r="W93" s="1" t="s">
        <v>82</v>
      </c>
      <c r="X93" s="1" t="s">
        <v>52</v>
      </c>
      <c r="Y93" s="4">
        <v>0</v>
      </c>
      <c r="Z93" s="12">
        <v>0</v>
      </c>
      <c r="AA93" s="4" t="e">
        <f t="shared" ca="1" si="6"/>
        <v>#NAME?</v>
      </c>
      <c r="AB93" s="5" t="e">
        <f t="shared" ca="1" si="1"/>
        <v>#NAME?</v>
      </c>
      <c r="AC93" s="6"/>
      <c r="AD93" s="6"/>
      <c r="AE93" s="6"/>
      <c r="AF93" s="6" t="b">
        <v>0</v>
      </c>
      <c r="AG93" s="5"/>
      <c r="AH93" s="1"/>
      <c r="AI93" s="1"/>
      <c r="AJ93" s="1"/>
      <c r="AK93" s="1"/>
      <c r="AL93" s="1"/>
      <c r="AM93" s="1"/>
      <c r="AN93" s="5"/>
      <c r="AO93" s="1" t="str">
        <f t="shared" si="4"/>
        <v/>
      </c>
      <c r="AP93" s="1"/>
      <c r="AQ93" s="1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</row>
    <row r="94" spans="1:54" x14ac:dyDescent="0.2">
      <c r="A94" s="7">
        <v>46117</v>
      </c>
      <c r="B94" s="1" t="s">
        <v>352</v>
      </c>
      <c r="C94" s="1" t="s">
        <v>353</v>
      </c>
      <c r="D94" s="1" t="s">
        <v>128</v>
      </c>
      <c r="E94" s="1" t="s">
        <v>119</v>
      </c>
      <c r="F94" s="1">
        <v>2.23</v>
      </c>
      <c r="G94" s="1">
        <v>2.87</v>
      </c>
      <c r="H94" s="1">
        <v>3.95</v>
      </c>
      <c r="I94" s="1"/>
      <c r="J94" s="1"/>
      <c r="K94" s="1" t="s">
        <v>99</v>
      </c>
      <c r="L94" s="5">
        <v>0.38300000000000001</v>
      </c>
      <c r="M94" s="5">
        <v>0.25409999999999999</v>
      </c>
      <c r="N94" s="5">
        <v>0.3629</v>
      </c>
      <c r="O94" s="5">
        <v>0.52449999999999997</v>
      </c>
      <c r="P94" s="5">
        <v>0.47549999999999998</v>
      </c>
      <c r="Q94" s="1"/>
      <c r="R94" s="1"/>
      <c r="S94" s="3"/>
      <c r="T94" s="3"/>
      <c r="U94" s="1" t="str">
        <f t="shared" si="0"/>
        <v>[PASAR] Margen Insuficiente (&lt;5%)</v>
      </c>
      <c r="V94" s="4">
        <f ca="1">IFERROR(__xludf.DUMMYFUNCTION("IF(B94="""", """", IFERROR(IF(VALUE(REGEXEXTRACT(TO_TEXT(Y94), ""[0-9.,]+"")) &gt; 0, IF(ISNUMBER(SEARCH(""[GANADA]"", W94)), VALUE(REGEXEXTRACT(TO_TEXT(Y94), ""[0-9.,]+"")) * (IF(ISNUMBER(SEARCH(""LOCAL"", W94)), VALUE(REGEXEXTRACT(TO_TEXT(F94), ""[0-9.,]+"&amp;""")), IF(ISNUMBER(SEARCH(""EMPATE"", W94)), VALUE(REGEXEXTRACT(TO_TEXT(G94), ""[0-9.,]+"")), VALUE(REGEXEXTRACT(TO_TEXT(H94), ""[0-9.,]+"")))) - 1), IF(ISNUMBER(SEARCH(""[PERDIDA]"", W94)), -VALUE(REGEXEXTRACT(TO_TEXT(Y94), ""[0-9.,]+"")), 0)), 0), 0) + I"&amp;"FERROR(IF(VALUE(REGEXEXTRACT(TO_TEXT(Z94), ""[0-9.,]+"")) &gt; 0, IF(ISNUMBER(SEARCH(""[GANADA]"", X94)), VALUE(REGEXEXTRACT(TO_TEXT(Z94), ""[0-9.,]+"")) * (IF(ISNUMBER(SEARCH(""OVER"", X94)), VALUE(REGEXEXTRACT(TO_TEXT(I94), ""[0-9.,]+"")), VALUE(REGEXEXTRA"&amp;"CT(TO_TEXT(J94), ""[0-9.,]+""))) - 1), IF(ISNUMBER(SEARCH(""[PERDIDA]"", X94)), -VALUE(REGEXEXTRACT(TO_TEXT(Z94), ""[0-9.,]+"")), 0)), 0), 0))"),0)</f>
        <v>0</v>
      </c>
      <c r="W94" s="1" t="s">
        <v>82</v>
      </c>
      <c r="X94" s="1" t="s">
        <v>52</v>
      </c>
      <c r="Y94" s="4">
        <v>0</v>
      </c>
      <c r="Z94" s="12">
        <v>0</v>
      </c>
      <c r="AA94" s="4" t="e">
        <f t="shared" ca="1" si="6"/>
        <v>#NAME?</v>
      </c>
      <c r="AB94" s="5" t="e">
        <f t="shared" ca="1" si="1"/>
        <v>#NAME?</v>
      </c>
      <c r="AC94" s="6"/>
      <c r="AD94" s="6"/>
      <c r="AE94" s="6"/>
      <c r="AF94" s="6" t="b">
        <v>0</v>
      </c>
      <c r="AG94" s="5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</row>
    <row r="95" spans="1:54" x14ac:dyDescent="0.2">
      <c r="A95" s="7">
        <v>46117</v>
      </c>
      <c r="B95" s="1" t="s">
        <v>354</v>
      </c>
      <c r="C95" s="1" t="s">
        <v>355</v>
      </c>
      <c r="D95" s="1" t="s">
        <v>170</v>
      </c>
      <c r="E95" s="1" t="s">
        <v>207</v>
      </c>
      <c r="F95" s="1"/>
      <c r="G95" s="1"/>
      <c r="H95" s="1"/>
      <c r="I95" s="1"/>
      <c r="J95" s="1"/>
      <c r="K95" s="1" t="s">
        <v>68</v>
      </c>
      <c r="L95" s="5">
        <v>0.45519999999999999</v>
      </c>
      <c r="M95" s="5">
        <v>0.24349999999999999</v>
      </c>
      <c r="N95" s="5">
        <v>0.30130000000000001</v>
      </c>
      <c r="O95" s="5">
        <v>0.55500000000000005</v>
      </c>
      <c r="P95" s="5">
        <v>0.44500000000000001</v>
      </c>
      <c r="Q95" s="1"/>
      <c r="R95" s="1"/>
      <c r="S95" s="3"/>
      <c r="T95" s="3"/>
      <c r="U95" s="1" t="str">
        <f t="shared" si="0"/>
        <v>[PREDICCION] LOCAL</v>
      </c>
      <c r="V95" s="4">
        <f ca="1">IFERROR(__xludf.DUMMYFUNCTION("IF(B95="""", """", IFERROR(IF(VALUE(REGEXEXTRACT(TO_TEXT(Y95), ""[0-9.,]+"")) &gt; 0, IF(ISNUMBER(SEARCH(""[GANADA]"", W95)), VALUE(REGEXEXTRACT(TO_TEXT(Y95), ""[0-9.,]+"")) * (IF(ISNUMBER(SEARCH(""LOCAL"", W95)), VALUE(REGEXEXTRACT(TO_TEXT(F95), ""[0-9.,]+"&amp;""")), IF(ISNUMBER(SEARCH(""EMPATE"", W95)), VALUE(REGEXEXTRACT(TO_TEXT(G95), ""[0-9.,]+"")), VALUE(REGEXEXTRACT(TO_TEXT(H95), ""[0-9.,]+"")))) - 1), IF(ISNUMBER(SEARCH(""[PERDIDA]"", W95)), -VALUE(REGEXEXTRACT(TO_TEXT(Y95), ""[0-9.,]+"")), 0)), 0), 0) + I"&amp;"FERROR(IF(VALUE(REGEXEXTRACT(TO_TEXT(Z95), ""[0-9.,]+"")) &gt; 0, IF(ISNUMBER(SEARCH(""[GANADA]"", X95)), VALUE(REGEXEXTRACT(TO_TEXT(Z95), ""[0-9.,]+"")) * (IF(ISNUMBER(SEARCH(""OVER"", X95)), VALUE(REGEXEXTRACT(TO_TEXT(I95), ""[0-9.,]+"")), VALUE(REGEXEXTRA"&amp;"CT(TO_TEXT(J95), ""[0-9.,]+""))) - 1), IF(ISNUMBER(SEARCH(""[PERDIDA]"", X95)), -VALUE(REGEXEXTRACT(TO_TEXT(Z95), ""[0-9.,]+"")), 0)), 0), 0))"),0)</f>
        <v>0</v>
      </c>
      <c r="W95" s="1" t="s">
        <v>52</v>
      </c>
      <c r="X95" s="1" t="s">
        <v>52</v>
      </c>
      <c r="Y95" s="4">
        <v>0</v>
      </c>
      <c r="Z95" s="12">
        <v>0</v>
      </c>
      <c r="AA95" s="4" t="e">
        <f t="shared" ca="1" si="6"/>
        <v>#NAME?</v>
      </c>
      <c r="AB95" s="5" t="e">
        <f t="shared" ca="1" si="1"/>
        <v>#NAME?</v>
      </c>
      <c r="AC95" s="6"/>
      <c r="AD95" s="6"/>
      <c r="AE95" s="6"/>
      <c r="AF95" s="6" t="b">
        <v>0</v>
      </c>
      <c r="AG95" s="5"/>
      <c r="AH95" s="1"/>
      <c r="AI95" s="1"/>
      <c r="AJ95" s="1"/>
      <c r="AK95" s="1"/>
      <c r="AL95" s="1"/>
      <c r="AM95" s="1"/>
      <c r="AN95" s="5"/>
      <c r="AO95" s="1" t="str">
        <f t="shared" ref="AO95:AO98" si="17">IF(OR(Q95="", R95=""), "", _xludf.LET(oLocal, IF(Q95&gt;R95, 1, 0), oEmpate, IF(Q95=R95, 1, 0), oVisita, IF(Q95&lt;R95, 1, 0), oOver, IF((Q95+R95)&gt;2, 1, 0), oUnder, IF((Q95+R95)&lt;3, 1, 0), score1X2, (L95 - oLocal)^2 + (M95 - oEmpate)^2 + (N95 - oVisita)^2, scoreOU, (O95 - oOver)^2 + (P95 - oUnder)^2, (score1X2 + scoreOU) / 2))</f>
        <v/>
      </c>
      <c r="AP95" s="1"/>
      <c r="AQ95" s="1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</row>
    <row r="96" spans="1:54" x14ac:dyDescent="0.2">
      <c r="A96" s="7">
        <v>46117</v>
      </c>
      <c r="B96" s="1" t="s">
        <v>356</v>
      </c>
      <c r="C96" s="1" t="s">
        <v>357</v>
      </c>
      <c r="D96" s="1" t="s">
        <v>110</v>
      </c>
      <c r="E96" s="1" t="s">
        <v>135</v>
      </c>
      <c r="F96" s="1"/>
      <c r="G96" s="1"/>
      <c r="H96" s="1"/>
      <c r="I96" s="1"/>
      <c r="J96" s="1"/>
      <c r="K96" s="1" t="s">
        <v>68</v>
      </c>
      <c r="L96" s="5">
        <v>0.4521</v>
      </c>
      <c r="M96" s="5">
        <v>0.2442</v>
      </c>
      <c r="N96" s="5">
        <v>0.30370000000000003</v>
      </c>
      <c r="O96" s="5">
        <v>0.55320000000000003</v>
      </c>
      <c r="P96" s="5">
        <v>0.44679999999999997</v>
      </c>
      <c r="Q96" s="1"/>
      <c r="R96" s="1"/>
      <c r="S96" s="3"/>
      <c r="T96" s="3"/>
      <c r="U96" s="1" t="str">
        <f t="shared" si="0"/>
        <v>[PREDICCION] LOCAL</v>
      </c>
      <c r="V96" s="4">
        <f ca="1">IFERROR(__xludf.DUMMYFUNCTION("IF(B96="""", """", IFERROR(IF(VALUE(REGEXEXTRACT(TO_TEXT(Y96), ""[0-9.,]+"")) &gt; 0, IF(ISNUMBER(SEARCH(""[GANADA]"", W96)), VALUE(REGEXEXTRACT(TO_TEXT(Y96), ""[0-9.,]+"")) * (IF(ISNUMBER(SEARCH(""LOCAL"", W96)), VALUE(REGEXEXTRACT(TO_TEXT(F96), ""[0-9.,]+"&amp;""")), IF(ISNUMBER(SEARCH(""EMPATE"", W96)), VALUE(REGEXEXTRACT(TO_TEXT(G96), ""[0-9.,]+"")), VALUE(REGEXEXTRACT(TO_TEXT(H96), ""[0-9.,]+"")))) - 1), IF(ISNUMBER(SEARCH(""[PERDIDA]"", W96)), -VALUE(REGEXEXTRACT(TO_TEXT(Y96), ""[0-9.,]+"")), 0)), 0), 0) + I"&amp;"FERROR(IF(VALUE(REGEXEXTRACT(TO_TEXT(Z96), ""[0-9.,]+"")) &gt; 0, IF(ISNUMBER(SEARCH(""[GANADA]"", X96)), VALUE(REGEXEXTRACT(TO_TEXT(Z96), ""[0-9.,]+"")) * (IF(ISNUMBER(SEARCH(""OVER"", X96)), VALUE(REGEXEXTRACT(TO_TEXT(I96), ""[0-9.,]+"")), VALUE(REGEXEXTRA"&amp;"CT(TO_TEXT(J96), ""[0-9.,]+""))) - 1), IF(ISNUMBER(SEARCH(""[PERDIDA]"", X96)), -VALUE(REGEXEXTRACT(TO_TEXT(Z96), ""[0-9.,]+"")), 0)), 0), 0))"),0)</f>
        <v>0</v>
      </c>
      <c r="W96" s="1" t="s">
        <v>52</v>
      </c>
      <c r="X96" s="1" t="s">
        <v>52</v>
      </c>
      <c r="Y96" s="4">
        <v>0</v>
      </c>
      <c r="Z96" s="12">
        <v>0</v>
      </c>
      <c r="AA96" s="4" t="e">
        <f t="shared" ca="1" si="6"/>
        <v>#NAME?</v>
      </c>
      <c r="AB96" s="5" t="e">
        <f t="shared" ca="1" si="1"/>
        <v>#NAME?</v>
      </c>
      <c r="AC96" s="6"/>
      <c r="AD96" s="6"/>
      <c r="AE96" s="6"/>
      <c r="AF96" s="6" t="b">
        <v>0</v>
      </c>
      <c r="AG96" s="5"/>
      <c r="AH96" s="1"/>
      <c r="AI96" s="1"/>
      <c r="AJ96" s="1"/>
      <c r="AK96" s="1"/>
      <c r="AL96" s="1"/>
      <c r="AM96" s="1"/>
      <c r="AN96" s="5"/>
      <c r="AO96" s="1" t="str">
        <f t="shared" si="17"/>
        <v/>
      </c>
      <c r="AP96" s="1"/>
      <c r="AQ96" s="1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</row>
    <row r="97" spans="1:54" x14ac:dyDescent="0.2">
      <c r="A97" s="7">
        <v>46117</v>
      </c>
      <c r="B97" s="1" t="s">
        <v>358</v>
      </c>
      <c r="C97" s="1" t="s">
        <v>359</v>
      </c>
      <c r="D97" s="1" t="s">
        <v>273</v>
      </c>
      <c r="E97" s="1" t="s">
        <v>188</v>
      </c>
      <c r="F97" s="1"/>
      <c r="G97" s="1"/>
      <c r="H97" s="1"/>
      <c r="I97" s="1"/>
      <c r="J97" s="1"/>
      <c r="K97" s="1" t="s">
        <v>51</v>
      </c>
      <c r="L97" s="5">
        <v>0.52180000000000004</v>
      </c>
      <c r="M97" s="5">
        <v>0.25590000000000002</v>
      </c>
      <c r="N97" s="5">
        <v>0.2223</v>
      </c>
      <c r="O97" s="5">
        <v>0.44619999999999999</v>
      </c>
      <c r="P97" s="5">
        <v>0.55379999999999996</v>
      </c>
      <c r="Q97" s="1"/>
      <c r="R97" s="1"/>
      <c r="S97" s="3"/>
      <c r="T97" s="3"/>
      <c r="U97" s="1" t="str">
        <f t="shared" si="0"/>
        <v>[PREDICCION] LOCAL</v>
      </c>
      <c r="V97" s="10">
        <f ca="1">IFERROR(__xludf.DUMMYFUNCTION("IF(B97="""", """", IFERROR(IF(VALUE(REGEXEXTRACT(TO_TEXT(Y97), ""[0-9.,]+"")) &gt; 0, IF(ISNUMBER(SEARCH(""[GANADA]"", W97)), VALUE(REGEXEXTRACT(TO_TEXT(Y97), ""[0-9.,]+"")) * (IF(ISNUMBER(SEARCH(""LOCAL"", W97)), VALUE(REGEXEXTRACT(TO_TEXT(F97), ""[0-9.,]+"&amp;""")), IF(ISNUMBER(SEARCH(""EMPATE"", W97)), VALUE(REGEXEXTRACT(TO_TEXT(G97), ""[0-9.,]+"")), VALUE(REGEXEXTRACT(TO_TEXT(H97), ""[0-9.,]+"")))) - 1), IF(ISNUMBER(SEARCH(""[PERDIDA]"", W97)), -VALUE(REGEXEXTRACT(TO_TEXT(Y97), ""[0-9.,]+"")), 0)), 0), 0) + I"&amp;"FERROR(IF(VALUE(REGEXEXTRACT(TO_TEXT(Z97), ""[0-9.,]+"")) &gt; 0, IF(ISNUMBER(SEARCH(""[GANADA]"", X97)), VALUE(REGEXEXTRACT(TO_TEXT(Z97), ""[0-9.,]+"")) * (IF(ISNUMBER(SEARCH(""OVER"", X97)), VALUE(REGEXEXTRACT(TO_TEXT(I97), ""[0-9.,]+"")), VALUE(REGEXEXTRA"&amp;"CT(TO_TEXT(J97), ""[0-9.,]+""))) - 1), IF(ISNUMBER(SEARCH(""[PERDIDA]"", X97)), -VALUE(REGEXEXTRACT(TO_TEXT(Z97), ""[0-9.,]+"")), 0)), 0), 0))"),0)</f>
        <v>0</v>
      </c>
      <c r="W97" s="1" t="s">
        <v>52</v>
      </c>
      <c r="X97" s="1" t="s">
        <v>52</v>
      </c>
      <c r="Y97" s="4">
        <v>0</v>
      </c>
      <c r="Z97" s="12">
        <v>0</v>
      </c>
      <c r="AA97" s="4" t="e">
        <f t="shared" ca="1" si="6"/>
        <v>#NAME?</v>
      </c>
      <c r="AB97" s="5" t="e">
        <f t="shared" ca="1" si="1"/>
        <v>#NAME?</v>
      </c>
      <c r="AC97" s="6"/>
      <c r="AD97" s="6"/>
      <c r="AE97" s="6"/>
      <c r="AF97" s="6" t="b">
        <v>0</v>
      </c>
      <c r="AG97" s="5"/>
      <c r="AH97" s="1"/>
      <c r="AI97" s="1"/>
      <c r="AJ97" s="1"/>
      <c r="AK97" s="1"/>
      <c r="AL97" s="1"/>
      <c r="AM97" s="1"/>
      <c r="AN97" s="5"/>
      <c r="AO97" s="1" t="str">
        <f t="shared" si="17"/>
        <v/>
      </c>
      <c r="AP97" s="1"/>
      <c r="AQ97" s="1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</row>
    <row r="98" spans="1:54" x14ac:dyDescent="0.2">
      <c r="A98" s="7">
        <v>46117</v>
      </c>
      <c r="B98" s="1" t="s">
        <v>360</v>
      </c>
      <c r="C98" s="1" t="s">
        <v>361</v>
      </c>
      <c r="D98" s="1" t="s">
        <v>66</v>
      </c>
      <c r="E98" s="1" t="s">
        <v>362</v>
      </c>
      <c r="F98" s="1"/>
      <c r="G98" s="1"/>
      <c r="H98" s="1"/>
      <c r="I98" s="1"/>
      <c r="J98" s="1"/>
      <c r="K98" s="1" t="s">
        <v>68</v>
      </c>
      <c r="L98" s="5">
        <v>0.51190000000000002</v>
      </c>
      <c r="M98" s="5">
        <v>0.23710000000000001</v>
      </c>
      <c r="N98" s="5">
        <v>0.251</v>
      </c>
      <c r="O98" s="5">
        <v>0.54869999999999997</v>
      </c>
      <c r="P98" s="5">
        <v>0.45129999999999998</v>
      </c>
      <c r="Q98" s="1"/>
      <c r="R98" s="1"/>
      <c r="S98" s="3"/>
      <c r="T98" s="3"/>
      <c r="U98" s="1" t="str">
        <f t="shared" si="0"/>
        <v>[PREDICCION] LOCAL</v>
      </c>
      <c r="V98" s="10">
        <f ca="1">IFERROR(__xludf.DUMMYFUNCTION("IF(B98="""", """", IFERROR(IF(VALUE(REGEXEXTRACT(TO_TEXT(Y98), ""[0-9.,]+"")) &gt; 0, IF(ISNUMBER(SEARCH(""[GANADA]"", W98)), VALUE(REGEXEXTRACT(TO_TEXT(Y98), ""[0-9.,]+"")) * (IF(ISNUMBER(SEARCH(""LOCAL"", W98)), VALUE(REGEXEXTRACT(TO_TEXT(F98), ""[0-9.,]+"&amp;""")), IF(ISNUMBER(SEARCH(""EMPATE"", W98)), VALUE(REGEXEXTRACT(TO_TEXT(G98), ""[0-9.,]+"")), VALUE(REGEXEXTRACT(TO_TEXT(H98), ""[0-9.,]+"")))) - 1), IF(ISNUMBER(SEARCH(""[PERDIDA]"", W98)), -VALUE(REGEXEXTRACT(TO_TEXT(Y98), ""[0-9.,]+"")), 0)), 0), 0) + I"&amp;"FERROR(IF(VALUE(REGEXEXTRACT(TO_TEXT(Z98), ""[0-9.,]+"")) &gt; 0, IF(ISNUMBER(SEARCH(""[GANADA]"", X98)), VALUE(REGEXEXTRACT(TO_TEXT(Z98), ""[0-9.,]+"")) * (IF(ISNUMBER(SEARCH(""OVER"", X98)), VALUE(REGEXEXTRACT(TO_TEXT(I98), ""[0-9.,]+"")), VALUE(REGEXEXTRA"&amp;"CT(TO_TEXT(J98), ""[0-9.,]+""))) - 1), IF(ISNUMBER(SEARCH(""[PERDIDA]"", X98)), -VALUE(REGEXEXTRACT(TO_TEXT(Z98), ""[0-9.,]+"")), 0)), 0), 0))"),0)</f>
        <v>0</v>
      </c>
      <c r="W98" s="1" t="s">
        <v>52</v>
      </c>
      <c r="X98" s="1" t="s">
        <v>52</v>
      </c>
      <c r="Y98" s="4">
        <v>0</v>
      </c>
      <c r="Z98" s="12">
        <v>0</v>
      </c>
      <c r="AA98" s="4" t="e">
        <f t="shared" ca="1" si="6"/>
        <v>#NAME?</v>
      </c>
      <c r="AB98" s="5" t="e">
        <f t="shared" ca="1" si="1"/>
        <v>#NAME?</v>
      </c>
      <c r="AC98" s="6"/>
      <c r="AD98" s="6"/>
      <c r="AE98" s="6"/>
      <c r="AF98" s="6" t="b">
        <v>0</v>
      </c>
      <c r="AG98" s="5"/>
      <c r="AH98" s="1"/>
      <c r="AI98" s="1"/>
      <c r="AJ98" s="1"/>
      <c r="AK98" s="1"/>
      <c r="AL98" s="1"/>
      <c r="AM98" s="1"/>
      <c r="AN98" s="5"/>
      <c r="AO98" s="1" t="str">
        <f t="shared" si="17"/>
        <v/>
      </c>
      <c r="AP98" s="1"/>
      <c r="AQ98" s="1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</row>
    <row r="99" spans="1:54" x14ac:dyDescent="0.2">
      <c r="A99" s="7">
        <v>46117</v>
      </c>
      <c r="B99" s="1" t="s">
        <v>363</v>
      </c>
      <c r="C99" s="1" t="s">
        <v>364</v>
      </c>
      <c r="D99" s="1" t="s">
        <v>217</v>
      </c>
      <c r="E99" s="1" t="s">
        <v>140</v>
      </c>
      <c r="F99" s="1"/>
      <c r="G99" s="1"/>
      <c r="H99" s="1"/>
      <c r="I99" s="1"/>
      <c r="J99" s="1"/>
      <c r="K99" s="1" t="s">
        <v>68</v>
      </c>
      <c r="L99" s="5">
        <v>0.45689999999999997</v>
      </c>
      <c r="M99" s="5">
        <v>0.2596</v>
      </c>
      <c r="N99" s="5">
        <v>0.28349999999999997</v>
      </c>
      <c r="O99" s="5">
        <v>0.47710000000000002</v>
      </c>
      <c r="P99" s="5">
        <v>0.52290000000000003</v>
      </c>
      <c r="Q99" s="1"/>
      <c r="R99" s="1"/>
      <c r="S99" s="3"/>
      <c r="T99" s="3"/>
      <c r="U99" s="1" t="str">
        <f t="shared" si="0"/>
        <v>[PREDICCION] LOCAL</v>
      </c>
      <c r="V99" s="4">
        <f ca="1">IFERROR(__xludf.DUMMYFUNCTION("IF(B99="""", """", IFERROR(IF(VALUE(REGEXEXTRACT(TO_TEXT(Y99), ""[0-9.,]+"")) &gt; 0, IF(ISNUMBER(SEARCH(""[GANADA]"", W99)), VALUE(REGEXEXTRACT(TO_TEXT(Y99), ""[0-9.,]+"")) * (IF(ISNUMBER(SEARCH(""LOCAL"", W99)), VALUE(REGEXEXTRACT(TO_TEXT(F99), ""[0-9.,]+"&amp;""")), IF(ISNUMBER(SEARCH(""EMPATE"", W99)), VALUE(REGEXEXTRACT(TO_TEXT(G99), ""[0-9.,]+"")), VALUE(REGEXEXTRACT(TO_TEXT(H99), ""[0-9.,]+"")))) - 1), IF(ISNUMBER(SEARCH(""[PERDIDA]"", W99)), -VALUE(REGEXEXTRACT(TO_TEXT(Y99), ""[0-9.,]+"")), 0)), 0), 0) + I"&amp;"FERROR(IF(VALUE(REGEXEXTRACT(TO_TEXT(Z99), ""[0-9.,]+"")) &gt; 0, IF(ISNUMBER(SEARCH(""[GANADA]"", X99)), VALUE(REGEXEXTRACT(TO_TEXT(Z99), ""[0-9.,]+"")) * (IF(ISNUMBER(SEARCH(""OVER"", X99)), VALUE(REGEXEXTRACT(TO_TEXT(I99), ""[0-9.,]+"")), VALUE(REGEXEXTRA"&amp;"CT(TO_TEXT(J99), ""[0-9.,]+""))) - 1), IF(ISNUMBER(SEARCH(""[PERDIDA]"", X99)), -VALUE(REGEXEXTRACT(TO_TEXT(Z99), ""[0-9.,]+"")), 0)), 0), 0))"),0)</f>
        <v>0</v>
      </c>
      <c r="W99" s="1" t="s">
        <v>52</v>
      </c>
      <c r="X99" s="1" t="s">
        <v>52</v>
      </c>
      <c r="Y99" s="4">
        <v>0</v>
      </c>
      <c r="Z99" s="12">
        <v>0</v>
      </c>
      <c r="AA99" s="4" t="e">
        <f t="shared" ca="1" si="6"/>
        <v>#NAME?</v>
      </c>
      <c r="AB99" s="5" t="e">
        <f t="shared" ca="1" si="1"/>
        <v>#NAME?</v>
      </c>
      <c r="AC99" s="6"/>
      <c r="AD99" s="6"/>
      <c r="AE99" s="6"/>
      <c r="AF99" s="6" t="b">
        <v>0</v>
      </c>
      <c r="AG99" s="5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</row>
    <row r="100" spans="1:54" x14ac:dyDescent="0.2">
      <c r="A100" s="7">
        <v>46117</v>
      </c>
      <c r="B100" s="1" t="s">
        <v>365</v>
      </c>
      <c r="C100" s="1" t="s">
        <v>366</v>
      </c>
      <c r="D100" s="1" t="s">
        <v>367</v>
      </c>
      <c r="E100" s="1" t="s">
        <v>115</v>
      </c>
      <c r="F100" s="1">
        <v>2.92</v>
      </c>
      <c r="G100" s="1">
        <v>3.32</v>
      </c>
      <c r="H100" s="1">
        <v>2.46</v>
      </c>
      <c r="I100" s="1">
        <v>1.87</v>
      </c>
      <c r="J100" s="1">
        <v>1.97</v>
      </c>
      <c r="K100" s="1" t="s">
        <v>99</v>
      </c>
      <c r="L100" s="5">
        <v>0.35709999999999997</v>
      </c>
      <c r="M100" s="5">
        <v>0.26029999999999998</v>
      </c>
      <c r="N100" s="5">
        <v>0.3826</v>
      </c>
      <c r="O100" s="5">
        <v>0.49669999999999997</v>
      </c>
      <c r="P100" s="5">
        <v>0.50329999999999997</v>
      </c>
      <c r="Q100" s="1"/>
      <c r="R100" s="1"/>
      <c r="S100" s="3"/>
      <c r="T100" s="3"/>
      <c r="U100" s="1" t="str">
        <f t="shared" si="0"/>
        <v>[PASAR] Margen Insuficiente (&lt;5%)</v>
      </c>
      <c r="V100" s="4">
        <f ca="1">IFERROR(__xludf.DUMMYFUNCTION("IF(B100="""", """", IFERROR(IF(VALUE(REGEXEXTRACT(TO_TEXT(Y100), ""[0-9.,]+"")) &gt; 0, IF(ISNUMBER(SEARCH(""[GANADA]"", W100)), VALUE(REGEXEXTRACT(TO_TEXT(Y100), ""[0-9.,]+"")) * (IF(ISNUMBER(SEARCH(""LOCAL"", W100)), VALUE(REGEXEXTRACT(TO_TEXT(F100), ""[0-"&amp;"9.,]+"")), IF(ISNUMBER(SEARCH(""EMPATE"", W100)), VALUE(REGEXEXTRACT(TO_TEXT(G100), ""[0-9.,]+"")), VALUE(REGEXEXTRACT(TO_TEXT(H100), ""[0-9.,]+"")))) - 1), IF(ISNUMBER(SEARCH(""[PERDIDA]"", W100)), -VALUE(REGEXEXTRACT(TO_TEXT(Y100), ""[0-9.,]+"")), 0)), "&amp;"0), 0) + IFERROR(IF(VALUE(REGEXEXTRACT(TO_TEXT(Z100), ""[0-9.,]+"")) &gt; 0, IF(ISNUMBER(SEARCH(""[GANADA]"", X100)), VALUE(REGEXEXTRACT(TO_TEXT(Z100), ""[0-9.,]+"")) * (IF(ISNUMBER(SEARCH(""OVER"", X100)), VALUE(REGEXEXTRACT(TO_TEXT(I100), ""[0-9.,]+"")), V"&amp;"ALUE(REGEXEXTRACT(TO_TEXT(J100), ""[0-9.,]+""))) - 1), IF(ISNUMBER(SEARCH(""[PERDIDA]"", X100)), -VALUE(REGEXEXTRACT(TO_TEXT(Z100), ""[0-9.,]+"")), 0)), 0), 0))"),0)</f>
        <v>0</v>
      </c>
      <c r="W100" s="1" t="s">
        <v>82</v>
      </c>
      <c r="X100" s="1" t="s">
        <v>63</v>
      </c>
      <c r="Y100" s="4">
        <v>0</v>
      </c>
      <c r="Z100" s="12">
        <v>0</v>
      </c>
      <c r="AA100" s="4" t="e">
        <f t="shared" ca="1" si="6"/>
        <v>#NAME?</v>
      </c>
      <c r="AB100" s="5" t="e">
        <f t="shared" ca="1" si="1"/>
        <v>#NAME?</v>
      </c>
      <c r="AC100" s="6"/>
      <c r="AD100" s="6"/>
      <c r="AE100" s="6"/>
      <c r="AF100" s="6" t="b">
        <v>0</v>
      </c>
      <c r="AG100" s="5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</row>
    <row r="101" spans="1:54" x14ac:dyDescent="0.2">
      <c r="A101" s="7">
        <v>46117</v>
      </c>
      <c r="B101" s="1" t="s">
        <v>368</v>
      </c>
      <c r="C101" s="1" t="s">
        <v>369</v>
      </c>
      <c r="D101" s="1" t="s">
        <v>370</v>
      </c>
      <c r="E101" s="1" t="s">
        <v>371</v>
      </c>
      <c r="F101" s="1">
        <v>3.5</v>
      </c>
      <c r="G101" s="1">
        <v>3.7</v>
      </c>
      <c r="H101" s="1">
        <v>2.02</v>
      </c>
      <c r="I101" s="1"/>
      <c r="J101" s="1"/>
      <c r="K101" s="1" t="s">
        <v>99</v>
      </c>
      <c r="L101" s="5">
        <v>0.4355</v>
      </c>
      <c r="M101" s="5">
        <v>0.23769999999999999</v>
      </c>
      <c r="N101" s="5">
        <v>0.32679999999999998</v>
      </c>
      <c r="O101" s="5">
        <v>0.59319999999999995</v>
      </c>
      <c r="P101" s="5">
        <v>0.40679999999999999</v>
      </c>
      <c r="Q101" s="1"/>
      <c r="R101" s="1"/>
      <c r="S101" s="3"/>
      <c r="T101" s="3"/>
      <c r="U101" s="1" t="str">
        <f t="shared" si="0"/>
        <v>[PREDICCION] LOCAL</v>
      </c>
      <c r="V101" s="4">
        <f ca="1">IFERROR(__xludf.DUMMYFUNCTION("IF(B101="""", """", IFERROR(IF(VALUE(REGEXEXTRACT(TO_TEXT(Y101), ""[0-9.,]+"")) &gt; 0, IF(ISNUMBER(SEARCH(""[GANADA]"", W101)), VALUE(REGEXEXTRACT(TO_TEXT(Y101), ""[0-9.,]+"")) * (IF(ISNUMBER(SEARCH(""LOCAL"", W101)), VALUE(REGEXEXTRACT(TO_TEXT(F101), ""[0-"&amp;"9.,]+"")), IF(ISNUMBER(SEARCH(""EMPATE"", W101)), VALUE(REGEXEXTRACT(TO_TEXT(G101), ""[0-9.,]+"")), VALUE(REGEXEXTRACT(TO_TEXT(H101), ""[0-9.,]+"")))) - 1), IF(ISNUMBER(SEARCH(""[PERDIDA]"", W101)), -VALUE(REGEXEXTRACT(TO_TEXT(Y101), ""[0-9.,]+"")), 0)), "&amp;"0), 0) + IFERROR(IF(VALUE(REGEXEXTRACT(TO_TEXT(Z101), ""[0-9.,]+"")) &gt; 0, IF(ISNUMBER(SEARCH(""[GANADA]"", X101)), VALUE(REGEXEXTRACT(TO_TEXT(Z101), ""[0-9.,]+"")) * (IF(ISNUMBER(SEARCH(""OVER"", X101)), VALUE(REGEXEXTRACT(TO_TEXT(I101), ""[0-9.,]+"")), V"&amp;"ALUE(REGEXEXTRACT(TO_TEXT(J101), ""[0-9.,]+""))) - 1), IF(ISNUMBER(SEARCH(""[PERDIDA]"", X101)), -VALUE(REGEXEXTRACT(TO_TEXT(Z101), ""[0-9.,]+"")), 0)), 0), 0))"),0)</f>
        <v>0</v>
      </c>
      <c r="W101" s="1" t="str">
        <f>IF(OR(Q101="", R101=""), "[APOSTAR] LOCAL", IF(Q101&gt;R101, "[GANADA] LOCAL", "[PERDIDA] LOCAL"))</f>
        <v>[APOSTAR] LOCAL</v>
      </c>
      <c r="X101" s="1" t="s">
        <v>52</v>
      </c>
      <c r="Y101" s="4">
        <v>2500</v>
      </c>
      <c r="Z101" s="12">
        <v>0</v>
      </c>
      <c r="AA101" s="4" t="e">
        <f t="shared" ca="1" si="6"/>
        <v>#NAME?</v>
      </c>
      <c r="AB101" s="5" t="e">
        <f t="shared" ca="1" si="1"/>
        <v>#NAME?</v>
      </c>
      <c r="AC101" s="6"/>
      <c r="AD101" s="6"/>
      <c r="AE101" s="6"/>
      <c r="AF101" s="6" t="b">
        <v>0</v>
      </c>
      <c r="AG101" s="5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</row>
    <row r="102" spans="1:54" x14ac:dyDescent="0.2">
      <c r="A102" s="7">
        <v>46117</v>
      </c>
      <c r="B102" s="1" t="s">
        <v>372</v>
      </c>
      <c r="C102" s="1" t="s">
        <v>373</v>
      </c>
      <c r="D102" s="1" t="s">
        <v>218</v>
      </c>
      <c r="E102" s="1" t="s">
        <v>139</v>
      </c>
      <c r="F102" s="1"/>
      <c r="G102" s="1"/>
      <c r="H102" s="1"/>
      <c r="I102" s="1"/>
      <c r="J102" s="1"/>
      <c r="K102" s="1" t="s">
        <v>68</v>
      </c>
      <c r="L102" s="5">
        <v>0.5706</v>
      </c>
      <c r="M102" s="5">
        <v>0.22919999999999999</v>
      </c>
      <c r="N102" s="5">
        <v>0.20019999999999999</v>
      </c>
      <c r="O102" s="5">
        <v>0.52639999999999998</v>
      </c>
      <c r="P102" s="5">
        <v>0.47360000000000002</v>
      </c>
      <c r="Q102" s="1"/>
      <c r="R102" s="1"/>
      <c r="S102" s="3"/>
      <c r="T102" s="3"/>
      <c r="U102" s="1" t="str">
        <f t="shared" si="0"/>
        <v>[PREDICCION] LOCAL</v>
      </c>
      <c r="V102" s="4">
        <f ca="1">IFERROR(__xludf.DUMMYFUNCTION("IF(B102="""", """", IFERROR(IF(VALUE(REGEXEXTRACT(TO_TEXT(Y102), ""[0-9.,]+"")) &gt; 0, IF(ISNUMBER(SEARCH(""[GANADA]"", W102)), VALUE(REGEXEXTRACT(TO_TEXT(Y102), ""[0-9.,]+"")) * (IF(ISNUMBER(SEARCH(""LOCAL"", W102)), VALUE(REGEXEXTRACT(TO_TEXT(F102), ""[0-"&amp;"9.,]+"")), IF(ISNUMBER(SEARCH(""EMPATE"", W102)), VALUE(REGEXEXTRACT(TO_TEXT(G102), ""[0-9.,]+"")), VALUE(REGEXEXTRACT(TO_TEXT(H102), ""[0-9.,]+"")))) - 1), IF(ISNUMBER(SEARCH(""[PERDIDA]"", W102)), -VALUE(REGEXEXTRACT(TO_TEXT(Y102), ""[0-9.,]+"")), 0)), "&amp;"0), 0) + IFERROR(IF(VALUE(REGEXEXTRACT(TO_TEXT(Z102), ""[0-9.,]+"")) &gt; 0, IF(ISNUMBER(SEARCH(""[GANADA]"", X102)), VALUE(REGEXEXTRACT(TO_TEXT(Z102), ""[0-9.,]+"")) * (IF(ISNUMBER(SEARCH(""OVER"", X102)), VALUE(REGEXEXTRACT(TO_TEXT(I102), ""[0-9.,]+"")), V"&amp;"ALUE(REGEXEXTRACT(TO_TEXT(J102), ""[0-9.,]+""))) - 1), IF(ISNUMBER(SEARCH(""[PERDIDA]"", X102)), -VALUE(REGEXEXTRACT(TO_TEXT(Z102), ""[0-9.,]+"")), 0)), 0), 0))"),0)</f>
        <v>0</v>
      </c>
      <c r="W102" s="1" t="s">
        <v>52</v>
      </c>
      <c r="X102" s="1" t="s">
        <v>52</v>
      </c>
      <c r="Y102" s="4">
        <v>0</v>
      </c>
      <c r="Z102" s="12">
        <v>0</v>
      </c>
      <c r="AA102" s="4" t="e">
        <f t="shared" ca="1" si="6"/>
        <v>#NAME?</v>
      </c>
      <c r="AB102" s="5" t="e">
        <f t="shared" ca="1" si="1"/>
        <v>#NAME?</v>
      </c>
      <c r="AC102" s="6"/>
      <c r="AD102" s="6"/>
      <c r="AE102" s="6"/>
      <c r="AF102" s="6" t="b">
        <v>0</v>
      </c>
      <c r="AG102" s="5"/>
      <c r="AH102" s="1"/>
      <c r="AI102" s="1"/>
      <c r="AJ102" s="1"/>
      <c r="AK102" s="1"/>
      <c r="AL102" s="1"/>
      <c r="AM102" s="1"/>
      <c r="AN102" s="5"/>
      <c r="AO102" s="1" t="str">
        <f t="shared" ref="AO102:AO103" si="18">IF(OR(Q102="", R102=""), "", _xludf.LET(oLocal, IF(Q102&gt;R102, 1, 0), oEmpate, IF(Q102=R102, 1, 0), oVisita, IF(Q102&lt;R102, 1, 0), oOver, IF((Q102+R102)&gt;2, 1, 0), oUnder, IF((Q102+R102)&lt;3, 1, 0), score1X2, (L102 - oLocal)^2 + (M102 - oEmpate)^2 + (N102 - oVisita)^2, scoreOU, (O102 - oOver)^2 + (P102 - oUnder)^2, (score1X2 + scoreOU) / 2))</f>
        <v/>
      </c>
      <c r="AP102" s="1"/>
      <c r="AQ102" s="1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</row>
    <row r="103" spans="1:54" x14ac:dyDescent="0.2">
      <c r="A103" s="7">
        <v>46117</v>
      </c>
      <c r="B103" s="1" t="s">
        <v>374</v>
      </c>
      <c r="C103" s="1" t="s">
        <v>375</v>
      </c>
      <c r="D103" s="1" t="s">
        <v>152</v>
      </c>
      <c r="E103" s="1" t="s">
        <v>50</v>
      </c>
      <c r="F103" s="1"/>
      <c r="G103" s="1"/>
      <c r="H103" s="1"/>
      <c r="I103" s="1"/>
      <c r="J103" s="1"/>
      <c r="K103" s="1" t="s">
        <v>51</v>
      </c>
      <c r="L103" s="5">
        <v>0.376</v>
      </c>
      <c r="M103" s="5">
        <v>0.28189999999999998</v>
      </c>
      <c r="N103" s="5">
        <v>0.34210000000000002</v>
      </c>
      <c r="O103" s="5">
        <v>0.4098</v>
      </c>
      <c r="P103" s="5">
        <v>0.59019999999999995</v>
      </c>
      <c r="Q103" s="1"/>
      <c r="R103" s="1"/>
      <c r="S103" s="3"/>
      <c r="T103" s="3"/>
      <c r="U103" s="1" t="str">
        <f t="shared" si="0"/>
        <v>[PASAR] Margen Insuficiente (&lt;5%)</v>
      </c>
      <c r="V103" s="10">
        <f ca="1">IFERROR(__xludf.DUMMYFUNCTION("IF(B103="""", """", IFERROR(IF(VALUE(REGEXEXTRACT(TO_TEXT(Y103), ""[0-9.,]+"")) &gt; 0, IF(ISNUMBER(SEARCH(""[GANADA]"", W103)), VALUE(REGEXEXTRACT(TO_TEXT(Y103), ""[0-9.,]+"")) * (IF(ISNUMBER(SEARCH(""LOCAL"", W103)), VALUE(REGEXEXTRACT(TO_TEXT(F103), ""[0-"&amp;"9.,]+"")), IF(ISNUMBER(SEARCH(""EMPATE"", W103)), VALUE(REGEXEXTRACT(TO_TEXT(G103), ""[0-9.,]+"")), VALUE(REGEXEXTRACT(TO_TEXT(H103), ""[0-9.,]+"")))) - 1), IF(ISNUMBER(SEARCH(""[PERDIDA]"", W103)), -VALUE(REGEXEXTRACT(TO_TEXT(Y103), ""[0-9.,]+"")), 0)), "&amp;"0), 0) + IFERROR(IF(VALUE(REGEXEXTRACT(TO_TEXT(Z103), ""[0-9.,]+"")) &gt; 0, IF(ISNUMBER(SEARCH(""[GANADA]"", X103)), VALUE(REGEXEXTRACT(TO_TEXT(Z103), ""[0-9.,]+"")) * (IF(ISNUMBER(SEARCH(""OVER"", X103)), VALUE(REGEXEXTRACT(TO_TEXT(I103), ""[0-9.,]+"")), V"&amp;"ALUE(REGEXEXTRACT(TO_TEXT(J103), ""[0-9.,]+""))) - 1), IF(ISNUMBER(SEARCH(""[PERDIDA]"", X103)), -VALUE(REGEXEXTRACT(TO_TEXT(Z103), ""[0-9.,]+"")), 0)), 0), 0))"),0)</f>
        <v>0</v>
      </c>
      <c r="W103" s="1" t="s">
        <v>52</v>
      </c>
      <c r="X103" s="1" t="s">
        <v>52</v>
      </c>
      <c r="Y103" s="4">
        <v>0</v>
      </c>
      <c r="Z103" s="12">
        <v>0</v>
      </c>
      <c r="AA103" s="4" t="e">
        <f t="shared" ca="1" si="6"/>
        <v>#NAME?</v>
      </c>
      <c r="AB103" s="5" t="e">
        <f t="shared" ca="1" si="1"/>
        <v>#NAME?</v>
      </c>
      <c r="AC103" s="6"/>
      <c r="AD103" s="6"/>
      <c r="AE103" s="6"/>
      <c r="AF103" s="6" t="b">
        <v>0</v>
      </c>
      <c r="AG103" s="5"/>
      <c r="AH103" s="1"/>
      <c r="AI103" s="1"/>
      <c r="AJ103" s="1"/>
      <c r="AK103" s="1"/>
      <c r="AL103" s="1"/>
      <c r="AM103" s="1"/>
      <c r="AN103" s="5"/>
      <c r="AO103" s="1" t="str">
        <f t="shared" si="18"/>
        <v/>
      </c>
      <c r="AP103" s="1"/>
      <c r="AQ103" s="1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</row>
    <row r="104" spans="1:54" x14ac:dyDescent="0.2">
      <c r="A104" s="7">
        <v>46117</v>
      </c>
      <c r="B104" s="1" t="s">
        <v>376</v>
      </c>
      <c r="C104" s="1" t="s">
        <v>377</v>
      </c>
      <c r="D104" s="1" t="s">
        <v>67</v>
      </c>
      <c r="E104" s="1" t="s">
        <v>237</v>
      </c>
      <c r="F104" s="1"/>
      <c r="G104" s="1"/>
      <c r="H104" s="1"/>
      <c r="I104" s="1"/>
      <c r="J104" s="1"/>
      <c r="K104" s="1" t="s">
        <v>68</v>
      </c>
      <c r="L104" s="5">
        <v>0.51329999999999998</v>
      </c>
      <c r="M104" s="5">
        <v>0.2384</v>
      </c>
      <c r="N104" s="5">
        <v>0.2482</v>
      </c>
      <c r="O104" s="5">
        <v>0.54020000000000001</v>
      </c>
      <c r="P104" s="5">
        <v>0.45979999999999999</v>
      </c>
      <c r="Q104" s="1"/>
      <c r="R104" s="1"/>
      <c r="S104" s="3"/>
      <c r="T104" s="3"/>
      <c r="U104" s="1" t="str">
        <f t="shared" si="0"/>
        <v>[PREDICCION] LOCAL</v>
      </c>
      <c r="V104" s="4">
        <f ca="1">IFERROR(__xludf.DUMMYFUNCTION("IF(B104="""", """", IFERROR(IF(VALUE(REGEXEXTRACT(TO_TEXT(Y104), ""[0-9.,]+"")) &gt; 0, IF(ISNUMBER(SEARCH(""[GANADA]"", W104)), VALUE(REGEXEXTRACT(TO_TEXT(Y104), ""[0-9.,]+"")) * (IF(ISNUMBER(SEARCH(""LOCAL"", W104)), VALUE(REGEXEXTRACT(TO_TEXT(F104), ""[0-"&amp;"9.,]+"")), IF(ISNUMBER(SEARCH(""EMPATE"", W104)), VALUE(REGEXEXTRACT(TO_TEXT(G104), ""[0-9.,]+"")), VALUE(REGEXEXTRACT(TO_TEXT(H104), ""[0-9.,]+"")))) - 1), IF(ISNUMBER(SEARCH(""[PERDIDA]"", W104)), -VALUE(REGEXEXTRACT(TO_TEXT(Y104), ""[0-9.,]+"")), 0)), "&amp;"0), 0) + IFERROR(IF(VALUE(REGEXEXTRACT(TO_TEXT(Z104), ""[0-9.,]+"")) &gt; 0, IF(ISNUMBER(SEARCH(""[GANADA]"", X104)), VALUE(REGEXEXTRACT(TO_TEXT(Z104), ""[0-9.,]+"")) * (IF(ISNUMBER(SEARCH(""OVER"", X104)), VALUE(REGEXEXTRACT(TO_TEXT(I104), ""[0-9.,]+"")), V"&amp;"ALUE(REGEXEXTRACT(TO_TEXT(J104), ""[0-9.,]+""))) - 1), IF(ISNUMBER(SEARCH(""[PERDIDA]"", X104)), -VALUE(REGEXEXTRACT(TO_TEXT(Z104), ""[0-9.,]+"")), 0)), 0), 0))"),0)</f>
        <v>0</v>
      </c>
      <c r="W104" s="1" t="s">
        <v>52</v>
      </c>
      <c r="X104" s="1" t="s">
        <v>52</v>
      </c>
      <c r="Y104" s="4">
        <v>0</v>
      </c>
      <c r="Z104" s="12">
        <v>0</v>
      </c>
      <c r="AA104" s="4" t="e">
        <f t="shared" ca="1" si="6"/>
        <v>#NAME?</v>
      </c>
      <c r="AB104" s="5" t="e">
        <f t="shared" ca="1" si="1"/>
        <v>#NAME?</v>
      </c>
      <c r="AC104" s="6"/>
      <c r="AD104" s="6"/>
      <c r="AE104" s="6"/>
      <c r="AF104" s="6" t="b">
        <v>0</v>
      </c>
      <c r="AG104" s="5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</row>
    <row r="105" spans="1:54" x14ac:dyDescent="0.2">
      <c r="A105" s="7">
        <v>46117</v>
      </c>
      <c r="B105" s="1" t="s">
        <v>378</v>
      </c>
      <c r="C105" s="1" t="s">
        <v>379</v>
      </c>
      <c r="D105" s="1" t="s">
        <v>131</v>
      </c>
      <c r="E105" s="1" t="s">
        <v>192</v>
      </c>
      <c r="F105" s="1"/>
      <c r="G105" s="1"/>
      <c r="H105" s="1"/>
      <c r="I105" s="1"/>
      <c r="J105" s="1"/>
      <c r="K105" s="1" t="s">
        <v>68</v>
      </c>
      <c r="L105" s="5">
        <v>0.55320000000000003</v>
      </c>
      <c r="M105" s="5">
        <v>0.2235</v>
      </c>
      <c r="N105" s="5">
        <v>0.2233</v>
      </c>
      <c r="O105" s="5">
        <v>0.58069999999999999</v>
      </c>
      <c r="P105" s="5">
        <v>0.41930000000000001</v>
      </c>
      <c r="Q105" s="1"/>
      <c r="R105" s="1"/>
      <c r="S105" s="3"/>
      <c r="T105" s="3"/>
      <c r="U105" s="1" t="str">
        <f t="shared" si="0"/>
        <v>[PREDICCION] LOCAL</v>
      </c>
      <c r="V105" s="4">
        <f ca="1">IFERROR(__xludf.DUMMYFUNCTION("IF(B105="""", """", IFERROR(IF(VALUE(REGEXEXTRACT(TO_TEXT(Y105), ""[0-9.,]+"")) &gt; 0, IF(ISNUMBER(SEARCH(""[GANADA]"", W105)), VALUE(REGEXEXTRACT(TO_TEXT(Y105), ""[0-9.,]+"")) * (IF(ISNUMBER(SEARCH(""LOCAL"", W105)), VALUE(REGEXEXTRACT(TO_TEXT(F105), ""[0-"&amp;"9.,]+"")), IF(ISNUMBER(SEARCH(""EMPATE"", W105)), VALUE(REGEXEXTRACT(TO_TEXT(G105), ""[0-9.,]+"")), VALUE(REGEXEXTRACT(TO_TEXT(H105), ""[0-9.,]+"")))) - 1), IF(ISNUMBER(SEARCH(""[PERDIDA]"", W105)), -VALUE(REGEXEXTRACT(TO_TEXT(Y105), ""[0-9.,]+"")), 0)), "&amp;"0), 0) + IFERROR(IF(VALUE(REGEXEXTRACT(TO_TEXT(Z105), ""[0-9.,]+"")) &gt; 0, IF(ISNUMBER(SEARCH(""[GANADA]"", X105)), VALUE(REGEXEXTRACT(TO_TEXT(Z105), ""[0-9.,]+"")) * (IF(ISNUMBER(SEARCH(""OVER"", X105)), VALUE(REGEXEXTRACT(TO_TEXT(I105), ""[0-9.,]+"")), V"&amp;"ALUE(REGEXEXTRACT(TO_TEXT(J105), ""[0-9.,]+""))) - 1), IF(ISNUMBER(SEARCH(""[PERDIDA]"", X105)), -VALUE(REGEXEXTRACT(TO_TEXT(Z105), ""[0-9.,]+"")), 0)), 0), 0))"),0)</f>
        <v>0</v>
      </c>
      <c r="W105" s="1" t="s">
        <v>52</v>
      </c>
      <c r="X105" s="1" t="s">
        <v>52</v>
      </c>
      <c r="Y105" s="4">
        <v>0</v>
      </c>
      <c r="Z105" s="12">
        <v>0</v>
      </c>
      <c r="AA105" s="4" t="e">
        <f t="shared" ca="1" si="6"/>
        <v>#NAME?</v>
      </c>
      <c r="AB105" s="5" t="e">
        <f t="shared" ca="1" si="1"/>
        <v>#NAME?</v>
      </c>
      <c r="AC105" s="6"/>
      <c r="AD105" s="6"/>
      <c r="AE105" s="6"/>
      <c r="AF105" s="6" t="b">
        <v>0</v>
      </c>
      <c r="AG105" s="5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</row>
    <row r="106" spans="1:54" x14ac:dyDescent="0.2">
      <c r="A106" s="7">
        <v>46117</v>
      </c>
      <c r="B106" s="1" t="s">
        <v>380</v>
      </c>
      <c r="C106" s="1" t="s">
        <v>381</v>
      </c>
      <c r="D106" s="1" t="s">
        <v>224</v>
      </c>
      <c r="E106" s="1" t="s">
        <v>382</v>
      </c>
      <c r="F106" s="1">
        <v>6.75</v>
      </c>
      <c r="G106" s="1">
        <v>3.87</v>
      </c>
      <c r="H106" s="1">
        <v>1.54</v>
      </c>
      <c r="I106" s="1"/>
      <c r="J106" s="1"/>
      <c r="K106" s="1" t="s">
        <v>51</v>
      </c>
      <c r="L106" s="5">
        <v>0.52449999999999997</v>
      </c>
      <c r="M106" s="5">
        <v>0.24729999999999999</v>
      </c>
      <c r="N106" s="5">
        <v>0.2281</v>
      </c>
      <c r="O106" s="5">
        <v>0.48430000000000001</v>
      </c>
      <c r="P106" s="5">
        <v>0.51570000000000005</v>
      </c>
      <c r="Q106" s="1"/>
      <c r="R106" s="1"/>
      <c r="S106" s="3"/>
      <c r="T106" s="3"/>
      <c r="U106" s="1" t="str">
        <f t="shared" si="0"/>
        <v>[PREDICCION] LOCAL</v>
      </c>
      <c r="V106" s="10">
        <f ca="1">IFERROR(__xludf.DUMMYFUNCTION("IF(B106="""", """", IFERROR(IF(VALUE(REGEXEXTRACT(TO_TEXT(Y106), ""[0-9.,]+"")) &gt; 0, IF(ISNUMBER(SEARCH(""[GANADA]"", W106)), VALUE(REGEXEXTRACT(TO_TEXT(Y106), ""[0-9.,]+"")) * (IF(ISNUMBER(SEARCH(""LOCAL"", W106)), VALUE(REGEXEXTRACT(TO_TEXT(F106), ""[0-"&amp;"9.,]+"")), IF(ISNUMBER(SEARCH(""EMPATE"", W106)), VALUE(REGEXEXTRACT(TO_TEXT(G106), ""[0-9.,]+"")), VALUE(REGEXEXTRACT(TO_TEXT(H106), ""[0-9.,]+"")))) - 1), IF(ISNUMBER(SEARCH(""[PERDIDA]"", W106)), -VALUE(REGEXEXTRACT(TO_TEXT(Y106), ""[0-9.,]+"")), 0)), "&amp;"0), 0) + IFERROR(IF(VALUE(REGEXEXTRACT(TO_TEXT(Z106), ""[0-9.,]+"")) &gt; 0, IF(ISNUMBER(SEARCH(""[GANADA]"", X106)), VALUE(REGEXEXTRACT(TO_TEXT(Z106), ""[0-9.,]+"")) * (IF(ISNUMBER(SEARCH(""OVER"", X106)), VALUE(REGEXEXTRACT(TO_TEXT(I106), ""[0-9.,]+"")), V"&amp;"ALUE(REGEXEXTRACT(TO_TEXT(J106), ""[0-9.,]+""))) - 1), IF(ISNUMBER(SEARCH(""[PERDIDA]"", X106)), -VALUE(REGEXEXTRACT(TO_TEXT(Z106), ""[0-9.,]+"")), 0)), 0), 0))"),0)</f>
        <v>0</v>
      </c>
      <c r="W106" s="1" t="s">
        <v>57</v>
      </c>
      <c r="X106" s="1" t="s">
        <v>52</v>
      </c>
      <c r="Y106" s="4">
        <v>0</v>
      </c>
      <c r="Z106" s="12">
        <v>0</v>
      </c>
      <c r="AA106" s="4" t="e">
        <f t="shared" ca="1" si="6"/>
        <v>#NAME?</v>
      </c>
      <c r="AB106" s="5" t="e">
        <f t="shared" ca="1" si="1"/>
        <v>#NAME?</v>
      </c>
      <c r="AC106" s="6"/>
      <c r="AD106" s="6"/>
      <c r="AE106" s="6"/>
      <c r="AF106" s="6" t="b">
        <v>0</v>
      </c>
      <c r="AG106" s="5"/>
      <c r="AH106" s="1"/>
      <c r="AI106" s="1"/>
      <c r="AJ106" s="1"/>
      <c r="AK106" s="1"/>
      <c r="AL106" s="1"/>
      <c r="AM106" s="1"/>
      <c r="AN106" s="5"/>
      <c r="AO106" s="1" t="str">
        <f t="shared" ref="AO106:AO107" si="19">IF(OR(Q106="", R106=""), "", _xludf.LET(oLocal, IF(Q106&gt;R106, 1, 0), oEmpate, IF(Q106=R106, 1, 0), oVisita, IF(Q106&lt;R106, 1, 0), oOver, IF((Q106+R106)&gt;2, 1, 0), oUnder, IF((Q106+R106)&lt;3, 1, 0), score1X2, (L106 - oLocal)^2 + (M106 - oEmpate)^2 + (N106 - oVisita)^2, scoreOU, (O106 - oOver)^2 + (P106 - oUnder)^2, (score1X2 + scoreOU) / 2))</f>
        <v/>
      </c>
      <c r="AP106" s="1"/>
      <c r="AQ106" s="1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</row>
    <row r="107" spans="1:54" x14ac:dyDescent="0.2">
      <c r="A107" s="7">
        <v>46116</v>
      </c>
      <c r="B107" s="1" t="s">
        <v>383</v>
      </c>
      <c r="C107" s="1" t="s">
        <v>384</v>
      </c>
      <c r="D107" s="1" t="s">
        <v>277</v>
      </c>
      <c r="E107" s="1" t="s">
        <v>56</v>
      </c>
      <c r="F107" s="1">
        <v>6.15</v>
      </c>
      <c r="G107" s="1">
        <v>3.76</v>
      </c>
      <c r="H107" s="1">
        <v>1.6</v>
      </c>
      <c r="I107" s="1"/>
      <c r="J107" s="1"/>
      <c r="K107" s="1" t="s">
        <v>51</v>
      </c>
      <c r="L107" s="5">
        <v>0.52039999999999997</v>
      </c>
      <c r="M107" s="5">
        <v>0.25659999999999999</v>
      </c>
      <c r="N107" s="5">
        <v>0.22309999999999999</v>
      </c>
      <c r="O107" s="5">
        <v>0.44450000000000001</v>
      </c>
      <c r="P107" s="5">
        <v>0.55549999999999999</v>
      </c>
      <c r="Q107" s="1"/>
      <c r="R107" s="1"/>
      <c r="S107" s="3"/>
      <c r="T107" s="3"/>
      <c r="U107" s="1" t="str">
        <f t="shared" si="0"/>
        <v>[PREDICCION] LOCAL</v>
      </c>
      <c r="V107" s="10">
        <f ca="1">IFERROR(__xludf.DUMMYFUNCTION("IF(B107="""", """", IFERROR(IF(VALUE(REGEXEXTRACT(TO_TEXT(Y107), ""[0-9.,]+"")) &gt; 0, IF(ISNUMBER(SEARCH(""[GANADA]"", W107)), VALUE(REGEXEXTRACT(TO_TEXT(Y107), ""[0-9.,]+"")) * (IF(ISNUMBER(SEARCH(""LOCAL"", W107)), VALUE(REGEXEXTRACT(TO_TEXT(F107), ""[0-"&amp;"9.,]+"")), IF(ISNUMBER(SEARCH(""EMPATE"", W107)), VALUE(REGEXEXTRACT(TO_TEXT(G107), ""[0-9.,]+"")), VALUE(REGEXEXTRACT(TO_TEXT(H107), ""[0-9.,]+"")))) - 1), IF(ISNUMBER(SEARCH(""[PERDIDA]"", W107)), -VALUE(REGEXEXTRACT(TO_TEXT(Y107), ""[0-9.,]+"")), 0)), "&amp;"0), 0) + IFERROR(IF(VALUE(REGEXEXTRACT(TO_TEXT(Z107), ""[0-9.,]+"")) &gt; 0, IF(ISNUMBER(SEARCH(""[GANADA]"", X107)), VALUE(REGEXEXTRACT(TO_TEXT(Z107), ""[0-9.,]+"")) * (IF(ISNUMBER(SEARCH(""OVER"", X107)), VALUE(REGEXEXTRACT(TO_TEXT(I107), ""[0-9.,]+"")), V"&amp;"ALUE(REGEXEXTRACT(TO_TEXT(J107), ""[0-9.,]+""))) - 1), IF(ISNUMBER(SEARCH(""[PERDIDA]"", X107)), -VALUE(REGEXEXTRACT(TO_TEXT(Z107), ""[0-9.,]+"")), 0)), 0), 0))"),0)</f>
        <v>0</v>
      </c>
      <c r="W107" s="1" t="s">
        <v>57</v>
      </c>
      <c r="X107" s="1" t="s">
        <v>52</v>
      </c>
      <c r="Y107" s="11">
        <v>0</v>
      </c>
      <c r="Z107" s="11">
        <v>0</v>
      </c>
      <c r="AA107" s="4" t="e">
        <f t="shared" ca="1" si="6"/>
        <v>#NAME?</v>
      </c>
      <c r="AB107" s="5" t="e">
        <f t="shared" ca="1" si="1"/>
        <v>#NAME?</v>
      </c>
      <c r="AC107" s="6"/>
      <c r="AD107" s="6"/>
      <c r="AE107" s="6"/>
      <c r="AF107" s="6" t="b">
        <v>0</v>
      </c>
      <c r="AG107" s="5"/>
      <c r="AH107" s="1"/>
      <c r="AI107" s="1"/>
      <c r="AJ107" s="1"/>
      <c r="AK107" s="1"/>
      <c r="AL107" s="1"/>
      <c r="AM107" s="1"/>
      <c r="AN107" s="5" t="e">
        <f ca="1">IF(A107="", "", _xludf.LET(
    sumaTot, L107+M107+N107,
    probL_n, L107/sumaTot, probX_n, M107/sumaTot, probV_n, N107/sumaTot,
    evL, IFERROR((probL_n * F107) - 1, -100),
    evX, IFERROR((probX_n * G107) - 1, -100),
    evV, IFERROR((probV_n * H107) - 1, -100),
    maxEV, MAX(evL, evX, evV),
    cuotaElegida, IF(maxEV=evL, F107, IF(maxEV=evX, G107, H107)),
    kelly_bruto, IF(cuotaElegida &gt; 1, maxEV / (cuotaElegida - 1), 0),
    kelly_fraccionado, kelly_bruto * 0.25,
    MAX(0, MIN(0.05, kelly_fraccionado))
))</f>
        <v>#NAME?</v>
      </c>
      <c r="AO107" s="1" t="str">
        <f t="shared" si="19"/>
        <v/>
      </c>
      <c r="AP107" s="1"/>
      <c r="AQ107" s="1" t="str">
        <f>IF(OR(Q107="", R107="", F107=""), "", _xludf.LET(
    inv_1, 1/F107, inv_X, 1/G107, inv_2, 1/H107,
    sumBookie, inv_1 + inv_X + inv_2,
    prob_b1, inv_1/sumBookie, prob_bx, inv_X/sumBookie, prob_b2, inv_2/sumBookie,
    res_1, IF(Q107&gt;R107, 1, 0), res_X, IF(Q107=R107, 1, 0), res_2, IF(Q107&lt;R107, 1, 0),
    (prob_b1 - res_1)^2 + (prob_bx - res_X)^2 + (prob_b2 - res_2)^2
))</f>
        <v/>
      </c>
      <c r="AR107" s="1"/>
      <c r="AS107" s="1"/>
      <c r="AT107" s="1"/>
      <c r="AU107" s="1"/>
      <c r="AV107" s="1"/>
      <c r="AW107" s="1"/>
      <c r="AX107" s="5"/>
      <c r="AY107" s="5"/>
      <c r="AZ107" s="1"/>
      <c r="BA107" s="1"/>
      <c r="BB107" s="1" t="s">
        <v>69</v>
      </c>
    </row>
    <row r="108" spans="1:54" x14ac:dyDescent="0.2">
      <c r="A108" s="7">
        <v>46117</v>
      </c>
      <c r="B108" s="1" t="s">
        <v>385</v>
      </c>
      <c r="C108" s="1" t="s">
        <v>386</v>
      </c>
      <c r="D108" s="1" t="s">
        <v>116</v>
      </c>
      <c r="E108" s="1" t="s">
        <v>387</v>
      </c>
      <c r="F108" s="1"/>
      <c r="G108" s="1"/>
      <c r="H108" s="1"/>
      <c r="I108" s="1"/>
      <c r="J108" s="1"/>
      <c r="K108" s="1" t="s">
        <v>99</v>
      </c>
      <c r="L108" s="5">
        <v>0.43840000000000001</v>
      </c>
      <c r="M108" s="5">
        <v>0.26269999999999999</v>
      </c>
      <c r="N108" s="5">
        <v>0.2989</v>
      </c>
      <c r="O108" s="5">
        <v>0.47189999999999999</v>
      </c>
      <c r="P108" s="5">
        <v>0.52810000000000001</v>
      </c>
      <c r="Q108" s="1"/>
      <c r="R108" s="1"/>
      <c r="S108" s="3"/>
      <c r="T108" s="3"/>
      <c r="U108" s="1" t="str">
        <f t="shared" si="0"/>
        <v>[PREDICCION] LOCAL</v>
      </c>
      <c r="V108" s="4">
        <f ca="1">IFERROR(__xludf.DUMMYFUNCTION("IF(B108="""", """", IFERROR(IF(VALUE(REGEXEXTRACT(TO_TEXT(Y108), ""[0-9.,]+"")) &gt; 0, IF(ISNUMBER(SEARCH(""[GANADA]"", W108)), VALUE(REGEXEXTRACT(TO_TEXT(Y108), ""[0-9.,]+"")) * (IF(ISNUMBER(SEARCH(""LOCAL"", W108)), VALUE(REGEXEXTRACT(TO_TEXT(F108), ""[0-"&amp;"9.,]+"")), IF(ISNUMBER(SEARCH(""EMPATE"", W108)), VALUE(REGEXEXTRACT(TO_TEXT(G108), ""[0-9.,]+"")), VALUE(REGEXEXTRACT(TO_TEXT(H108), ""[0-9.,]+"")))) - 1), IF(ISNUMBER(SEARCH(""[PERDIDA]"", W108)), -VALUE(REGEXEXTRACT(TO_TEXT(Y108), ""[0-9.,]+"")), 0)), "&amp;"0), 0) + IFERROR(IF(VALUE(REGEXEXTRACT(TO_TEXT(Z108), ""[0-9.,]+"")) &gt; 0, IF(ISNUMBER(SEARCH(""[GANADA]"", X108)), VALUE(REGEXEXTRACT(TO_TEXT(Z108), ""[0-9.,]+"")) * (IF(ISNUMBER(SEARCH(""OVER"", X108)), VALUE(REGEXEXTRACT(TO_TEXT(I108), ""[0-9.,]+"")), V"&amp;"ALUE(REGEXEXTRACT(TO_TEXT(J108), ""[0-9.,]+""))) - 1), IF(ISNUMBER(SEARCH(""[PERDIDA]"", X108)), -VALUE(REGEXEXTRACT(TO_TEXT(Z108), ""[0-9.,]+"")), 0)), 0), 0))"),0)</f>
        <v>0</v>
      </c>
      <c r="W108" s="1" t="s">
        <v>52</v>
      </c>
      <c r="X108" s="1" t="s">
        <v>52</v>
      </c>
      <c r="Y108" s="4">
        <v>0</v>
      </c>
      <c r="Z108" s="12">
        <v>0</v>
      </c>
      <c r="AA108" s="4" t="e">
        <f t="shared" ca="1" si="6"/>
        <v>#NAME?</v>
      </c>
      <c r="AB108" s="5" t="e">
        <f t="shared" ca="1" si="1"/>
        <v>#NAME?</v>
      </c>
      <c r="AC108" s="6"/>
      <c r="AD108" s="6"/>
      <c r="AE108" s="6"/>
      <c r="AF108" s="6" t="b">
        <v>0</v>
      </c>
      <c r="AG108" s="5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</row>
    <row r="109" spans="1:54" x14ac:dyDescent="0.2">
      <c r="A109" s="7">
        <v>46116</v>
      </c>
      <c r="B109" s="1" t="s">
        <v>388</v>
      </c>
      <c r="C109" s="1" t="s">
        <v>389</v>
      </c>
      <c r="D109" s="1" t="s">
        <v>143</v>
      </c>
      <c r="E109" s="1" t="s">
        <v>136</v>
      </c>
      <c r="F109" s="1"/>
      <c r="G109" s="1"/>
      <c r="H109" s="1"/>
      <c r="I109" s="1"/>
      <c r="J109" s="1"/>
      <c r="K109" s="1" t="s">
        <v>68</v>
      </c>
      <c r="L109" s="5">
        <v>0.48899999999999999</v>
      </c>
      <c r="M109" s="5">
        <v>0.2409</v>
      </c>
      <c r="N109" s="5">
        <v>0.27010000000000001</v>
      </c>
      <c r="O109" s="5">
        <v>0.54720000000000002</v>
      </c>
      <c r="P109" s="5">
        <v>0.45279999999999998</v>
      </c>
      <c r="Q109" s="1"/>
      <c r="R109" s="1"/>
      <c r="S109" s="3"/>
      <c r="T109" s="3"/>
      <c r="U109" s="1" t="str">
        <f t="shared" si="0"/>
        <v>[PREDICCION] LOCAL</v>
      </c>
      <c r="V109" s="10">
        <f ca="1">IFERROR(__xludf.DUMMYFUNCTION("IF(B109="""", """", IFERROR(IF(VALUE(REGEXEXTRACT(TO_TEXT(Y109), ""[0-9.,]+"")) &gt; 0, IF(ISNUMBER(SEARCH(""[GANADA]"", W109)), VALUE(REGEXEXTRACT(TO_TEXT(Y109), ""[0-9.,]+"")) * (IF(ISNUMBER(SEARCH(""LOCAL"", W109)), VALUE(REGEXEXTRACT(TO_TEXT(F109), ""[0-"&amp;"9.,]+"")), IF(ISNUMBER(SEARCH(""EMPATE"", W109)), VALUE(REGEXEXTRACT(TO_TEXT(G109), ""[0-9.,]+"")), VALUE(REGEXEXTRACT(TO_TEXT(H109), ""[0-9.,]+"")))) - 1), IF(ISNUMBER(SEARCH(""[PERDIDA]"", W109)), -VALUE(REGEXEXTRACT(TO_TEXT(Y109), ""[0-9.,]+"")), 0)), "&amp;"0), 0) + IFERROR(IF(VALUE(REGEXEXTRACT(TO_TEXT(Z109), ""[0-9.,]+"")) &gt; 0, IF(ISNUMBER(SEARCH(""[GANADA]"", X109)), VALUE(REGEXEXTRACT(TO_TEXT(Z109), ""[0-9.,]+"")) * (IF(ISNUMBER(SEARCH(""OVER"", X109)), VALUE(REGEXEXTRACT(TO_TEXT(I109), ""[0-9.,]+"")), V"&amp;"ALUE(REGEXEXTRACT(TO_TEXT(J109), ""[0-9.,]+""))) - 1), IF(ISNUMBER(SEARCH(""[PERDIDA]"", X109)), -VALUE(REGEXEXTRACT(TO_TEXT(Z109), ""[0-9.,]+"")), 0)), 0), 0))"),0)</f>
        <v>0</v>
      </c>
      <c r="W109" s="1" t="s">
        <v>52</v>
      </c>
      <c r="X109" s="1" t="s">
        <v>52</v>
      </c>
      <c r="Y109" s="11">
        <v>0</v>
      </c>
      <c r="Z109" s="11">
        <v>0</v>
      </c>
      <c r="AA109" s="4" t="e">
        <f t="shared" ca="1" si="6"/>
        <v>#NAME?</v>
      </c>
      <c r="AB109" s="5" t="e">
        <f t="shared" ca="1" si="1"/>
        <v>#NAME?</v>
      </c>
      <c r="AC109" s="6"/>
      <c r="AD109" s="6"/>
      <c r="AE109" s="6"/>
      <c r="AF109" s="6" t="b">
        <v>0</v>
      </c>
      <c r="AG109" s="5"/>
      <c r="AH109" s="1"/>
      <c r="AI109" s="1"/>
      <c r="AJ109" s="1"/>
      <c r="AK109" s="1"/>
      <c r="AL109" s="1"/>
      <c r="AM109" s="1"/>
      <c r="AN109" s="5" t="e">
        <f ca="1">IF(A109="", "", _xludf.LET(
    sumaTot, L109+M109+N109,
    probL_n, L109/sumaTot, probX_n, M109/sumaTot, probV_n, N109/sumaTot,
    evL, IFERROR((probL_n * F109) - 1, -100),
    evX, IFERROR((probX_n * G109) - 1, -100),
    evV, IFERROR((probV_n * H109) - 1, -100),
    maxEV, MAX(evL, evX, evV),
    cuotaElegida, IF(maxEV=evL, F109, IF(maxEV=evX, G109, H109)),
    kelly_bruto, IF(cuotaElegida &gt; 1, maxEV / (cuotaElegida - 1), 0),
    kelly_fraccionado, kelly_bruto * 0.25,
    MAX(0, MIN(0.05, kelly_fraccionado))
))</f>
        <v>#NAME?</v>
      </c>
      <c r="AO109" s="1" t="str">
        <f>IF(OR(Q109="", R109=""), "", _xludf.LET(oLocal, IF(Q109&gt;R109, 1, 0), oEmpate, IF(Q109=R109, 1, 0), oVisita, IF(Q109&lt;R109, 1, 0), oOver, IF((Q109+R109)&gt;2, 1, 0), oUnder, IF((Q109+R109)&lt;3, 1, 0), score1X2, (L109 - oLocal)^2 + (M109 - oEmpate)^2 + (N109 - oVisita)^2, scoreOU, (O109 - oOver)^2 + (P109 - oUnder)^2, (score1X2 + scoreOU) / 2))</f>
        <v/>
      </c>
      <c r="AP109" s="1"/>
      <c r="AQ109" s="1" t="str">
        <f>IF(OR(Q109="", R109="", F109=""), "", _xludf.LET(
    inv_1, 1/F109, inv_X, 1/G109, inv_2, 1/H109,
    sumBookie, inv_1 + inv_X + inv_2,
    prob_b1, inv_1/sumBookie, prob_bx, inv_X/sumBookie, prob_b2, inv_2/sumBookie,
    res_1, IF(Q109&gt;R109, 1, 0), res_X, IF(Q109=R109, 1, 0), res_2, IF(Q109&lt;R109, 1, 0),
    (prob_b1 - res_1)^2 + (prob_bx - res_X)^2 + (prob_b2 - res_2)^2
))</f>
        <v/>
      </c>
      <c r="AR109" s="1"/>
      <c r="AS109" s="1"/>
      <c r="AT109" s="1"/>
      <c r="AU109" s="1"/>
      <c r="AV109" s="1"/>
      <c r="AW109" s="1"/>
      <c r="AX109" s="5"/>
      <c r="AY109" s="5"/>
      <c r="AZ109" s="1"/>
      <c r="BA109" s="1"/>
      <c r="BB109" s="1" t="s">
        <v>69</v>
      </c>
    </row>
    <row r="110" spans="1:54" x14ac:dyDescent="0.2">
      <c r="A110" s="7">
        <v>46118</v>
      </c>
      <c r="B110" s="1" t="s">
        <v>390</v>
      </c>
      <c r="C110" s="1" t="s">
        <v>391</v>
      </c>
      <c r="D110" s="1" t="s">
        <v>268</v>
      </c>
      <c r="E110" s="1" t="s">
        <v>155</v>
      </c>
      <c r="F110" s="1">
        <v>1.51</v>
      </c>
      <c r="G110" s="1">
        <v>3.94</v>
      </c>
      <c r="H110" s="1">
        <v>7.16</v>
      </c>
      <c r="I110" s="1"/>
      <c r="J110" s="1"/>
      <c r="K110" s="1" t="s">
        <v>51</v>
      </c>
      <c r="L110" s="5">
        <v>0.5625</v>
      </c>
      <c r="M110" s="5">
        <v>0.246</v>
      </c>
      <c r="N110" s="5">
        <v>0.1915</v>
      </c>
      <c r="O110" s="5">
        <v>0.4496</v>
      </c>
      <c r="P110" s="5">
        <v>0.5504</v>
      </c>
      <c r="Q110" s="1"/>
      <c r="R110" s="1"/>
      <c r="S110" s="3"/>
      <c r="T110" s="3"/>
      <c r="U110" s="1" t="str">
        <f t="shared" si="0"/>
        <v>[PREDICCION] LOCAL</v>
      </c>
      <c r="V110" s="4">
        <f ca="1">IFERROR(__xludf.DUMMYFUNCTION("IF(B110="""", """", IFERROR(IF(VALUE(REGEXEXTRACT(TO_TEXT(Y110), ""[0-9.,]+"")) &gt; 0, IF(ISNUMBER(SEARCH(""[GANADA]"", W110)), VALUE(REGEXEXTRACT(TO_TEXT(Y110), ""[0-9.,]+"")) * (IF(ISNUMBER(SEARCH(""LOCAL"", W110)), VALUE(REGEXEXTRACT(TO_TEXT(F110), ""[0-"&amp;"9.,]+"")), IF(ISNUMBER(SEARCH(""EMPATE"", W110)), VALUE(REGEXEXTRACT(TO_TEXT(G110), ""[0-9.,]+"")), VALUE(REGEXEXTRACT(TO_TEXT(H110), ""[0-9.,]+"")))) - 1), IF(ISNUMBER(SEARCH(""[PERDIDA]"", W110)), -VALUE(REGEXEXTRACT(TO_TEXT(Y110), ""[0-9.,]+"")), 0)), "&amp;"0), 0) + IFERROR(IF(VALUE(REGEXEXTRACT(TO_TEXT(Z110), ""[0-9.,]+"")) &gt; 0, IF(ISNUMBER(SEARCH(""[GANADA]"", X110)), VALUE(REGEXEXTRACT(TO_TEXT(Z110), ""[0-9.,]+"")) * (IF(ISNUMBER(SEARCH(""OVER"", X110)), VALUE(REGEXEXTRACT(TO_TEXT(I110), ""[0-9.,]+"")), V"&amp;"ALUE(REGEXEXTRACT(TO_TEXT(J110), ""[0-9.,]+""))) - 1), IF(ISNUMBER(SEARCH(""[PERDIDA]"", X110)), -VALUE(REGEXEXTRACT(TO_TEXT(Z110), ""[0-9.,]+"")), 0)), 0), 0))"),0)</f>
        <v>0</v>
      </c>
      <c r="W110" s="1" t="s">
        <v>57</v>
      </c>
      <c r="X110" s="1" t="s">
        <v>52</v>
      </c>
      <c r="Y110" s="4">
        <v>0</v>
      </c>
      <c r="Z110" s="12">
        <v>0</v>
      </c>
      <c r="AA110" s="4" t="e">
        <f t="shared" ca="1" si="6"/>
        <v>#NAME?</v>
      </c>
      <c r="AB110" s="5" t="e">
        <f t="shared" ca="1" si="1"/>
        <v>#NAME?</v>
      </c>
      <c r="AC110" s="6"/>
      <c r="AD110" s="6"/>
      <c r="AE110" s="6"/>
      <c r="AF110" s="6" t="b">
        <v>0</v>
      </c>
      <c r="AG110" s="5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</row>
    <row r="111" spans="1:54" x14ac:dyDescent="0.2">
      <c r="A111" s="7">
        <v>46118</v>
      </c>
      <c r="B111" s="1" t="s">
        <v>392</v>
      </c>
      <c r="C111" s="1" t="s">
        <v>393</v>
      </c>
      <c r="D111" s="1" t="s">
        <v>394</v>
      </c>
      <c r="E111" s="1" t="s">
        <v>254</v>
      </c>
      <c r="F111" s="1">
        <v>3.65</v>
      </c>
      <c r="G111" s="1">
        <v>3.72</v>
      </c>
      <c r="H111" s="1">
        <v>1.97</v>
      </c>
      <c r="I111" s="1"/>
      <c r="J111" s="1"/>
      <c r="K111" s="1" t="s">
        <v>179</v>
      </c>
      <c r="L111" s="5">
        <v>0.45140000000000002</v>
      </c>
      <c r="M111" s="5">
        <v>0.23139999999999999</v>
      </c>
      <c r="N111" s="5">
        <v>0.31719999999999998</v>
      </c>
      <c r="O111" s="5">
        <v>0.61990000000000001</v>
      </c>
      <c r="P111" s="5">
        <v>0.38009999999999999</v>
      </c>
      <c r="Q111" s="1"/>
      <c r="R111" s="1"/>
      <c r="S111" s="3"/>
      <c r="T111" s="3"/>
      <c r="U111" s="1" t="str">
        <f t="shared" si="0"/>
        <v>[PREDICCION] LOCAL</v>
      </c>
      <c r="V111" s="4">
        <f ca="1">IFERROR(__xludf.DUMMYFUNCTION("IF(B111="""", """", IFERROR(IF(VALUE(REGEXEXTRACT(TO_TEXT(Y111), ""[0-9.,]+"")) &gt; 0, IF(ISNUMBER(SEARCH(""[GANADA]"", W111)), VALUE(REGEXEXTRACT(TO_TEXT(Y111), ""[0-9.,]+"")) * (IF(ISNUMBER(SEARCH(""LOCAL"", W111)), VALUE(REGEXEXTRACT(TO_TEXT(F111), ""[0-"&amp;"9.,]+"")), IF(ISNUMBER(SEARCH(""EMPATE"", W111)), VALUE(REGEXEXTRACT(TO_TEXT(G111), ""[0-9.,]+"")), VALUE(REGEXEXTRACT(TO_TEXT(H111), ""[0-9.,]+"")))) - 1), IF(ISNUMBER(SEARCH(""[PERDIDA]"", W111)), -VALUE(REGEXEXTRACT(TO_TEXT(Y111), ""[0-9.,]+"")), 0)), "&amp;"0), 0) + IFERROR(IF(VALUE(REGEXEXTRACT(TO_TEXT(Z111), ""[0-9.,]+"")) &gt; 0, IF(ISNUMBER(SEARCH(""[GANADA]"", X111)), VALUE(REGEXEXTRACT(TO_TEXT(Z111), ""[0-9.,]+"")) * (IF(ISNUMBER(SEARCH(""OVER"", X111)), VALUE(REGEXEXTRACT(TO_TEXT(I111), ""[0-9.,]+"")), V"&amp;"ALUE(REGEXEXTRACT(TO_TEXT(J111), ""[0-9.,]+""))) - 1), IF(ISNUMBER(SEARCH(""[PERDIDA]"", X111)), -VALUE(REGEXEXTRACT(TO_TEXT(Z111), ""[0-9.,]+"")), 0)), 0), 0))"),0)</f>
        <v>0</v>
      </c>
      <c r="W111" s="1" t="str">
        <f>IF(OR(Q111="", R111=""), "[APOSTAR] LOCAL", IF(Q111&gt;R111, "[GANADA] LOCAL", "[PERDIDA] LOCAL"))</f>
        <v>[APOSTAR] LOCAL</v>
      </c>
      <c r="X111" s="1" t="s">
        <v>52</v>
      </c>
      <c r="Y111" s="4">
        <v>1250</v>
      </c>
      <c r="Z111" s="12">
        <v>0</v>
      </c>
      <c r="AA111" s="4" t="e">
        <f t="shared" ca="1" si="6"/>
        <v>#NAME?</v>
      </c>
      <c r="AB111" s="5" t="e">
        <f t="shared" ca="1" si="1"/>
        <v>#NAME?</v>
      </c>
      <c r="AC111" s="6"/>
      <c r="AD111" s="6"/>
      <c r="AE111" s="6"/>
      <c r="AF111" s="6" t="b">
        <v>0</v>
      </c>
      <c r="AG111" s="5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</row>
    <row r="112" spans="1:54" x14ac:dyDescent="0.2">
      <c r="A112" s="7">
        <v>46118</v>
      </c>
      <c r="B112" s="1" t="s">
        <v>395</v>
      </c>
      <c r="C112" s="1" t="s">
        <v>396</v>
      </c>
      <c r="D112" s="1" t="s">
        <v>98</v>
      </c>
      <c r="E112" s="1" t="s">
        <v>127</v>
      </c>
      <c r="F112" s="1"/>
      <c r="G112" s="1"/>
      <c r="H112" s="1"/>
      <c r="I112" s="1"/>
      <c r="J112" s="1"/>
      <c r="K112" s="1" t="s">
        <v>99</v>
      </c>
      <c r="L112" s="5">
        <v>0.33910000000000001</v>
      </c>
      <c r="M112" s="5">
        <v>0.26529999999999998</v>
      </c>
      <c r="N112" s="5">
        <v>0.39560000000000001</v>
      </c>
      <c r="O112" s="5">
        <v>0.47339999999999999</v>
      </c>
      <c r="P112" s="5">
        <v>0.52659999999999996</v>
      </c>
      <c r="Q112" s="1"/>
      <c r="R112" s="1"/>
      <c r="S112" s="3"/>
      <c r="T112" s="3"/>
      <c r="U112" s="1" t="str">
        <f t="shared" si="0"/>
        <v>[PREDICCION] VISITA</v>
      </c>
      <c r="V112" s="4">
        <f ca="1">IFERROR(__xludf.DUMMYFUNCTION("IF(B112="""", """", IFERROR(IF(VALUE(REGEXEXTRACT(TO_TEXT(Y112), ""[0-9.,]+"")) &gt; 0, IF(ISNUMBER(SEARCH(""[GANADA]"", W112)), VALUE(REGEXEXTRACT(TO_TEXT(Y112), ""[0-9.,]+"")) * (IF(ISNUMBER(SEARCH(""LOCAL"", W112)), VALUE(REGEXEXTRACT(TO_TEXT(F112), ""[0-"&amp;"9.,]+"")), IF(ISNUMBER(SEARCH(""EMPATE"", W112)), VALUE(REGEXEXTRACT(TO_TEXT(G112), ""[0-9.,]+"")), VALUE(REGEXEXTRACT(TO_TEXT(H112), ""[0-9.,]+"")))) - 1), IF(ISNUMBER(SEARCH(""[PERDIDA]"", W112)), -VALUE(REGEXEXTRACT(TO_TEXT(Y112), ""[0-9.,]+"")), 0)), "&amp;"0), 0) + IFERROR(IF(VALUE(REGEXEXTRACT(TO_TEXT(Z112), ""[0-9.,]+"")) &gt; 0, IF(ISNUMBER(SEARCH(""[GANADA]"", X112)), VALUE(REGEXEXTRACT(TO_TEXT(Z112), ""[0-9.,]+"")) * (IF(ISNUMBER(SEARCH(""OVER"", X112)), VALUE(REGEXEXTRACT(TO_TEXT(I112), ""[0-9.,]+"")), V"&amp;"ALUE(REGEXEXTRACT(TO_TEXT(J112), ""[0-9.,]+""))) - 1), IF(ISNUMBER(SEARCH(""[PERDIDA]"", X112)), -VALUE(REGEXEXTRACT(TO_TEXT(Z112), ""[0-9.,]+"")), 0)), 0), 0))"),0)</f>
        <v>0</v>
      </c>
      <c r="W112" s="1" t="s">
        <v>52</v>
      </c>
      <c r="X112" s="1" t="s">
        <v>52</v>
      </c>
      <c r="Y112" s="4">
        <v>0</v>
      </c>
      <c r="Z112" s="12">
        <v>0</v>
      </c>
      <c r="AA112" s="4" t="e">
        <f t="shared" ca="1" si="6"/>
        <v>#NAME?</v>
      </c>
      <c r="AB112" s="5" t="e">
        <f t="shared" ca="1" si="1"/>
        <v>#NAME?</v>
      </c>
      <c r="AC112" s="6"/>
      <c r="AD112" s="6"/>
      <c r="AE112" s="6"/>
      <c r="AF112" s="6" t="b">
        <v>0</v>
      </c>
      <c r="AG112" s="5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</row>
    <row r="113" spans="1:54" x14ac:dyDescent="0.2">
      <c r="A113" s="7">
        <v>46118</v>
      </c>
      <c r="B113" s="1" t="s">
        <v>397</v>
      </c>
      <c r="C113" s="1" t="s">
        <v>398</v>
      </c>
      <c r="D113" s="1" t="s">
        <v>399</v>
      </c>
      <c r="E113" s="1" t="s">
        <v>400</v>
      </c>
      <c r="F113" s="1">
        <v>1.3</v>
      </c>
      <c r="G113" s="1">
        <v>6.29</v>
      </c>
      <c r="H113" s="1">
        <v>7.52</v>
      </c>
      <c r="I113" s="1"/>
      <c r="J113" s="1"/>
      <c r="K113" s="1" t="s">
        <v>179</v>
      </c>
      <c r="L113" s="5">
        <v>0.2717</v>
      </c>
      <c r="M113" s="5">
        <v>0.23230000000000001</v>
      </c>
      <c r="N113" s="5">
        <v>0.496</v>
      </c>
      <c r="O113" s="5">
        <v>0.5877</v>
      </c>
      <c r="P113" s="5">
        <v>0.4123</v>
      </c>
      <c r="Q113" s="1"/>
      <c r="R113" s="1"/>
      <c r="S113" s="3"/>
      <c r="T113" s="3"/>
      <c r="U113" s="1" t="str">
        <f t="shared" si="0"/>
        <v>[PREDICCION] VISITA</v>
      </c>
      <c r="V113" s="4">
        <f ca="1">IFERROR(__xludf.DUMMYFUNCTION("IF(B113="""", """", IFERROR(IF(VALUE(REGEXEXTRACT(TO_TEXT(Y113), ""[0-9.,]+"")) &gt; 0, IF(ISNUMBER(SEARCH(""[GANADA]"", W113)), VALUE(REGEXEXTRACT(TO_TEXT(Y113), ""[0-9.,]+"")) * (IF(ISNUMBER(SEARCH(""LOCAL"", W113)), VALUE(REGEXEXTRACT(TO_TEXT(F113), ""[0-"&amp;"9.,]+"")), IF(ISNUMBER(SEARCH(""EMPATE"", W113)), VALUE(REGEXEXTRACT(TO_TEXT(G113), ""[0-9.,]+"")), VALUE(REGEXEXTRACT(TO_TEXT(H113), ""[0-9.,]+"")))) - 1), IF(ISNUMBER(SEARCH(""[PERDIDA]"", W113)), -VALUE(REGEXEXTRACT(TO_TEXT(Y113), ""[0-9.,]+"")), 0)), "&amp;"0), 0) + IFERROR(IF(VALUE(REGEXEXTRACT(TO_TEXT(Z113), ""[0-9.,]+"")) &gt; 0, IF(ISNUMBER(SEARCH(""[GANADA]"", X113)), VALUE(REGEXEXTRACT(TO_TEXT(Z113), ""[0-9.,]+"")) * (IF(ISNUMBER(SEARCH(""OVER"", X113)), VALUE(REGEXEXTRACT(TO_TEXT(I113), ""[0-9.,]+"")), V"&amp;"ALUE(REGEXEXTRACT(TO_TEXT(J113), ""[0-9.,]+""))) - 1), IF(ISNUMBER(SEARCH(""[PERDIDA]"", X113)), -VALUE(REGEXEXTRACT(TO_TEXT(Z113), ""[0-9.,]+"")), 0)), 0), 0))"),0)</f>
        <v>0</v>
      </c>
      <c r="W113" s="1" t="s">
        <v>57</v>
      </c>
      <c r="X113" s="1" t="s">
        <v>52</v>
      </c>
      <c r="Y113" s="4">
        <v>0</v>
      </c>
      <c r="Z113" s="12">
        <v>0</v>
      </c>
      <c r="AA113" s="4" t="e">
        <f t="shared" ca="1" si="6"/>
        <v>#NAME?</v>
      </c>
      <c r="AB113" s="5" t="e">
        <f t="shared" ca="1" si="1"/>
        <v>#NAME?</v>
      </c>
      <c r="AC113" s="6"/>
      <c r="AD113" s="6"/>
      <c r="AE113" s="6"/>
      <c r="AF113" s="6" t="b">
        <v>0</v>
      </c>
      <c r="AG113" s="5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</row>
    <row r="114" spans="1:54" x14ac:dyDescent="0.2">
      <c r="A114" s="7">
        <v>46118</v>
      </c>
      <c r="B114" s="1" t="s">
        <v>401</v>
      </c>
      <c r="C114" s="1" t="s">
        <v>402</v>
      </c>
      <c r="D114" s="1" t="s">
        <v>200</v>
      </c>
      <c r="E114" s="1" t="s">
        <v>403</v>
      </c>
      <c r="F114" s="1">
        <v>3.27</v>
      </c>
      <c r="G114" s="1">
        <v>3.8</v>
      </c>
      <c r="H114" s="1">
        <v>2.08</v>
      </c>
      <c r="I114" s="1"/>
      <c r="J114" s="1"/>
      <c r="K114" s="1" t="s">
        <v>179</v>
      </c>
      <c r="L114" s="5">
        <v>0.4597</v>
      </c>
      <c r="M114" s="5">
        <v>0.24030000000000001</v>
      </c>
      <c r="N114" s="5">
        <v>0.3</v>
      </c>
      <c r="O114" s="5">
        <v>0.56910000000000005</v>
      </c>
      <c r="P114" s="5">
        <v>0.43090000000000001</v>
      </c>
      <c r="Q114" s="1"/>
      <c r="R114" s="1"/>
      <c r="S114" s="3"/>
      <c r="T114" s="3"/>
      <c r="U114" s="1" t="str">
        <f t="shared" si="0"/>
        <v>[PREDICCION] LOCAL</v>
      </c>
      <c r="V114" s="4">
        <f ca="1">IFERROR(__xludf.DUMMYFUNCTION("IF(B114="""", """", IFERROR(IF(VALUE(REGEXEXTRACT(TO_TEXT(Y114), ""[0-9.,]+"")) &gt; 0, IF(ISNUMBER(SEARCH(""[GANADA]"", W114)), VALUE(REGEXEXTRACT(TO_TEXT(Y114), ""[0-9.,]+"")) * (IF(ISNUMBER(SEARCH(""LOCAL"", W114)), VALUE(REGEXEXTRACT(TO_TEXT(F114), ""[0-"&amp;"9.,]+"")), IF(ISNUMBER(SEARCH(""EMPATE"", W114)), VALUE(REGEXEXTRACT(TO_TEXT(G114), ""[0-9.,]+"")), VALUE(REGEXEXTRACT(TO_TEXT(H114), ""[0-9.,]+"")))) - 1), IF(ISNUMBER(SEARCH(""[PERDIDA]"", W114)), -VALUE(REGEXEXTRACT(TO_TEXT(Y114), ""[0-9.,]+"")), 0)), "&amp;"0), 0) + IFERROR(IF(VALUE(REGEXEXTRACT(TO_TEXT(Z114), ""[0-9.,]+"")) &gt; 0, IF(ISNUMBER(SEARCH(""[GANADA]"", X114)), VALUE(REGEXEXTRACT(TO_TEXT(Z114), ""[0-9.,]+"")) * (IF(ISNUMBER(SEARCH(""OVER"", X114)), VALUE(REGEXEXTRACT(TO_TEXT(I114), ""[0-9.,]+"")), V"&amp;"ALUE(REGEXEXTRACT(TO_TEXT(J114), ""[0-9.,]+""))) - 1), IF(ISNUMBER(SEARCH(""[PERDIDA]"", X114)), -VALUE(REGEXEXTRACT(TO_TEXT(Z114), ""[0-9.,]+"")), 0)), 0), 0))"),0)</f>
        <v>0</v>
      </c>
      <c r="W114" s="1" t="str">
        <f t="shared" ref="W114:W116" si="20">IF(OR(Q114="", R114=""), "[APOSTAR] LOCAL", IF(Q114&gt;R114, "[GANADA] LOCAL", "[PERDIDA] LOCAL"))</f>
        <v>[APOSTAR] LOCAL</v>
      </c>
      <c r="X114" s="1" t="s">
        <v>52</v>
      </c>
      <c r="Y114" s="4">
        <v>1250</v>
      </c>
      <c r="Z114" s="12">
        <v>0</v>
      </c>
      <c r="AA114" s="4" t="e">
        <f t="shared" ca="1" si="6"/>
        <v>#NAME?</v>
      </c>
      <c r="AB114" s="5" t="e">
        <f t="shared" ca="1" si="1"/>
        <v>#NAME?</v>
      </c>
      <c r="AC114" s="6"/>
      <c r="AD114" s="6"/>
      <c r="AE114" s="6"/>
      <c r="AF114" s="6" t="b">
        <v>0</v>
      </c>
      <c r="AG114" s="5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</row>
    <row r="115" spans="1:54" x14ac:dyDescent="0.2">
      <c r="A115" s="7">
        <v>46118</v>
      </c>
      <c r="B115" s="1" t="s">
        <v>404</v>
      </c>
      <c r="C115" s="1" t="s">
        <v>405</v>
      </c>
      <c r="D115" s="1" t="s">
        <v>245</v>
      </c>
      <c r="E115" s="1" t="s">
        <v>177</v>
      </c>
      <c r="F115" s="1">
        <v>4.38</v>
      </c>
      <c r="G115" s="1">
        <v>4.12</v>
      </c>
      <c r="H115" s="1">
        <v>1.72</v>
      </c>
      <c r="I115" s="1"/>
      <c r="J115" s="1"/>
      <c r="K115" s="1" t="s">
        <v>179</v>
      </c>
      <c r="L115" s="5">
        <v>0.34610000000000002</v>
      </c>
      <c r="M115" s="5">
        <v>0.2427</v>
      </c>
      <c r="N115" s="5">
        <v>0.41120000000000001</v>
      </c>
      <c r="O115" s="5">
        <v>0.57509999999999994</v>
      </c>
      <c r="P115" s="5">
        <v>0.4249</v>
      </c>
      <c r="Q115" s="1"/>
      <c r="R115" s="1"/>
      <c r="S115" s="3"/>
      <c r="T115" s="3"/>
      <c r="U115" s="1" t="str">
        <f t="shared" si="0"/>
        <v>[PREDICCION] VISITA</v>
      </c>
      <c r="V115" s="4">
        <f ca="1">IFERROR(__xludf.DUMMYFUNCTION("IF(B115="""", """", IFERROR(IF(VALUE(REGEXEXTRACT(TO_TEXT(Y115), ""[0-9.,]+"")) &gt; 0, IF(ISNUMBER(SEARCH(""[GANADA]"", W115)), VALUE(REGEXEXTRACT(TO_TEXT(Y115), ""[0-9.,]+"")) * (IF(ISNUMBER(SEARCH(""LOCAL"", W115)), VALUE(REGEXEXTRACT(TO_TEXT(F115), ""[0-"&amp;"9.,]+"")), IF(ISNUMBER(SEARCH(""EMPATE"", W115)), VALUE(REGEXEXTRACT(TO_TEXT(G115), ""[0-9.,]+"")), VALUE(REGEXEXTRACT(TO_TEXT(H115), ""[0-9.,]+"")))) - 1), IF(ISNUMBER(SEARCH(""[PERDIDA]"", W115)), -VALUE(REGEXEXTRACT(TO_TEXT(Y115), ""[0-9.,]+"")), 0)), "&amp;"0), 0) + IFERROR(IF(VALUE(REGEXEXTRACT(TO_TEXT(Z115), ""[0-9.,]+"")) &gt; 0, IF(ISNUMBER(SEARCH(""[GANADA]"", X115)), VALUE(REGEXEXTRACT(TO_TEXT(Z115), ""[0-9.,]+"")) * (IF(ISNUMBER(SEARCH(""OVER"", X115)), VALUE(REGEXEXTRACT(TO_TEXT(I115), ""[0-9.,]+"")), V"&amp;"ALUE(REGEXEXTRACT(TO_TEXT(J115), ""[0-9.,]+""))) - 1), IF(ISNUMBER(SEARCH(""[PERDIDA]"", X115)), -VALUE(REGEXEXTRACT(TO_TEXT(Z115), ""[0-9.,]+"")), 0)), 0), 0))"),0)</f>
        <v>0</v>
      </c>
      <c r="W115" s="1" t="str">
        <f t="shared" si="20"/>
        <v>[APOSTAR] LOCAL</v>
      </c>
      <c r="X115" s="1" t="s">
        <v>52</v>
      </c>
      <c r="Y115" s="4">
        <v>1250</v>
      </c>
      <c r="Z115" s="12">
        <v>0</v>
      </c>
      <c r="AA115" s="4" t="e">
        <f t="shared" ca="1" si="6"/>
        <v>#NAME?</v>
      </c>
      <c r="AB115" s="5" t="e">
        <f t="shared" ca="1" si="1"/>
        <v>#NAME?</v>
      </c>
      <c r="AC115" s="6"/>
      <c r="AD115" s="6"/>
      <c r="AE115" s="6"/>
      <c r="AF115" s="6" t="b">
        <v>0</v>
      </c>
      <c r="AG115" s="5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</row>
    <row r="116" spans="1:54" x14ac:dyDescent="0.2">
      <c r="A116" s="7">
        <v>46118</v>
      </c>
      <c r="B116" s="1" t="s">
        <v>406</v>
      </c>
      <c r="C116" s="1" t="s">
        <v>407</v>
      </c>
      <c r="D116" s="1" t="s">
        <v>255</v>
      </c>
      <c r="E116" s="1" t="s">
        <v>240</v>
      </c>
      <c r="F116" s="1">
        <v>5.46</v>
      </c>
      <c r="G116" s="1">
        <v>4.1900000000000004</v>
      </c>
      <c r="H116" s="1">
        <v>1.59</v>
      </c>
      <c r="I116" s="1"/>
      <c r="J116" s="1"/>
      <c r="K116" s="1" t="s">
        <v>179</v>
      </c>
      <c r="L116" s="5">
        <v>0.58940000000000003</v>
      </c>
      <c r="M116" s="5">
        <v>0.22070000000000001</v>
      </c>
      <c r="N116" s="5">
        <v>0.18990000000000001</v>
      </c>
      <c r="O116" s="5">
        <v>0.54869999999999997</v>
      </c>
      <c r="P116" s="5">
        <v>0.45129999999999998</v>
      </c>
      <c r="Q116" s="1"/>
      <c r="R116" s="1"/>
      <c r="S116" s="3"/>
      <c r="T116" s="3"/>
      <c r="U116" s="1" t="str">
        <f t="shared" si="0"/>
        <v>[PREDICCION] LOCAL</v>
      </c>
      <c r="V116" s="4">
        <f ca="1">IFERROR(__xludf.DUMMYFUNCTION("IF(B116="""", """", IFERROR(IF(VALUE(REGEXEXTRACT(TO_TEXT(Y116), ""[0-9.,]+"")) &gt; 0, IF(ISNUMBER(SEARCH(""[GANADA]"", W116)), VALUE(REGEXEXTRACT(TO_TEXT(Y116), ""[0-9.,]+"")) * (IF(ISNUMBER(SEARCH(""LOCAL"", W116)), VALUE(REGEXEXTRACT(TO_TEXT(F116), ""[0-"&amp;"9.,]+"")), IF(ISNUMBER(SEARCH(""EMPATE"", W116)), VALUE(REGEXEXTRACT(TO_TEXT(G116), ""[0-9.,]+"")), VALUE(REGEXEXTRACT(TO_TEXT(H116), ""[0-9.,]+"")))) - 1), IF(ISNUMBER(SEARCH(""[PERDIDA]"", W116)), -VALUE(REGEXEXTRACT(TO_TEXT(Y116), ""[0-9.,]+"")), 0)), "&amp;"0), 0) + IFERROR(IF(VALUE(REGEXEXTRACT(TO_TEXT(Z116), ""[0-9.,]+"")) &gt; 0, IF(ISNUMBER(SEARCH(""[GANADA]"", X116)), VALUE(REGEXEXTRACT(TO_TEXT(Z116), ""[0-9.,]+"")) * (IF(ISNUMBER(SEARCH(""OVER"", X116)), VALUE(REGEXEXTRACT(TO_TEXT(I116), ""[0-9.,]+"")), V"&amp;"ALUE(REGEXEXTRACT(TO_TEXT(J116), ""[0-9.,]+""))) - 1), IF(ISNUMBER(SEARCH(""[PERDIDA]"", X116)), -VALUE(REGEXEXTRACT(TO_TEXT(Z116), ""[0-9.,]+"")), 0)), 0), 0))"),0)</f>
        <v>0</v>
      </c>
      <c r="W116" s="1" t="str">
        <f t="shared" si="20"/>
        <v>[APOSTAR] LOCAL</v>
      </c>
      <c r="X116" s="1" t="s">
        <v>52</v>
      </c>
      <c r="Y116" s="4">
        <v>1250</v>
      </c>
      <c r="Z116" s="12">
        <v>0</v>
      </c>
      <c r="AA116" s="4" t="e">
        <f t="shared" ca="1" si="6"/>
        <v>#NAME?</v>
      </c>
      <c r="AB116" s="5" t="e">
        <f t="shared" ca="1" si="1"/>
        <v>#NAME?</v>
      </c>
      <c r="AC116" s="6"/>
      <c r="AD116" s="6"/>
      <c r="AE116" s="6"/>
      <c r="AF116" s="6" t="b">
        <v>0</v>
      </c>
      <c r="AG116" s="5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</row>
    <row r="117" spans="1:54" x14ac:dyDescent="0.2">
      <c r="A117" s="7">
        <v>46118</v>
      </c>
      <c r="B117" s="1" t="s">
        <v>408</v>
      </c>
      <c r="C117" s="1" t="s">
        <v>409</v>
      </c>
      <c r="D117" s="1" t="s">
        <v>241</v>
      </c>
      <c r="E117" s="1" t="s">
        <v>199</v>
      </c>
      <c r="F117" s="1">
        <v>2.09</v>
      </c>
      <c r="G117" s="1">
        <v>3.94</v>
      </c>
      <c r="H117" s="1">
        <v>3.15</v>
      </c>
      <c r="I117" s="1"/>
      <c r="J117" s="1"/>
      <c r="K117" s="1" t="s">
        <v>179</v>
      </c>
      <c r="L117" s="5">
        <v>0.36890000000000001</v>
      </c>
      <c r="M117" s="5">
        <v>0.24</v>
      </c>
      <c r="N117" s="5">
        <v>0.3911</v>
      </c>
      <c r="O117" s="5">
        <v>0.59130000000000005</v>
      </c>
      <c r="P117" s="5">
        <v>0.40870000000000001</v>
      </c>
      <c r="Q117" s="1"/>
      <c r="R117" s="1"/>
      <c r="S117" s="3"/>
      <c r="T117" s="3"/>
      <c r="U117" s="1" t="str">
        <f t="shared" si="0"/>
        <v>[PASAR] Margen Insuficiente (&lt;5%)</v>
      </c>
      <c r="V117" s="4">
        <f ca="1">IFERROR(__xludf.DUMMYFUNCTION("IF(B117="""", """", IFERROR(IF(VALUE(REGEXEXTRACT(TO_TEXT(Y117), ""[0-9.,]+"")) &gt; 0, IF(ISNUMBER(SEARCH(""[GANADA]"", W117)), VALUE(REGEXEXTRACT(TO_TEXT(Y117), ""[0-9.,]+"")) * (IF(ISNUMBER(SEARCH(""LOCAL"", W117)), VALUE(REGEXEXTRACT(TO_TEXT(F117), ""[0-"&amp;"9.,]+"")), IF(ISNUMBER(SEARCH(""EMPATE"", W117)), VALUE(REGEXEXTRACT(TO_TEXT(G117), ""[0-9.,]+"")), VALUE(REGEXEXTRACT(TO_TEXT(H117), ""[0-9.,]+"")))) - 1), IF(ISNUMBER(SEARCH(""[PERDIDA]"", W117)), -VALUE(REGEXEXTRACT(TO_TEXT(Y117), ""[0-9.,]+"")), 0)), "&amp;"0), 0) + IFERROR(IF(VALUE(REGEXEXTRACT(TO_TEXT(Z117), ""[0-9.,]+"")) &gt; 0, IF(ISNUMBER(SEARCH(""[GANADA]"", X117)), VALUE(REGEXEXTRACT(TO_TEXT(Z117), ""[0-9.,]+"")) * (IF(ISNUMBER(SEARCH(""OVER"", X117)), VALUE(REGEXEXTRACT(TO_TEXT(I117), ""[0-9.,]+"")), V"&amp;"ALUE(REGEXEXTRACT(TO_TEXT(J117), ""[0-9.,]+""))) - 1), IF(ISNUMBER(SEARCH(""[PERDIDA]"", X117)), -VALUE(REGEXEXTRACT(TO_TEXT(Z117), ""[0-9.,]+"")), 0)), 0), 0))"),0)</f>
        <v>0</v>
      </c>
      <c r="W117" s="1" t="s">
        <v>82</v>
      </c>
      <c r="X117" s="1" t="s">
        <v>52</v>
      </c>
      <c r="Y117" s="4">
        <v>0</v>
      </c>
      <c r="Z117" s="12">
        <v>0</v>
      </c>
      <c r="AA117" s="4" t="e">
        <f t="shared" ca="1" si="6"/>
        <v>#NAME?</v>
      </c>
      <c r="AB117" s="5" t="e">
        <f t="shared" ca="1" si="1"/>
        <v>#NAME?</v>
      </c>
      <c r="AC117" s="6"/>
      <c r="AD117" s="6"/>
      <c r="AE117" s="6"/>
      <c r="AF117" s="6" t="b">
        <v>0</v>
      </c>
      <c r="AG117" s="5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</row>
    <row r="118" spans="1:54" x14ac:dyDescent="0.2">
      <c r="A118" s="7">
        <v>46118</v>
      </c>
      <c r="B118" s="1" t="s">
        <v>410</v>
      </c>
      <c r="C118" s="1" t="s">
        <v>411</v>
      </c>
      <c r="D118" s="1" t="s">
        <v>214</v>
      </c>
      <c r="E118" s="1" t="s">
        <v>81</v>
      </c>
      <c r="F118" s="1">
        <v>4.17</v>
      </c>
      <c r="G118" s="1">
        <v>3.2</v>
      </c>
      <c r="H118" s="1">
        <v>2</v>
      </c>
      <c r="I118" s="1"/>
      <c r="J118" s="1"/>
      <c r="K118" s="1" t="s">
        <v>51</v>
      </c>
      <c r="L118" s="5">
        <v>0.3957</v>
      </c>
      <c r="M118" s="5">
        <v>0.27239999999999998</v>
      </c>
      <c r="N118" s="5">
        <v>0.33189999999999997</v>
      </c>
      <c r="O118" s="5">
        <v>0.44379999999999997</v>
      </c>
      <c r="P118" s="5">
        <v>0.55620000000000003</v>
      </c>
      <c r="Q118" s="1"/>
      <c r="R118" s="1"/>
      <c r="S118" s="3"/>
      <c r="T118" s="3"/>
      <c r="U118" s="1" t="str">
        <f t="shared" si="0"/>
        <v>[PREDICCION] LOCAL</v>
      </c>
      <c r="V118" s="4">
        <f ca="1">IFERROR(__xludf.DUMMYFUNCTION("IF(B118="""", """", IFERROR(IF(VALUE(REGEXEXTRACT(TO_TEXT(Y118), ""[0-9.,]+"")) &gt; 0, IF(ISNUMBER(SEARCH(""[GANADA]"", W118)), VALUE(REGEXEXTRACT(TO_TEXT(Y118), ""[0-9.,]+"")) * (IF(ISNUMBER(SEARCH(""LOCAL"", W118)), VALUE(REGEXEXTRACT(TO_TEXT(F118), ""[0-"&amp;"9.,]+"")), IF(ISNUMBER(SEARCH(""EMPATE"", W118)), VALUE(REGEXEXTRACT(TO_TEXT(G118), ""[0-9.,]+"")), VALUE(REGEXEXTRACT(TO_TEXT(H118), ""[0-9.,]+"")))) - 1), IF(ISNUMBER(SEARCH(""[PERDIDA]"", W118)), -VALUE(REGEXEXTRACT(TO_TEXT(Y118), ""[0-9.,]+"")), 0)), "&amp;"0), 0) + IFERROR(IF(VALUE(REGEXEXTRACT(TO_TEXT(Z118), ""[0-9.,]+"")) &gt; 0, IF(ISNUMBER(SEARCH(""[GANADA]"", X118)), VALUE(REGEXEXTRACT(TO_TEXT(Z118), ""[0-9.,]+"")) * (IF(ISNUMBER(SEARCH(""OVER"", X118)), VALUE(REGEXEXTRACT(TO_TEXT(I118), ""[0-9.,]+"")), V"&amp;"ALUE(REGEXEXTRACT(TO_TEXT(J118), ""[0-9.,]+""))) - 1), IF(ISNUMBER(SEARCH(""[PERDIDA]"", X118)), -VALUE(REGEXEXTRACT(TO_TEXT(Z118), ""[0-9.,]+"")), 0)), 0), 0))"),0)</f>
        <v>0</v>
      </c>
      <c r="W118" s="1" t="str">
        <f>IF(OR(Q118="", R118=""), "[APOSTAR] LOCAL", IF(Q118&gt;R118, "[GANADA] LOCAL", "[PERDIDA] LOCAL"))</f>
        <v>[APOSTAR] LOCAL</v>
      </c>
      <c r="X118" s="1" t="s">
        <v>52</v>
      </c>
      <c r="Y118" s="4">
        <v>2500</v>
      </c>
      <c r="Z118" s="12">
        <v>0</v>
      </c>
      <c r="AA118" s="4" t="e">
        <f t="shared" ca="1" si="6"/>
        <v>#NAME?</v>
      </c>
      <c r="AB118" s="5" t="e">
        <f t="shared" ca="1" si="1"/>
        <v>#NAME?</v>
      </c>
      <c r="AC118" s="6"/>
      <c r="AD118" s="6"/>
      <c r="AE118" s="6"/>
      <c r="AF118" s="6" t="b">
        <v>0</v>
      </c>
      <c r="AG118" s="5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</row>
    <row r="119" spans="1:54" x14ac:dyDescent="0.2">
      <c r="A119" s="7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5"/>
      <c r="M119" s="5"/>
      <c r="N119" s="5"/>
      <c r="O119" s="5"/>
      <c r="P119" s="5"/>
      <c r="Q119" s="1"/>
      <c r="R119" s="1"/>
      <c r="S119" s="3"/>
      <c r="T119" s="3"/>
      <c r="U119" s="1"/>
      <c r="V119" s="4"/>
      <c r="W119" s="1"/>
      <c r="X119" s="1"/>
      <c r="Y119" s="4"/>
      <c r="Z119" s="12"/>
      <c r="AA119" s="4" t="str">
        <f t="shared" si="6"/>
        <v/>
      </c>
      <c r="AB119" s="5" t="str">
        <f t="shared" si="1"/>
        <v/>
      </c>
      <c r="AC119" s="6"/>
      <c r="AD119" s="6"/>
      <c r="AE119" s="6"/>
      <c r="AF119" s="6" t="b">
        <v>0</v>
      </c>
      <c r="AG119" s="5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</row>
    <row r="120" spans="1:54" x14ac:dyDescent="0.2">
      <c r="A120" s="7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5"/>
      <c r="M120" s="5"/>
      <c r="N120" s="5"/>
      <c r="O120" s="5"/>
      <c r="P120" s="5"/>
      <c r="Q120" s="1"/>
      <c r="R120" s="1"/>
      <c r="S120" s="3"/>
      <c r="T120" s="3"/>
      <c r="U120" s="1"/>
      <c r="V120" s="4"/>
      <c r="W120" s="1"/>
      <c r="X120" s="1"/>
      <c r="Y120" s="4"/>
      <c r="Z120" s="12"/>
      <c r="AA120" s="4" t="str">
        <f t="shared" si="6"/>
        <v/>
      </c>
      <c r="AB120" s="5" t="str">
        <f t="shared" si="1"/>
        <v/>
      </c>
      <c r="AC120" s="6"/>
      <c r="AD120" s="6"/>
      <c r="AE120" s="6"/>
      <c r="AF120" s="6" t="b">
        <v>0</v>
      </c>
      <c r="AG120" s="5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</row>
    <row r="121" spans="1:54" x14ac:dyDescent="0.2">
      <c r="A121" s="7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5"/>
      <c r="M121" s="5"/>
      <c r="N121" s="5"/>
      <c r="O121" s="5"/>
      <c r="P121" s="5"/>
      <c r="Q121" s="1"/>
      <c r="R121" s="1"/>
      <c r="S121" s="3"/>
      <c r="T121" s="3"/>
      <c r="U121" s="1"/>
      <c r="V121" s="4"/>
      <c r="W121" s="1"/>
      <c r="X121" s="1"/>
      <c r="Y121" s="4"/>
      <c r="Z121" s="12"/>
      <c r="AA121" s="4" t="str">
        <f t="shared" si="6"/>
        <v/>
      </c>
      <c r="AB121" s="5"/>
      <c r="AC121" s="6"/>
      <c r="AD121" s="6"/>
      <c r="AE121" s="6"/>
      <c r="AF121" s="6" t="b">
        <v>0</v>
      </c>
      <c r="AG121" s="5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</row>
    <row r="122" spans="1:54" x14ac:dyDescent="0.2">
      <c r="A122" s="7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5"/>
      <c r="M122" s="5"/>
      <c r="N122" s="5"/>
      <c r="O122" s="5"/>
      <c r="P122" s="5"/>
      <c r="Q122" s="1"/>
      <c r="R122" s="1"/>
      <c r="S122" s="3"/>
      <c r="T122" s="3"/>
      <c r="U122" s="1"/>
      <c r="V122" s="4"/>
      <c r="W122" s="1"/>
      <c r="X122" s="1"/>
      <c r="Y122" s="4"/>
      <c r="Z122" s="12"/>
      <c r="AA122" s="4"/>
      <c r="AB122" s="5"/>
      <c r="AC122" s="6"/>
      <c r="AD122" s="6"/>
      <c r="AE122" s="6"/>
      <c r="AF122" s="6" t="b">
        <v>0</v>
      </c>
      <c r="AG122" s="5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</row>
    <row r="123" spans="1:54" x14ac:dyDescent="0.2">
      <c r="A123" s="7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5"/>
      <c r="M123" s="5"/>
      <c r="N123" s="5"/>
      <c r="O123" s="5"/>
      <c r="P123" s="5"/>
      <c r="Q123" s="1"/>
      <c r="R123" s="1"/>
      <c r="S123" s="3"/>
      <c r="T123" s="3"/>
      <c r="U123" s="1"/>
      <c r="V123" s="4"/>
      <c r="W123" s="1"/>
      <c r="X123" s="1"/>
      <c r="Y123" s="4"/>
      <c r="Z123" s="12"/>
      <c r="AA123" s="4"/>
      <c r="AB123" s="5"/>
      <c r="AC123" s="6"/>
      <c r="AD123" s="6"/>
      <c r="AE123" s="6"/>
      <c r="AF123" s="6" t="b">
        <v>0</v>
      </c>
      <c r="AG123" s="5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</row>
  </sheetData>
  <conditionalFormatting sqref="A1:R120">
    <cfRule type="expression" dxfId="50" priority="1">
      <formula>$K1 = "Argentina"</formula>
    </cfRule>
    <cfRule type="expression" dxfId="49" priority="2">
      <formula>$K1 = "Noruega"</formula>
    </cfRule>
    <cfRule type="expression" dxfId="48" priority="3">
      <formula>$K1 = "Brasil"</formula>
    </cfRule>
    <cfRule type="expression" dxfId="47" priority="4">
      <formula>$K1 = "Inglaterra"</formula>
    </cfRule>
    <cfRule type="expression" dxfId="46" priority="5">
      <formula>$K1 = "Turquia"</formula>
    </cfRule>
  </conditionalFormatting>
  <conditionalFormatting sqref="U1:U89">
    <cfRule type="expression" dxfId="45" priority="6">
      <formula>$U1 = "[FALLO]"</formula>
    </cfRule>
    <cfRule type="expression" dxfId="44" priority="7">
      <formula>$U1 = "[ACIERTO]"</formula>
    </cfRule>
    <cfRule type="expression" dxfId="43" priority="8">
      <formula>$U1 = "[PREDICCION] VISITA"</formula>
    </cfRule>
    <cfRule type="expression" dxfId="42" priority="9">
      <formula>$U1 = "🔮 PREDICCIÓN: VISITA"</formula>
    </cfRule>
    <cfRule type="expression" dxfId="41" priority="36">
      <formula>$U1 = "[PREDICCION] LOCAL"</formula>
    </cfRule>
  </conditionalFormatting>
  <conditionalFormatting sqref="U1:U100">
    <cfRule type="expression" dxfId="40" priority="37">
      <formula>$U1 = "[PASAR] Margen Insuficiente (&lt;5%)"</formula>
    </cfRule>
  </conditionalFormatting>
  <conditionalFormatting sqref="V1:V99">
    <cfRule type="colorScale" priority="26">
      <colorScale>
        <cfvo type="formula" val="-0.1"/>
        <cfvo type="percentile" val="50"/>
        <cfvo type="formula" val="0.1"/>
        <color rgb="FFE67C73"/>
        <color rgb="FFFFFFFF"/>
        <color rgb="FF57BB8A"/>
      </colorScale>
    </cfRule>
  </conditionalFormatting>
  <conditionalFormatting sqref="W1:W80 W86 W89:W90 W96 X25 O1:P78">
    <cfRule type="expression" dxfId="39" priority="13">
      <formula>$W1 = "⏳ APOSTAR: VISITA"</formula>
    </cfRule>
    <cfRule type="expression" dxfId="38" priority="14">
      <formula>$W1 = "⏳ APOSTAR: LOCAL"</formula>
    </cfRule>
  </conditionalFormatting>
  <conditionalFormatting sqref="W1:W80 W86 W89:W90 W96 X25">
    <cfRule type="expression" dxfId="37" priority="11">
      <formula>$W1 = "[PERDIDA] LOCAL"</formula>
    </cfRule>
  </conditionalFormatting>
  <conditionalFormatting sqref="W1:W80 W86 W89:W90 W96">
    <cfRule type="containsBlanks" dxfId="36" priority="31">
      <formula>LEN(TRIM(W1))=0</formula>
    </cfRule>
  </conditionalFormatting>
  <conditionalFormatting sqref="W1:W80 X25 W86 W89:W90 W96 O1:P78">
    <cfRule type="expression" dxfId="35" priority="40">
      <formula>$W1 = "[APOSTAR] LOCAL"</formula>
    </cfRule>
    <cfRule type="expression" dxfId="34" priority="34">
      <formula>$W1 = "⏳ APOSTAR: EMPATE"</formula>
    </cfRule>
    <cfRule type="expression" dxfId="33" priority="41">
      <formula>$W1 = "[APOSTAR] VISITA"</formula>
    </cfRule>
  </conditionalFormatting>
  <conditionalFormatting sqref="W1:W80 X25 W86 W89:W90 W96">
    <cfRule type="expression" dxfId="32" priority="42">
      <formula>$W1 = "[PASAR] Sin Cuotas"</formula>
    </cfRule>
    <cfRule type="expression" dxfId="31" priority="43">
      <formula>$W1 = "[PASAR] Techo Cuota"</formula>
    </cfRule>
    <cfRule type="expression" dxfId="30" priority="15">
      <formula>$W1 = "⛔ PASAR (Techo Cuota)"</formula>
    </cfRule>
    <cfRule type="expression" dxfId="29" priority="38">
      <formula>$W1 = "[PASAR] Info Oculta"</formula>
    </cfRule>
    <cfRule type="expression" dxfId="28" priority="39">
      <formula>$W1 = "[PASAR] Riesgo/Beneficio"</formula>
    </cfRule>
  </conditionalFormatting>
  <conditionalFormatting sqref="W1:W96">
    <cfRule type="expression" dxfId="27" priority="10">
      <formula>$W1 = "[PASAR] Margen Predictivo Insuficiente (&lt;5%)"</formula>
    </cfRule>
    <cfRule type="expression" dxfId="26" priority="12">
      <formula>$W1 = "[GANADA] LOCAL"</formula>
    </cfRule>
    <cfRule type="expression" dxfId="25" priority="58">
      <formula>$W1 = "[PASAR] Sin Valor"</formula>
    </cfRule>
  </conditionalFormatting>
  <conditionalFormatting sqref="W1:W100">
    <cfRule type="expression" dxfId="24" priority="51">
      <formula>$W1 = "[PERDIDA] VISITA"</formula>
    </cfRule>
    <cfRule type="expression" dxfId="23" priority="59">
      <formula>$W1 = "[GANADA] EMPATE"</formula>
    </cfRule>
    <cfRule type="expression" dxfId="22" priority="60">
      <formula>$W1 = "[PERDIDA] EMPATE"</formula>
    </cfRule>
    <cfRule type="expression" dxfId="21" priority="50">
      <formula>$W1 = "[GANADA] VISITA"</formula>
    </cfRule>
  </conditionalFormatting>
  <conditionalFormatting sqref="X1:X100">
    <cfRule type="expression" dxfId="20" priority="44">
      <formula>$X1 = "[APOSTAR] OVER 2.5"</formula>
    </cfRule>
    <cfRule type="expression" dxfId="19" priority="45">
      <formula>$X1 = "[PASAR] Riesgo/Beneficio"</formula>
    </cfRule>
    <cfRule type="expression" dxfId="18" priority="46">
      <formula>$X1 = "[PASAR] Sin Cuotas"</formula>
    </cfRule>
    <cfRule type="expression" dxfId="17" priority="47">
      <formula>$X1 = "[PASAR] Overlap Riesgo (1X2 Priorizado)"</formula>
    </cfRule>
    <cfRule type="expression" dxfId="16" priority="53">
      <formula>$X1 = "[PERDIDA] OVER 2.5"</formula>
    </cfRule>
    <cfRule type="expression" dxfId="15" priority="54">
      <formula>$X1 = "[GANADA] UNDER 2.5"</formula>
    </cfRule>
    <cfRule type="expression" dxfId="14" priority="57">
      <formula>$X1 = "[PASAR] Margen Predictivo 1X2 Insuficiente (&lt;5%)"</formula>
    </cfRule>
    <cfRule type="expression" dxfId="13" priority="61">
      <formula>$X1 = "[PASAR] Sin Valor"</formula>
    </cfRule>
    <cfRule type="expression" dxfId="12" priority="29">
      <formula>$X1 = "[APOSTAR] UNDER 2.5"</formula>
    </cfRule>
    <cfRule type="expression" dxfId="11" priority="28">
      <formula>$X1 = "[GANADA] OVER 2.5"</formula>
    </cfRule>
    <cfRule type="expression" dxfId="10" priority="27">
      <formula>$X1 = "[PERDIDA] UNDER 2.5"</formula>
    </cfRule>
    <cfRule type="containsBlanks" dxfId="9" priority="30">
      <formula>LEN(TRIM(X1))=0</formula>
    </cfRule>
  </conditionalFormatting>
  <conditionalFormatting sqref="X25 W1:W80 W86 W89:W90 W96">
    <cfRule type="expression" dxfId="8" priority="48">
      <formula>$W1 = "[PASAR] Margen Predictivo Insuficiente (&lt;10%)"</formula>
    </cfRule>
    <cfRule type="expression" dxfId="7" priority="49">
      <formula>$W1 = "[PASAR] Overlap Riesgo (O/U Priorizado)"</formula>
    </cfRule>
    <cfRule type="expression" dxfId="6" priority="33">
      <formula>$W1 = "⛔ PASAR (Riesgo/Beneficio)"</formula>
    </cfRule>
  </conditionalFormatting>
  <conditionalFormatting sqref="AA2:AA121">
    <cfRule type="colorScale" priority="32">
      <colorScale>
        <cfvo type="formula" val="99000"/>
        <cfvo type="formula" val="100000"/>
        <cfvo type="percentile" val="100"/>
        <color rgb="FFE67C73"/>
        <color rgb="FFFFFFFF"/>
        <color rgb="FF57BB8A"/>
      </colorScale>
    </cfRule>
  </conditionalFormatting>
  <conditionalFormatting sqref="AG2">
    <cfRule type="colorScale" priority="25">
      <colorScale>
        <cfvo type="formula" val="-0.5"/>
        <cfvo type="formula" val="0"/>
        <cfvo type="formula" val="0.5"/>
        <color rgb="FFFF0000"/>
        <color rgb="FFFFD666"/>
        <color rgb="FF34A853"/>
      </colorScale>
    </cfRule>
  </conditionalFormatting>
  <conditionalFormatting sqref="AH2">
    <cfRule type="colorScale" priority="18">
      <colorScale>
        <cfvo type="formula" val="0"/>
        <cfvo type="formula" val="0.025"/>
        <cfvo type="formula" val="0.15"/>
        <color rgb="FFE67C73"/>
        <color rgb="FFFFD666"/>
        <color rgb="FF34A853"/>
      </colorScale>
    </cfRule>
  </conditionalFormatting>
  <conditionalFormatting sqref="AJ2:AL2">
    <cfRule type="colorScale" priority="56">
      <colorScale>
        <cfvo type="formula" val="0.3"/>
        <cfvo type="formula" val="0.5"/>
        <cfvo type="formula" val="0.7"/>
        <color rgb="FFEA4335"/>
        <color rgb="FFFFD666"/>
        <color rgb="FF34A853"/>
      </colorScale>
    </cfRule>
  </conditionalFormatting>
  <conditionalFormatting sqref="AM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M2">
    <cfRule type="colorScale" priority="17">
      <colorScale>
        <cfvo type="formula" val="0.05"/>
        <cfvo type="formula" val="0.25"/>
        <cfvo type="formula" val="0.5"/>
        <color rgb="FF57BB8A"/>
        <color rgb="FFFFD666"/>
        <color rgb="FFE67C73"/>
      </colorScale>
    </cfRule>
  </conditionalFormatting>
  <conditionalFormatting sqref="AO2:AO102 AP2:AP78 AQ2:AQ91">
    <cfRule type="colorScale" priority="16">
      <colorScale>
        <cfvo type="formula" val="0.525"/>
        <cfvo type="formula" val="0.67"/>
        <cfvo type="formula" val="1"/>
        <color rgb="FF57BB8A"/>
        <color rgb="FFFFD666"/>
        <color rgb="FFE67C73"/>
      </colorScale>
    </cfRule>
  </conditionalFormatting>
  <conditionalFormatting sqref="AR2">
    <cfRule type="colorScale" priority="52">
      <colorScale>
        <cfvo type="formula" val="-0.05"/>
        <cfvo type="formula" val="0"/>
        <cfvo type="formula" val="0.05"/>
        <color rgb="FFE67C73"/>
        <color rgb="FFFFFFFF"/>
        <color rgb="FF57BB8A"/>
      </colorScale>
    </cfRule>
  </conditionalFormatting>
  <conditionalFormatting sqref="AS2">
    <cfRule type="colorScale" priority="55">
      <colorScale>
        <cfvo type="formula" val="0"/>
        <cfvo type="formula" val="1"/>
        <cfvo type="formula" val="2"/>
        <color rgb="FFE67C73"/>
        <color rgb="FFFFD666"/>
        <color rgb="FF34A853"/>
      </colorScale>
    </cfRule>
  </conditionalFormatting>
  <conditionalFormatting sqref="AU2:BA14">
    <cfRule type="expression" dxfId="5" priority="19">
      <formula>$AU2 = "Inglaterra"</formula>
    </cfRule>
    <cfRule type="expression" dxfId="4" priority="21">
      <formula>$AU2 = "Argentina"</formula>
    </cfRule>
    <cfRule type="expression" dxfId="3" priority="22">
      <formula>$AU2 = "Brasil"</formula>
    </cfRule>
    <cfRule type="expression" dxfId="2" priority="23">
      <formula>$AU2 = "Turquia"</formula>
    </cfRule>
    <cfRule type="expression" dxfId="1" priority="24">
      <formula>$AU2 = "Noruega"</formula>
    </cfRule>
  </conditionalFormatting>
  <conditionalFormatting sqref="AW16">
    <cfRule type="notContainsBlanks" dxfId="0" priority="20">
      <formula>LEN(TRIM(AW16))&gt;0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996"/>
  <sheetViews>
    <sheetView workbookViewId="0"/>
  </sheetViews>
  <sheetFormatPr baseColWidth="10" defaultColWidth="12.5703125" defaultRowHeight="15.75" customHeight="1" x14ac:dyDescent="0.2"/>
  <cols>
    <col min="1" max="1" width="29.42578125" customWidth="1"/>
    <col min="2" max="2" width="28.85546875" customWidth="1"/>
    <col min="3" max="3" width="13.42578125" customWidth="1"/>
    <col min="4" max="4" width="13.7109375" customWidth="1"/>
    <col min="5" max="5" width="18.42578125" customWidth="1"/>
    <col min="6" max="6" width="20.28515625" customWidth="1"/>
    <col min="7" max="7" width="10.42578125" customWidth="1"/>
    <col min="8" max="8" width="10" customWidth="1"/>
    <col min="9" max="9" width="14.42578125" customWidth="1"/>
    <col min="11" max="11" width="27.42578125" customWidth="1"/>
  </cols>
  <sheetData>
    <row r="1" spans="1:12" x14ac:dyDescent="0.2">
      <c r="A1" s="14" t="s">
        <v>412</v>
      </c>
      <c r="B1" s="14" t="s">
        <v>2</v>
      </c>
      <c r="C1" s="14" t="s">
        <v>3</v>
      </c>
      <c r="D1" s="14" t="s">
        <v>4</v>
      </c>
      <c r="E1" s="14" t="s">
        <v>413</v>
      </c>
      <c r="F1" s="27" t="s">
        <v>24</v>
      </c>
      <c r="G1" s="14" t="s">
        <v>414</v>
      </c>
      <c r="H1" s="14" t="s">
        <v>21</v>
      </c>
      <c r="I1" s="27" t="s">
        <v>415</v>
      </c>
      <c r="J1" s="14" t="s">
        <v>416</v>
      </c>
      <c r="K1" s="28"/>
      <c r="L1" s="28"/>
    </row>
    <row r="2" spans="1:12" x14ac:dyDescent="0.2">
      <c r="A2" s="29"/>
      <c r="E2" s="30"/>
      <c r="F2" s="27"/>
      <c r="I2" s="27" t="e">
        <f>SUM(#REF!,H2)</f>
        <v>#REF!</v>
      </c>
      <c r="K2" s="28"/>
      <c r="L2" s="28"/>
    </row>
    <row r="3" spans="1:12" x14ac:dyDescent="0.2">
      <c r="A3" s="29"/>
      <c r="E3" s="30"/>
      <c r="F3" s="27"/>
      <c r="I3" s="27" t="e">
        <f t="shared" ref="I3:I7" si="0">SUM(I2,H3)</f>
        <v>#REF!</v>
      </c>
      <c r="K3" s="28"/>
      <c r="L3" s="28"/>
    </row>
    <row r="4" spans="1:12" x14ac:dyDescent="0.2">
      <c r="A4" s="29"/>
      <c r="E4" s="30"/>
      <c r="F4" s="27"/>
      <c r="I4" s="27" t="e">
        <f t="shared" si="0"/>
        <v>#REF!</v>
      </c>
      <c r="K4" s="28"/>
      <c r="L4" s="28"/>
    </row>
    <row r="5" spans="1:12" x14ac:dyDescent="0.2">
      <c r="A5" s="29"/>
      <c r="E5" s="30"/>
      <c r="F5" s="27"/>
      <c r="I5" s="27" t="e">
        <f t="shared" si="0"/>
        <v>#REF!</v>
      </c>
    </row>
    <row r="6" spans="1:12" x14ac:dyDescent="0.2">
      <c r="A6" s="29"/>
      <c r="E6" s="30"/>
      <c r="F6" s="27"/>
      <c r="I6" s="27" t="e">
        <f t="shared" si="0"/>
        <v>#REF!</v>
      </c>
    </row>
    <row r="7" spans="1:12" x14ac:dyDescent="0.2">
      <c r="A7" s="29"/>
      <c r="E7" s="30"/>
      <c r="F7" s="27"/>
      <c r="I7" s="27" t="e">
        <f t="shared" si="0"/>
        <v>#REF!</v>
      </c>
    </row>
    <row r="8" spans="1:12" x14ac:dyDescent="0.2">
      <c r="A8" s="29"/>
      <c r="E8" s="30"/>
      <c r="F8" s="27"/>
      <c r="I8" s="27"/>
    </row>
    <row r="9" spans="1:12" x14ac:dyDescent="0.2">
      <c r="A9" s="29"/>
      <c r="E9" s="30"/>
      <c r="F9" s="27"/>
      <c r="I9" s="27"/>
    </row>
    <row r="10" spans="1:12" x14ac:dyDescent="0.2">
      <c r="A10" s="29"/>
      <c r="E10" s="30"/>
      <c r="F10" s="27"/>
      <c r="I10" s="27"/>
    </row>
    <row r="11" spans="1:12" x14ac:dyDescent="0.2">
      <c r="A11" s="29"/>
      <c r="E11" s="30"/>
      <c r="F11" s="27"/>
      <c r="I11" s="27"/>
    </row>
    <row r="12" spans="1:12" x14ac:dyDescent="0.2">
      <c r="A12" s="29"/>
      <c r="E12" s="30"/>
      <c r="F12" s="27"/>
      <c r="I12" s="27"/>
    </row>
    <row r="13" spans="1:12" x14ac:dyDescent="0.2">
      <c r="A13" s="29"/>
      <c r="E13" s="30"/>
      <c r="F13" s="27"/>
      <c r="I13" s="27"/>
    </row>
    <row r="14" spans="1:12" x14ac:dyDescent="0.2">
      <c r="A14" s="29"/>
      <c r="E14" s="30"/>
      <c r="F14" s="27"/>
      <c r="I14" s="27"/>
    </row>
    <row r="15" spans="1:12" x14ac:dyDescent="0.2">
      <c r="E15" s="30"/>
      <c r="F15" s="27"/>
      <c r="I15" s="27"/>
    </row>
    <row r="16" spans="1:12" x14ac:dyDescent="0.2">
      <c r="E16" s="30"/>
      <c r="F16" s="27"/>
      <c r="I16" s="27"/>
    </row>
    <row r="17" spans="5:9" x14ac:dyDescent="0.2">
      <c r="E17" s="30"/>
      <c r="F17" s="27"/>
      <c r="I17" s="27"/>
    </row>
    <row r="18" spans="5:9" x14ac:dyDescent="0.2">
      <c r="E18" s="30"/>
      <c r="F18" s="27"/>
      <c r="I18" s="27"/>
    </row>
    <row r="19" spans="5:9" x14ac:dyDescent="0.2">
      <c r="E19" s="30"/>
      <c r="F19" s="27"/>
      <c r="I19" s="27"/>
    </row>
    <row r="20" spans="5:9" x14ac:dyDescent="0.2">
      <c r="E20" s="30"/>
      <c r="F20" s="27"/>
      <c r="I20" s="27"/>
    </row>
    <row r="21" spans="5:9" x14ac:dyDescent="0.2">
      <c r="E21" s="30"/>
      <c r="F21" s="27"/>
      <c r="I21" s="27"/>
    </row>
    <row r="22" spans="5:9" x14ac:dyDescent="0.2">
      <c r="E22" s="30"/>
      <c r="F22" s="27"/>
      <c r="I22" s="27"/>
    </row>
    <row r="23" spans="5:9" x14ac:dyDescent="0.2">
      <c r="E23" s="30"/>
      <c r="F23" s="27"/>
      <c r="I23" s="27"/>
    </row>
    <row r="24" spans="5:9" x14ac:dyDescent="0.2">
      <c r="E24" s="30"/>
      <c r="F24" s="27"/>
      <c r="I24" s="27"/>
    </row>
    <row r="25" spans="5:9" x14ac:dyDescent="0.2">
      <c r="E25" s="30"/>
      <c r="F25" s="27"/>
      <c r="I25" s="27"/>
    </row>
    <row r="26" spans="5:9" x14ac:dyDescent="0.2">
      <c r="E26" s="30"/>
      <c r="F26" s="27"/>
      <c r="I26" s="27"/>
    </row>
    <row r="27" spans="5:9" x14ac:dyDescent="0.2">
      <c r="E27" s="30"/>
      <c r="F27" s="27"/>
      <c r="I27" s="27"/>
    </row>
    <row r="28" spans="5:9" x14ac:dyDescent="0.2">
      <c r="E28" s="30"/>
      <c r="F28" s="27"/>
      <c r="I28" s="27"/>
    </row>
    <row r="29" spans="5:9" x14ac:dyDescent="0.2">
      <c r="E29" s="30"/>
      <c r="F29" s="27"/>
      <c r="I29" s="27"/>
    </row>
    <row r="30" spans="5:9" x14ac:dyDescent="0.2">
      <c r="E30" s="30"/>
      <c r="F30" s="27"/>
      <c r="I30" s="27"/>
    </row>
    <row r="31" spans="5:9" x14ac:dyDescent="0.2">
      <c r="E31" s="30"/>
      <c r="F31" s="27"/>
      <c r="I31" s="27"/>
    </row>
    <row r="32" spans="5:9" x14ac:dyDescent="0.2">
      <c r="E32" s="30"/>
      <c r="F32" s="27"/>
      <c r="I32" s="27"/>
    </row>
    <row r="33" spans="1:9" x14ac:dyDescent="0.2">
      <c r="E33" s="30"/>
      <c r="F33" s="27"/>
      <c r="I33" s="27"/>
    </row>
    <row r="34" spans="1:9" x14ac:dyDescent="0.2">
      <c r="E34" s="30"/>
      <c r="F34" s="27"/>
      <c r="I34" s="27"/>
    </row>
    <row r="35" spans="1:9" x14ac:dyDescent="0.2">
      <c r="E35" s="30"/>
      <c r="F35" s="27"/>
      <c r="I35" s="27"/>
    </row>
    <row r="36" spans="1:9" x14ac:dyDescent="0.2">
      <c r="E36" s="30"/>
      <c r="F36" s="27"/>
      <c r="I36" s="27"/>
    </row>
    <row r="37" spans="1:9" x14ac:dyDescent="0.2">
      <c r="A37" s="31"/>
      <c r="E37" s="30"/>
      <c r="F37" s="27"/>
      <c r="I37" s="27"/>
    </row>
    <row r="38" spans="1:9" x14ac:dyDescent="0.2">
      <c r="A38" s="31"/>
      <c r="E38" s="30"/>
      <c r="F38" s="27"/>
      <c r="I38" s="27"/>
    </row>
    <row r="39" spans="1:9" x14ac:dyDescent="0.2">
      <c r="A39" s="31"/>
      <c r="E39" s="30"/>
      <c r="F39" s="27"/>
      <c r="I39" s="27"/>
    </row>
    <row r="40" spans="1:9" x14ac:dyDescent="0.2">
      <c r="A40" s="31"/>
      <c r="E40" s="30"/>
      <c r="F40" s="27"/>
      <c r="I40" s="27"/>
    </row>
    <row r="41" spans="1:9" x14ac:dyDescent="0.2">
      <c r="A41" s="31"/>
      <c r="E41" s="30"/>
      <c r="F41" s="27"/>
      <c r="I41" s="27"/>
    </row>
    <row r="42" spans="1:9" x14ac:dyDescent="0.2">
      <c r="A42" s="31"/>
      <c r="E42" s="30"/>
      <c r="F42" s="27"/>
      <c r="I42" s="27"/>
    </row>
    <row r="43" spans="1:9" x14ac:dyDescent="0.2">
      <c r="E43" s="30"/>
      <c r="F43" s="27"/>
      <c r="I43" s="27"/>
    </row>
    <row r="44" spans="1:9" x14ac:dyDescent="0.2">
      <c r="E44" s="30"/>
      <c r="F44" s="27"/>
      <c r="I44" s="27"/>
    </row>
    <row r="45" spans="1:9" x14ac:dyDescent="0.2">
      <c r="E45" s="30"/>
      <c r="F45" s="27"/>
      <c r="I45" s="27"/>
    </row>
    <row r="46" spans="1:9" x14ac:dyDescent="0.2">
      <c r="E46" s="30"/>
      <c r="F46" s="27"/>
      <c r="I46" s="27"/>
    </row>
    <row r="47" spans="1:9" x14ac:dyDescent="0.2">
      <c r="E47" s="30"/>
      <c r="F47" s="27"/>
      <c r="I47" s="27"/>
    </row>
    <row r="48" spans="1:9" x14ac:dyDescent="0.2">
      <c r="I48" s="27"/>
    </row>
    <row r="49" spans="5:9" x14ac:dyDescent="0.2">
      <c r="I49" s="27"/>
    </row>
    <row r="50" spans="5:9" x14ac:dyDescent="0.2">
      <c r="I50" s="27"/>
    </row>
    <row r="51" spans="5:9" x14ac:dyDescent="0.2">
      <c r="E51" s="30"/>
      <c r="F51" s="27"/>
      <c r="I51" s="27"/>
    </row>
    <row r="52" spans="5:9" x14ac:dyDescent="0.2">
      <c r="E52" s="30"/>
      <c r="F52" s="27"/>
      <c r="I52" s="27"/>
    </row>
    <row r="53" spans="5:9" x14ac:dyDescent="0.2">
      <c r="E53" s="30"/>
      <c r="F53" s="27"/>
      <c r="I53" s="27"/>
    </row>
    <row r="54" spans="5:9" x14ac:dyDescent="0.2">
      <c r="E54" s="30"/>
      <c r="F54" s="27"/>
      <c r="I54" s="27"/>
    </row>
    <row r="55" spans="5:9" x14ac:dyDescent="0.2">
      <c r="E55" s="30"/>
      <c r="F55" s="27"/>
      <c r="I55" s="27"/>
    </row>
    <row r="56" spans="5:9" x14ac:dyDescent="0.2">
      <c r="E56" s="30"/>
      <c r="F56" s="27"/>
      <c r="I56" s="27"/>
    </row>
    <row r="57" spans="5:9" x14ac:dyDescent="0.2">
      <c r="E57" s="30"/>
      <c r="F57" s="27"/>
      <c r="I57" s="27"/>
    </row>
    <row r="58" spans="5:9" x14ac:dyDescent="0.2">
      <c r="E58" s="30"/>
      <c r="F58" s="27"/>
      <c r="I58" s="27"/>
    </row>
    <row r="59" spans="5:9" x14ac:dyDescent="0.2">
      <c r="E59" s="30"/>
      <c r="F59" s="27"/>
      <c r="I59" s="27"/>
    </row>
    <row r="60" spans="5:9" x14ac:dyDescent="0.2">
      <c r="E60" s="30"/>
      <c r="F60" s="27"/>
      <c r="I60" s="27"/>
    </row>
    <row r="61" spans="5:9" x14ac:dyDescent="0.2">
      <c r="E61" s="30"/>
      <c r="F61" s="27"/>
      <c r="I61" s="27"/>
    </row>
    <row r="62" spans="5:9" x14ac:dyDescent="0.2">
      <c r="E62" s="30"/>
      <c r="F62" s="27"/>
      <c r="I62" s="27"/>
    </row>
    <row r="63" spans="5:9" x14ac:dyDescent="0.2">
      <c r="E63" s="30"/>
      <c r="F63" s="27"/>
      <c r="I63" s="27"/>
    </row>
    <row r="64" spans="5:9" x14ac:dyDescent="0.2">
      <c r="E64" s="30"/>
      <c r="F64" s="27"/>
      <c r="I64" s="27"/>
    </row>
    <row r="65" spans="5:9" x14ac:dyDescent="0.2">
      <c r="E65" s="30"/>
      <c r="F65" s="27"/>
      <c r="I65" s="27"/>
    </row>
    <row r="66" spans="5:9" x14ac:dyDescent="0.2">
      <c r="E66" s="30"/>
      <c r="F66" s="27"/>
      <c r="I66" s="27"/>
    </row>
    <row r="67" spans="5:9" x14ac:dyDescent="0.2">
      <c r="E67" s="30"/>
      <c r="F67" s="27"/>
      <c r="I67" s="27"/>
    </row>
    <row r="68" spans="5:9" x14ac:dyDescent="0.2">
      <c r="E68" s="30"/>
      <c r="F68" s="27"/>
      <c r="I68" s="27"/>
    </row>
    <row r="69" spans="5:9" x14ac:dyDescent="0.2">
      <c r="E69" s="30"/>
      <c r="F69" s="27"/>
      <c r="I69" s="27"/>
    </row>
    <row r="70" spans="5:9" x14ac:dyDescent="0.2">
      <c r="E70" s="30"/>
      <c r="F70" s="27"/>
      <c r="I70" s="27"/>
    </row>
    <row r="71" spans="5:9" x14ac:dyDescent="0.2">
      <c r="E71" s="30"/>
      <c r="F71" s="27"/>
      <c r="I71" s="27"/>
    </row>
    <row r="72" spans="5:9" x14ac:dyDescent="0.2">
      <c r="E72" s="30"/>
      <c r="F72" s="27"/>
      <c r="I72" s="27"/>
    </row>
    <row r="73" spans="5:9" x14ac:dyDescent="0.2">
      <c r="E73" s="30"/>
      <c r="F73" s="27"/>
      <c r="I73" s="27"/>
    </row>
    <row r="74" spans="5:9" x14ac:dyDescent="0.2">
      <c r="E74" s="30"/>
      <c r="F74" s="27"/>
      <c r="I74" s="27"/>
    </row>
    <row r="75" spans="5:9" x14ac:dyDescent="0.2">
      <c r="E75" s="30"/>
      <c r="F75" s="27"/>
      <c r="I75" s="27"/>
    </row>
    <row r="76" spans="5:9" x14ac:dyDescent="0.2">
      <c r="E76" s="30"/>
      <c r="F76" s="27"/>
      <c r="I76" s="27"/>
    </row>
    <row r="77" spans="5:9" x14ac:dyDescent="0.2">
      <c r="E77" s="30"/>
      <c r="F77" s="27"/>
      <c r="I77" s="27"/>
    </row>
    <row r="78" spans="5:9" x14ac:dyDescent="0.2">
      <c r="E78" s="30"/>
      <c r="F78" s="27"/>
      <c r="I78" s="27"/>
    </row>
    <row r="79" spans="5:9" x14ac:dyDescent="0.2">
      <c r="E79" s="30"/>
      <c r="F79" s="27"/>
      <c r="I79" s="27"/>
    </row>
    <row r="80" spans="5:9" x14ac:dyDescent="0.2">
      <c r="E80" s="30"/>
      <c r="F80" s="27"/>
      <c r="I80" s="27"/>
    </row>
    <row r="81" spans="5:9" x14ac:dyDescent="0.2">
      <c r="E81" s="30"/>
      <c r="F81" s="27"/>
      <c r="I81" s="27"/>
    </row>
    <row r="82" spans="5:9" x14ac:dyDescent="0.2">
      <c r="E82" s="30"/>
      <c r="F82" s="27"/>
      <c r="I82" s="27"/>
    </row>
    <row r="83" spans="5:9" x14ac:dyDescent="0.2">
      <c r="E83" s="30"/>
      <c r="F83" s="27"/>
      <c r="I83" s="27"/>
    </row>
    <row r="84" spans="5:9" x14ac:dyDescent="0.2">
      <c r="E84" s="30"/>
      <c r="F84" s="27"/>
      <c r="I84" s="27"/>
    </row>
    <row r="85" spans="5:9" x14ac:dyDescent="0.2">
      <c r="E85" s="30"/>
      <c r="F85" s="27"/>
      <c r="I85" s="27"/>
    </row>
    <row r="86" spans="5:9" x14ac:dyDescent="0.2">
      <c r="E86" s="30"/>
      <c r="F86" s="27"/>
      <c r="I86" s="27"/>
    </row>
    <row r="87" spans="5:9" x14ac:dyDescent="0.2">
      <c r="E87" s="30"/>
      <c r="F87" s="27"/>
      <c r="I87" s="27"/>
    </row>
    <row r="88" spans="5:9" x14ac:dyDescent="0.2">
      <c r="E88" s="30"/>
      <c r="F88" s="27"/>
      <c r="I88" s="27"/>
    </row>
    <row r="89" spans="5:9" x14ac:dyDescent="0.2">
      <c r="E89" s="30"/>
      <c r="F89" s="27"/>
      <c r="I89" s="27"/>
    </row>
    <row r="90" spans="5:9" x14ac:dyDescent="0.2">
      <c r="E90" s="30"/>
      <c r="F90" s="27"/>
      <c r="I90" s="27"/>
    </row>
    <row r="91" spans="5:9" x14ac:dyDescent="0.2">
      <c r="E91" s="30"/>
      <c r="F91" s="27"/>
      <c r="I91" s="27"/>
    </row>
    <row r="92" spans="5:9" x14ac:dyDescent="0.2">
      <c r="E92" s="30"/>
      <c r="F92" s="27"/>
      <c r="I92" s="27"/>
    </row>
    <row r="93" spans="5:9" x14ac:dyDescent="0.2">
      <c r="E93" s="30"/>
      <c r="F93" s="27"/>
      <c r="I93" s="27"/>
    </row>
    <row r="94" spans="5:9" x14ac:dyDescent="0.2">
      <c r="E94" s="30"/>
      <c r="F94" s="27"/>
      <c r="I94" s="27"/>
    </row>
    <row r="95" spans="5:9" x14ac:dyDescent="0.2">
      <c r="E95" s="30"/>
      <c r="F95" s="27"/>
      <c r="I95" s="27"/>
    </row>
    <row r="96" spans="5:9" x14ac:dyDescent="0.2">
      <c r="E96" s="30"/>
      <c r="F96" s="27"/>
      <c r="I96" s="27"/>
    </row>
    <row r="97" spans="5:9" x14ac:dyDescent="0.2">
      <c r="E97" s="30"/>
      <c r="F97" s="27"/>
      <c r="I97" s="27"/>
    </row>
    <row r="98" spans="5:9" x14ac:dyDescent="0.2">
      <c r="E98" s="30"/>
      <c r="F98" s="27"/>
      <c r="I98" s="27"/>
    </row>
    <row r="99" spans="5:9" x14ac:dyDescent="0.2">
      <c r="E99" s="30"/>
      <c r="F99" s="27"/>
      <c r="I99" s="27"/>
    </row>
    <row r="100" spans="5:9" x14ac:dyDescent="0.2">
      <c r="E100" s="30"/>
      <c r="F100" s="27"/>
      <c r="I100" s="27"/>
    </row>
    <row r="101" spans="5:9" x14ac:dyDescent="0.2">
      <c r="E101" s="30"/>
      <c r="F101" s="27"/>
      <c r="I101" s="27"/>
    </row>
    <row r="102" spans="5:9" x14ac:dyDescent="0.2">
      <c r="E102" s="30"/>
      <c r="F102" s="27"/>
      <c r="I102" s="27"/>
    </row>
    <row r="103" spans="5:9" x14ac:dyDescent="0.2">
      <c r="E103" s="30"/>
      <c r="F103" s="27"/>
      <c r="I103" s="27"/>
    </row>
    <row r="104" spans="5:9" x14ac:dyDescent="0.2">
      <c r="E104" s="30"/>
      <c r="F104" s="27"/>
      <c r="I104" s="27"/>
    </row>
    <row r="105" spans="5:9" x14ac:dyDescent="0.2">
      <c r="E105" s="30"/>
      <c r="F105" s="27"/>
      <c r="I105" s="27"/>
    </row>
    <row r="106" spans="5:9" x14ac:dyDescent="0.2">
      <c r="E106" s="30"/>
      <c r="F106" s="27"/>
      <c r="I106" s="27"/>
    </row>
    <row r="107" spans="5:9" x14ac:dyDescent="0.2">
      <c r="E107" s="30"/>
      <c r="F107" s="27"/>
      <c r="I107" s="27"/>
    </row>
    <row r="108" spans="5:9" x14ac:dyDescent="0.2">
      <c r="E108" s="30"/>
      <c r="F108" s="27"/>
      <c r="I108" s="27"/>
    </row>
    <row r="109" spans="5:9" x14ac:dyDescent="0.2">
      <c r="E109" s="30"/>
      <c r="F109" s="27"/>
      <c r="I109" s="27"/>
    </row>
    <row r="110" spans="5:9" x14ac:dyDescent="0.2">
      <c r="E110" s="30"/>
      <c r="F110" s="27"/>
      <c r="I110" s="27"/>
    </row>
    <row r="111" spans="5:9" x14ac:dyDescent="0.2">
      <c r="E111" s="30"/>
      <c r="F111" s="27"/>
      <c r="I111" s="27"/>
    </row>
    <row r="112" spans="5:9" x14ac:dyDescent="0.2">
      <c r="E112" s="30"/>
      <c r="F112" s="27"/>
      <c r="I112" s="27"/>
    </row>
    <row r="113" spans="5:9" x14ac:dyDescent="0.2">
      <c r="E113" s="30"/>
      <c r="F113" s="27"/>
      <c r="I113" s="27"/>
    </row>
    <row r="114" spans="5:9" x14ac:dyDescent="0.2">
      <c r="E114" s="30"/>
      <c r="F114" s="27"/>
      <c r="I114" s="27"/>
    </row>
    <row r="115" spans="5:9" x14ac:dyDescent="0.2">
      <c r="E115" s="30"/>
      <c r="F115" s="27"/>
      <c r="I115" s="27"/>
    </row>
    <row r="116" spans="5:9" x14ac:dyDescent="0.2">
      <c r="E116" s="30"/>
      <c r="F116" s="27"/>
      <c r="I116" s="27"/>
    </row>
    <row r="117" spans="5:9" x14ac:dyDescent="0.2">
      <c r="E117" s="30"/>
      <c r="F117" s="27"/>
      <c r="I117" s="27"/>
    </row>
    <row r="118" spans="5:9" x14ac:dyDescent="0.2">
      <c r="E118" s="30"/>
      <c r="F118" s="27"/>
      <c r="I118" s="27"/>
    </row>
    <row r="119" spans="5:9" x14ac:dyDescent="0.2">
      <c r="E119" s="30"/>
      <c r="F119" s="27"/>
      <c r="I119" s="27"/>
    </row>
    <row r="120" spans="5:9" x14ac:dyDescent="0.2">
      <c r="E120" s="30"/>
      <c r="F120" s="27"/>
      <c r="I120" s="27"/>
    </row>
    <row r="121" spans="5:9" x14ac:dyDescent="0.2">
      <c r="E121" s="30"/>
      <c r="F121" s="27"/>
      <c r="I121" s="27"/>
    </row>
    <row r="122" spans="5:9" x14ac:dyDescent="0.2">
      <c r="E122" s="30"/>
      <c r="F122" s="27"/>
      <c r="I122" s="27"/>
    </row>
    <row r="123" spans="5:9" x14ac:dyDescent="0.2">
      <c r="E123" s="30"/>
      <c r="F123" s="27"/>
      <c r="I123" s="27"/>
    </row>
    <row r="124" spans="5:9" x14ac:dyDescent="0.2">
      <c r="E124" s="30"/>
      <c r="F124" s="27"/>
      <c r="I124" s="27"/>
    </row>
    <row r="125" spans="5:9" x14ac:dyDescent="0.2">
      <c r="E125" s="30"/>
      <c r="F125" s="27"/>
      <c r="I125" s="27"/>
    </row>
    <row r="126" spans="5:9" x14ac:dyDescent="0.2">
      <c r="E126" s="30"/>
      <c r="F126" s="27"/>
      <c r="I126" s="27"/>
    </row>
    <row r="127" spans="5:9" x14ac:dyDescent="0.2">
      <c r="E127" s="30"/>
      <c r="F127" s="27"/>
      <c r="I127" s="27"/>
    </row>
    <row r="128" spans="5:9" x14ac:dyDescent="0.2">
      <c r="E128" s="30"/>
      <c r="F128" s="27"/>
      <c r="I128" s="27"/>
    </row>
    <row r="129" spans="5:9" x14ac:dyDescent="0.2">
      <c r="E129" s="30"/>
      <c r="F129" s="27"/>
      <c r="I129" s="27"/>
    </row>
    <row r="130" spans="5:9" x14ac:dyDescent="0.2">
      <c r="E130" s="30"/>
      <c r="F130" s="27"/>
      <c r="I130" s="27"/>
    </row>
    <row r="131" spans="5:9" x14ac:dyDescent="0.2">
      <c r="E131" s="30"/>
      <c r="F131" s="27"/>
      <c r="I131" s="27"/>
    </row>
    <row r="132" spans="5:9" x14ac:dyDescent="0.2">
      <c r="E132" s="30"/>
      <c r="F132" s="27"/>
      <c r="I132" s="27"/>
    </row>
    <row r="133" spans="5:9" x14ac:dyDescent="0.2">
      <c r="E133" s="30"/>
      <c r="F133" s="27"/>
      <c r="I133" s="27"/>
    </row>
    <row r="134" spans="5:9" x14ac:dyDescent="0.2">
      <c r="E134" s="30"/>
      <c r="F134" s="27"/>
      <c r="I134" s="27"/>
    </row>
    <row r="135" spans="5:9" x14ac:dyDescent="0.2">
      <c r="E135" s="30"/>
      <c r="F135" s="27"/>
      <c r="I135" s="27"/>
    </row>
    <row r="136" spans="5:9" x14ac:dyDescent="0.2">
      <c r="E136" s="30"/>
      <c r="F136" s="27"/>
      <c r="I136" s="27"/>
    </row>
    <row r="137" spans="5:9" x14ac:dyDescent="0.2">
      <c r="E137" s="30"/>
      <c r="F137" s="27"/>
      <c r="I137" s="27"/>
    </row>
    <row r="138" spans="5:9" x14ac:dyDescent="0.2">
      <c r="E138" s="30"/>
      <c r="F138" s="27"/>
      <c r="I138" s="27"/>
    </row>
    <row r="139" spans="5:9" x14ac:dyDescent="0.2">
      <c r="E139" s="30"/>
      <c r="F139" s="27"/>
      <c r="I139" s="27"/>
    </row>
    <row r="140" spans="5:9" x14ac:dyDescent="0.2">
      <c r="E140" s="30"/>
      <c r="F140" s="27"/>
      <c r="I140" s="27"/>
    </row>
    <row r="141" spans="5:9" x14ac:dyDescent="0.2">
      <c r="E141" s="30"/>
      <c r="F141" s="27"/>
      <c r="I141" s="27"/>
    </row>
    <row r="142" spans="5:9" x14ac:dyDescent="0.2">
      <c r="E142" s="30"/>
      <c r="F142" s="27"/>
      <c r="I142" s="27"/>
    </row>
    <row r="143" spans="5:9" x14ac:dyDescent="0.2">
      <c r="E143" s="30"/>
      <c r="F143" s="27"/>
      <c r="I143" s="27"/>
    </row>
    <row r="144" spans="5:9" x14ac:dyDescent="0.2">
      <c r="E144" s="30"/>
      <c r="F144" s="27"/>
      <c r="I144" s="27"/>
    </row>
    <row r="145" spans="5:9" x14ac:dyDescent="0.2">
      <c r="E145" s="30"/>
      <c r="F145" s="27"/>
      <c r="I145" s="27"/>
    </row>
    <row r="146" spans="5:9" x14ac:dyDescent="0.2">
      <c r="E146" s="30"/>
      <c r="F146" s="27"/>
      <c r="I146" s="27"/>
    </row>
    <row r="147" spans="5:9" x14ac:dyDescent="0.2">
      <c r="E147" s="30"/>
      <c r="F147" s="27"/>
      <c r="I147" s="27"/>
    </row>
    <row r="148" spans="5:9" x14ac:dyDescent="0.2">
      <c r="E148" s="30"/>
      <c r="F148" s="27"/>
      <c r="I148" s="27"/>
    </row>
    <row r="149" spans="5:9" x14ac:dyDescent="0.2">
      <c r="E149" s="30"/>
      <c r="F149" s="27"/>
      <c r="I149" s="27"/>
    </row>
    <row r="150" spans="5:9" x14ac:dyDescent="0.2">
      <c r="E150" s="30"/>
      <c r="F150" s="27"/>
      <c r="I150" s="27"/>
    </row>
    <row r="151" spans="5:9" x14ac:dyDescent="0.2">
      <c r="E151" s="30"/>
      <c r="F151" s="27"/>
      <c r="I151" s="27"/>
    </row>
    <row r="152" spans="5:9" x14ac:dyDescent="0.2">
      <c r="E152" s="30"/>
      <c r="F152" s="27"/>
      <c r="I152" s="27"/>
    </row>
    <row r="153" spans="5:9" x14ac:dyDescent="0.2">
      <c r="E153" s="30"/>
      <c r="F153" s="27"/>
      <c r="I153" s="27"/>
    </row>
    <row r="154" spans="5:9" x14ac:dyDescent="0.2">
      <c r="E154" s="30"/>
      <c r="F154" s="27"/>
      <c r="I154" s="27"/>
    </row>
    <row r="155" spans="5:9" x14ac:dyDescent="0.2">
      <c r="E155" s="30"/>
      <c r="F155" s="27"/>
      <c r="I155" s="27"/>
    </row>
    <row r="156" spans="5:9" x14ac:dyDescent="0.2">
      <c r="E156" s="30"/>
      <c r="F156" s="27"/>
      <c r="I156" s="27"/>
    </row>
    <row r="157" spans="5:9" x14ac:dyDescent="0.2">
      <c r="E157" s="30"/>
      <c r="F157" s="27"/>
      <c r="I157" s="27"/>
    </row>
    <row r="158" spans="5:9" x14ac:dyDescent="0.2">
      <c r="E158" s="30"/>
      <c r="F158" s="27"/>
      <c r="I158" s="27"/>
    </row>
    <row r="159" spans="5:9" x14ac:dyDescent="0.2">
      <c r="E159" s="30"/>
      <c r="F159" s="27"/>
      <c r="I159" s="27"/>
    </row>
    <row r="160" spans="5:9" x14ac:dyDescent="0.2">
      <c r="E160" s="30"/>
      <c r="F160" s="27"/>
      <c r="I160" s="27"/>
    </row>
    <row r="161" spans="5:9" x14ac:dyDescent="0.2">
      <c r="E161" s="30"/>
      <c r="F161" s="27"/>
      <c r="I161" s="27"/>
    </row>
    <row r="162" spans="5:9" x14ac:dyDescent="0.2">
      <c r="E162" s="30"/>
      <c r="F162" s="27"/>
      <c r="I162" s="27"/>
    </row>
    <row r="163" spans="5:9" x14ac:dyDescent="0.2">
      <c r="E163" s="30"/>
      <c r="F163" s="27"/>
      <c r="I163" s="27"/>
    </row>
    <row r="164" spans="5:9" x14ac:dyDescent="0.2">
      <c r="E164" s="30"/>
      <c r="F164" s="27"/>
      <c r="I164" s="27"/>
    </row>
    <row r="165" spans="5:9" x14ac:dyDescent="0.2">
      <c r="E165" s="30"/>
      <c r="F165" s="27"/>
      <c r="I165" s="27"/>
    </row>
    <row r="166" spans="5:9" x14ac:dyDescent="0.2">
      <c r="E166" s="30"/>
      <c r="F166" s="27"/>
      <c r="I166" s="27"/>
    </row>
    <row r="167" spans="5:9" x14ac:dyDescent="0.2">
      <c r="E167" s="30"/>
      <c r="F167" s="27"/>
      <c r="I167" s="27"/>
    </row>
    <row r="168" spans="5:9" x14ac:dyDescent="0.2">
      <c r="E168" s="30"/>
      <c r="F168" s="27"/>
      <c r="I168" s="27"/>
    </row>
    <row r="169" spans="5:9" x14ac:dyDescent="0.2">
      <c r="E169" s="30"/>
      <c r="F169" s="27"/>
      <c r="I169" s="27"/>
    </row>
    <row r="170" spans="5:9" x14ac:dyDescent="0.2">
      <c r="E170" s="30"/>
      <c r="F170" s="27"/>
      <c r="I170" s="27"/>
    </row>
    <row r="171" spans="5:9" x14ac:dyDescent="0.2">
      <c r="E171" s="30"/>
      <c r="F171" s="27"/>
      <c r="I171" s="27"/>
    </row>
    <row r="172" spans="5:9" x14ac:dyDescent="0.2">
      <c r="E172" s="30"/>
      <c r="F172" s="27"/>
      <c r="I172" s="27"/>
    </row>
    <row r="173" spans="5:9" x14ac:dyDescent="0.2">
      <c r="E173" s="30"/>
      <c r="F173" s="27"/>
      <c r="I173" s="27"/>
    </row>
    <row r="174" spans="5:9" x14ac:dyDescent="0.2">
      <c r="E174" s="30"/>
      <c r="F174" s="27"/>
      <c r="I174" s="27"/>
    </row>
    <row r="175" spans="5:9" x14ac:dyDescent="0.2">
      <c r="E175" s="30"/>
      <c r="F175" s="27"/>
      <c r="I175" s="27"/>
    </row>
    <row r="176" spans="5:9" x14ac:dyDescent="0.2">
      <c r="E176" s="30"/>
      <c r="F176" s="27"/>
      <c r="I176" s="27"/>
    </row>
    <row r="177" spans="5:9" x14ac:dyDescent="0.2">
      <c r="E177" s="30"/>
      <c r="F177" s="27"/>
      <c r="I177" s="27"/>
    </row>
    <row r="178" spans="5:9" x14ac:dyDescent="0.2">
      <c r="E178" s="30"/>
      <c r="F178" s="27"/>
      <c r="I178" s="27"/>
    </row>
    <row r="179" spans="5:9" x14ac:dyDescent="0.2">
      <c r="E179" s="30"/>
      <c r="F179" s="27"/>
      <c r="I179" s="27"/>
    </row>
    <row r="180" spans="5:9" x14ac:dyDescent="0.2">
      <c r="E180" s="30"/>
      <c r="F180" s="27"/>
      <c r="I180" s="27"/>
    </row>
    <row r="181" spans="5:9" x14ac:dyDescent="0.2">
      <c r="E181" s="30"/>
      <c r="F181" s="27"/>
      <c r="I181" s="27"/>
    </row>
    <row r="182" spans="5:9" x14ac:dyDescent="0.2">
      <c r="E182" s="30"/>
      <c r="F182" s="27"/>
      <c r="I182" s="27"/>
    </row>
    <row r="183" spans="5:9" x14ac:dyDescent="0.2">
      <c r="E183" s="30"/>
      <c r="F183" s="27"/>
      <c r="I183" s="27"/>
    </row>
    <row r="184" spans="5:9" x14ac:dyDescent="0.2">
      <c r="E184" s="30"/>
      <c r="F184" s="27"/>
      <c r="I184" s="27"/>
    </row>
    <row r="185" spans="5:9" x14ac:dyDescent="0.2">
      <c r="E185" s="30"/>
      <c r="F185" s="27"/>
      <c r="I185" s="27"/>
    </row>
    <row r="186" spans="5:9" x14ac:dyDescent="0.2">
      <c r="E186" s="30"/>
      <c r="F186" s="27"/>
      <c r="I186" s="27"/>
    </row>
    <row r="187" spans="5:9" x14ac:dyDescent="0.2">
      <c r="E187" s="30"/>
      <c r="F187" s="27"/>
      <c r="I187" s="27"/>
    </row>
    <row r="188" spans="5:9" x14ac:dyDescent="0.2">
      <c r="E188" s="30"/>
      <c r="F188" s="27"/>
      <c r="I188" s="27"/>
    </row>
    <row r="189" spans="5:9" x14ac:dyDescent="0.2">
      <c r="E189" s="30"/>
      <c r="F189" s="27"/>
      <c r="I189" s="27"/>
    </row>
    <row r="190" spans="5:9" x14ac:dyDescent="0.2">
      <c r="E190" s="30"/>
      <c r="F190" s="27"/>
      <c r="I190" s="27"/>
    </row>
    <row r="191" spans="5:9" x14ac:dyDescent="0.2">
      <c r="E191" s="30"/>
      <c r="F191" s="27"/>
      <c r="I191" s="27"/>
    </row>
    <row r="192" spans="5:9" x14ac:dyDescent="0.2">
      <c r="E192" s="30"/>
      <c r="F192" s="27"/>
      <c r="I192" s="27"/>
    </row>
    <row r="193" spans="5:9" x14ac:dyDescent="0.2">
      <c r="E193" s="30"/>
      <c r="F193" s="27"/>
      <c r="I193" s="27"/>
    </row>
    <row r="194" spans="5:9" x14ac:dyDescent="0.2">
      <c r="E194" s="30"/>
      <c r="F194" s="27"/>
      <c r="I194" s="27"/>
    </row>
    <row r="195" spans="5:9" x14ac:dyDescent="0.2">
      <c r="E195" s="30"/>
      <c r="F195" s="27"/>
      <c r="I195" s="27"/>
    </row>
    <row r="196" spans="5:9" x14ac:dyDescent="0.2">
      <c r="E196" s="30"/>
      <c r="F196" s="27"/>
      <c r="I196" s="27"/>
    </row>
    <row r="197" spans="5:9" x14ac:dyDescent="0.2">
      <c r="E197" s="30"/>
      <c r="F197" s="27"/>
      <c r="I197" s="27"/>
    </row>
    <row r="198" spans="5:9" x14ac:dyDescent="0.2">
      <c r="E198" s="30"/>
      <c r="F198" s="27"/>
      <c r="I198" s="27"/>
    </row>
    <row r="199" spans="5:9" x14ac:dyDescent="0.2">
      <c r="E199" s="30"/>
      <c r="F199" s="27"/>
      <c r="I199" s="27"/>
    </row>
    <row r="200" spans="5:9" x14ac:dyDescent="0.2">
      <c r="E200" s="30"/>
      <c r="F200" s="27"/>
      <c r="I200" s="27"/>
    </row>
    <row r="201" spans="5:9" x14ac:dyDescent="0.2">
      <c r="E201" s="30"/>
      <c r="F201" s="27"/>
      <c r="I201" s="27"/>
    </row>
    <row r="202" spans="5:9" x14ac:dyDescent="0.2">
      <c r="E202" s="30"/>
      <c r="F202" s="27"/>
      <c r="I202" s="27"/>
    </row>
    <row r="203" spans="5:9" x14ac:dyDescent="0.2">
      <c r="E203" s="30"/>
      <c r="F203" s="27"/>
      <c r="I203" s="27"/>
    </row>
    <row r="204" spans="5:9" x14ac:dyDescent="0.2">
      <c r="E204" s="30"/>
      <c r="F204" s="27"/>
      <c r="I204" s="27"/>
    </row>
    <row r="205" spans="5:9" x14ac:dyDescent="0.2">
      <c r="E205" s="30"/>
      <c r="F205" s="27"/>
      <c r="I205" s="27"/>
    </row>
    <row r="206" spans="5:9" x14ac:dyDescent="0.2">
      <c r="E206" s="30"/>
      <c r="F206" s="27"/>
      <c r="I206" s="27"/>
    </row>
    <row r="207" spans="5:9" x14ac:dyDescent="0.2">
      <c r="E207" s="30"/>
      <c r="F207" s="27"/>
      <c r="I207" s="27"/>
    </row>
    <row r="208" spans="5:9" x14ac:dyDescent="0.2">
      <c r="E208" s="30"/>
      <c r="F208" s="27"/>
      <c r="I208" s="27"/>
    </row>
    <row r="209" spans="5:9" x14ac:dyDescent="0.2">
      <c r="E209" s="30"/>
      <c r="F209" s="27"/>
      <c r="I209" s="27"/>
    </row>
    <row r="210" spans="5:9" x14ac:dyDescent="0.2">
      <c r="E210" s="30"/>
      <c r="F210" s="27"/>
      <c r="I210" s="27"/>
    </row>
    <row r="211" spans="5:9" x14ac:dyDescent="0.2">
      <c r="E211" s="30"/>
      <c r="F211" s="27"/>
      <c r="I211" s="27"/>
    </row>
    <row r="212" spans="5:9" x14ac:dyDescent="0.2">
      <c r="E212" s="30"/>
      <c r="F212" s="27"/>
      <c r="I212" s="27"/>
    </row>
    <row r="213" spans="5:9" x14ac:dyDescent="0.2">
      <c r="E213" s="30"/>
      <c r="F213" s="27"/>
      <c r="I213" s="27"/>
    </row>
    <row r="214" spans="5:9" x14ac:dyDescent="0.2">
      <c r="E214" s="30"/>
      <c r="F214" s="27"/>
      <c r="I214" s="27"/>
    </row>
    <row r="215" spans="5:9" x14ac:dyDescent="0.2">
      <c r="E215" s="30"/>
      <c r="F215" s="27"/>
      <c r="I215" s="27"/>
    </row>
    <row r="216" spans="5:9" x14ac:dyDescent="0.2">
      <c r="E216" s="30"/>
      <c r="F216" s="27"/>
      <c r="I216" s="27"/>
    </row>
    <row r="217" spans="5:9" x14ac:dyDescent="0.2">
      <c r="E217" s="30"/>
      <c r="F217" s="27"/>
      <c r="I217" s="27"/>
    </row>
    <row r="218" spans="5:9" x14ac:dyDescent="0.2">
      <c r="E218" s="30"/>
      <c r="F218" s="27"/>
      <c r="I218" s="27"/>
    </row>
    <row r="219" spans="5:9" x14ac:dyDescent="0.2">
      <c r="E219" s="30"/>
      <c r="F219" s="27"/>
      <c r="I219" s="27"/>
    </row>
    <row r="220" spans="5:9" x14ac:dyDescent="0.2">
      <c r="E220" s="30"/>
      <c r="F220" s="27"/>
      <c r="I220" s="27"/>
    </row>
    <row r="221" spans="5:9" x14ac:dyDescent="0.2">
      <c r="E221" s="30"/>
      <c r="F221" s="27"/>
      <c r="I221" s="27"/>
    </row>
    <row r="222" spans="5:9" x14ac:dyDescent="0.2">
      <c r="E222" s="30"/>
      <c r="F222" s="27"/>
      <c r="I222" s="27"/>
    </row>
    <row r="223" spans="5:9" x14ac:dyDescent="0.2">
      <c r="E223" s="30"/>
      <c r="F223" s="27"/>
      <c r="I223" s="27"/>
    </row>
    <row r="224" spans="5:9" x14ac:dyDescent="0.2">
      <c r="E224" s="30"/>
      <c r="F224" s="27"/>
      <c r="I224" s="27"/>
    </row>
    <row r="225" spans="5:9" x14ac:dyDescent="0.2">
      <c r="E225" s="30"/>
      <c r="F225" s="27"/>
      <c r="I225" s="27"/>
    </row>
    <row r="226" spans="5:9" x14ac:dyDescent="0.2">
      <c r="E226" s="30"/>
      <c r="F226" s="27"/>
      <c r="I226" s="27"/>
    </row>
    <row r="227" spans="5:9" x14ac:dyDescent="0.2">
      <c r="E227" s="30"/>
      <c r="F227" s="27"/>
      <c r="I227" s="27"/>
    </row>
    <row r="228" spans="5:9" x14ac:dyDescent="0.2">
      <c r="E228" s="30"/>
      <c r="F228" s="27"/>
      <c r="I228" s="27"/>
    </row>
    <row r="229" spans="5:9" x14ac:dyDescent="0.2">
      <c r="E229" s="30"/>
      <c r="F229" s="27"/>
      <c r="I229" s="27"/>
    </row>
    <row r="230" spans="5:9" x14ac:dyDescent="0.2">
      <c r="E230" s="30"/>
      <c r="F230" s="27"/>
      <c r="I230" s="27"/>
    </row>
    <row r="231" spans="5:9" x14ac:dyDescent="0.2">
      <c r="E231" s="30"/>
      <c r="F231" s="27"/>
      <c r="I231" s="27"/>
    </row>
    <row r="232" spans="5:9" x14ac:dyDescent="0.2">
      <c r="E232" s="30"/>
      <c r="F232" s="27"/>
      <c r="I232" s="27"/>
    </row>
    <row r="233" spans="5:9" x14ac:dyDescent="0.2">
      <c r="E233" s="30"/>
      <c r="F233" s="27"/>
      <c r="I233" s="27"/>
    </row>
    <row r="234" spans="5:9" x14ac:dyDescent="0.2">
      <c r="E234" s="30"/>
      <c r="F234" s="27"/>
      <c r="I234" s="27"/>
    </row>
    <row r="235" spans="5:9" x14ac:dyDescent="0.2">
      <c r="E235" s="30"/>
      <c r="F235" s="27"/>
      <c r="I235" s="27"/>
    </row>
    <row r="236" spans="5:9" x14ac:dyDescent="0.2">
      <c r="E236" s="30"/>
      <c r="F236" s="27"/>
      <c r="I236" s="27"/>
    </row>
    <row r="237" spans="5:9" x14ac:dyDescent="0.2">
      <c r="E237" s="30"/>
      <c r="F237" s="27"/>
      <c r="I237" s="27"/>
    </row>
    <row r="238" spans="5:9" x14ac:dyDescent="0.2">
      <c r="E238" s="30"/>
      <c r="F238" s="27"/>
      <c r="I238" s="27"/>
    </row>
    <row r="239" spans="5:9" x14ac:dyDescent="0.2">
      <c r="E239" s="30"/>
      <c r="F239" s="27"/>
      <c r="I239" s="27"/>
    </row>
    <row r="240" spans="5:9" x14ac:dyDescent="0.2">
      <c r="E240" s="30"/>
      <c r="F240" s="27"/>
      <c r="I240" s="27"/>
    </row>
    <row r="241" spans="5:9" x14ac:dyDescent="0.2">
      <c r="E241" s="30"/>
      <c r="F241" s="27"/>
      <c r="I241" s="27"/>
    </row>
    <row r="242" spans="5:9" x14ac:dyDescent="0.2">
      <c r="E242" s="30"/>
      <c r="F242" s="27"/>
      <c r="I242" s="27"/>
    </row>
    <row r="243" spans="5:9" x14ac:dyDescent="0.2">
      <c r="E243" s="30"/>
      <c r="F243" s="27"/>
      <c r="I243" s="27"/>
    </row>
    <row r="244" spans="5:9" x14ac:dyDescent="0.2">
      <c r="E244" s="30"/>
      <c r="F244" s="27"/>
      <c r="I244" s="27"/>
    </row>
    <row r="245" spans="5:9" x14ac:dyDescent="0.2">
      <c r="E245" s="30"/>
      <c r="F245" s="27"/>
      <c r="I245" s="27"/>
    </row>
    <row r="246" spans="5:9" x14ac:dyDescent="0.2">
      <c r="E246" s="30"/>
      <c r="F246" s="27"/>
      <c r="I246" s="27"/>
    </row>
    <row r="247" spans="5:9" x14ac:dyDescent="0.2">
      <c r="E247" s="30"/>
      <c r="F247" s="27"/>
      <c r="I247" s="27"/>
    </row>
    <row r="248" spans="5:9" x14ac:dyDescent="0.2">
      <c r="E248" s="30"/>
      <c r="F248" s="27"/>
      <c r="I248" s="27"/>
    </row>
    <row r="249" spans="5:9" x14ac:dyDescent="0.2">
      <c r="E249" s="30"/>
      <c r="F249" s="27"/>
      <c r="I249" s="27"/>
    </row>
    <row r="250" spans="5:9" x14ac:dyDescent="0.2">
      <c r="E250" s="30"/>
      <c r="F250" s="27"/>
      <c r="I250" s="27"/>
    </row>
    <row r="251" spans="5:9" x14ac:dyDescent="0.2">
      <c r="E251" s="30"/>
      <c r="F251" s="27"/>
      <c r="I251" s="27"/>
    </row>
    <row r="252" spans="5:9" x14ac:dyDescent="0.2">
      <c r="E252" s="30"/>
      <c r="F252" s="27"/>
      <c r="I252" s="27"/>
    </row>
    <row r="253" spans="5:9" x14ac:dyDescent="0.2">
      <c r="E253" s="30"/>
      <c r="F253" s="27"/>
      <c r="I253" s="27"/>
    </row>
    <row r="254" spans="5:9" x14ac:dyDescent="0.2">
      <c r="E254" s="30"/>
      <c r="F254" s="27"/>
      <c r="I254" s="27"/>
    </row>
    <row r="255" spans="5:9" x14ac:dyDescent="0.2">
      <c r="E255" s="30"/>
      <c r="F255" s="27"/>
      <c r="I255" s="27"/>
    </row>
    <row r="256" spans="5:9" x14ac:dyDescent="0.2">
      <c r="E256" s="30"/>
      <c r="F256" s="27"/>
      <c r="I256" s="27"/>
    </row>
    <row r="257" spans="5:9" x14ac:dyDescent="0.2">
      <c r="E257" s="30"/>
      <c r="F257" s="27"/>
      <c r="I257" s="27"/>
    </row>
    <row r="258" spans="5:9" x14ac:dyDescent="0.2">
      <c r="E258" s="30"/>
      <c r="F258" s="27"/>
      <c r="I258" s="27"/>
    </row>
    <row r="259" spans="5:9" x14ac:dyDescent="0.2">
      <c r="E259" s="30"/>
      <c r="F259" s="27"/>
      <c r="I259" s="27"/>
    </row>
    <row r="260" spans="5:9" x14ac:dyDescent="0.2">
      <c r="E260" s="30"/>
      <c r="F260" s="27"/>
      <c r="I260" s="27"/>
    </row>
    <row r="261" spans="5:9" x14ac:dyDescent="0.2">
      <c r="E261" s="30"/>
      <c r="F261" s="27"/>
      <c r="I261" s="27"/>
    </row>
    <row r="262" spans="5:9" x14ac:dyDescent="0.2">
      <c r="E262" s="30"/>
      <c r="F262" s="27"/>
      <c r="I262" s="27"/>
    </row>
    <row r="263" spans="5:9" x14ac:dyDescent="0.2">
      <c r="E263" s="30"/>
      <c r="F263" s="27"/>
      <c r="I263" s="27"/>
    </row>
    <row r="264" spans="5:9" x14ac:dyDescent="0.2">
      <c r="E264" s="30"/>
      <c r="F264" s="27"/>
      <c r="I264" s="27"/>
    </row>
    <row r="265" spans="5:9" x14ac:dyDescent="0.2">
      <c r="E265" s="30"/>
      <c r="F265" s="27"/>
      <c r="I265" s="27"/>
    </row>
    <row r="266" spans="5:9" x14ac:dyDescent="0.2">
      <c r="E266" s="30"/>
      <c r="F266" s="27"/>
      <c r="I266" s="27"/>
    </row>
    <row r="267" spans="5:9" x14ac:dyDescent="0.2">
      <c r="E267" s="30"/>
      <c r="F267" s="27"/>
      <c r="I267" s="27"/>
    </row>
    <row r="268" spans="5:9" x14ac:dyDescent="0.2">
      <c r="E268" s="30"/>
      <c r="F268" s="27"/>
      <c r="I268" s="27"/>
    </row>
    <row r="269" spans="5:9" x14ac:dyDescent="0.2">
      <c r="E269" s="30"/>
      <c r="F269" s="27"/>
      <c r="I269" s="27"/>
    </row>
    <row r="270" spans="5:9" x14ac:dyDescent="0.2">
      <c r="E270" s="30"/>
      <c r="F270" s="27"/>
      <c r="I270" s="27"/>
    </row>
    <row r="271" spans="5:9" x14ac:dyDescent="0.2">
      <c r="E271" s="30"/>
      <c r="F271" s="27"/>
      <c r="I271" s="27"/>
    </row>
    <row r="272" spans="5:9" x14ac:dyDescent="0.2">
      <c r="E272" s="30"/>
      <c r="F272" s="27"/>
      <c r="I272" s="27"/>
    </row>
    <row r="273" spans="5:9" x14ac:dyDescent="0.2">
      <c r="E273" s="30"/>
      <c r="F273" s="27"/>
      <c r="I273" s="27"/>
    </row>
    <row r="274" spans="5:9" x14ac:dyDescent="0.2">
      <c r="E274" s="30"/>
      <c r="F274" s="27"/>
      <c r="I274" s="27"/>
    </row>
    <row r="275" spans="5:9" x14ac:dyDescent="0.2">
      <c r="E275" s="30"/>
      <c r="F275" s="27"/>
      <c r="I275" s="27"/>
    </row>
    <row r="276" spans="5:9" x14ac:dyDescent="0.2">
      <c r="E276" s="30"/>
      <c r="F276" s="27"/>
      <c r="I276" s="27"/>
    </row>
    <row r="277" spans="5:9" x14ac:dyDescent="0.2">
      <c r="E277" s="30"/>
      <c r="F277" s="27"/>
      <c r="I277" s="27"/>
    </row>
    <row r="278" spans="5:9" x14ac:dyDescent="0.2">
      <c r="E278" s="30"/>
      <c r="F278" s="27"/>
      <c r="I278" s="27"/>
    </row>
    <row r="279" spans="5:9" x14ac:dyDescent="0.2">
      <c r="E279" s="30"/>
      <c r="F279" s="27"/>
      <c r="I279" s="27"/>
    </row>
    <row r="280" spans="5:9" x14ac:dyDescent="0.2">
      <c r="E280" s="30"/>
      <c r="F280" s="27"/>
      <c r="I280" s="27"/>
    </row>
    <row r="281" spans="5:9" x14ac:dyDescent="0.2">
      <c r="E281" s="30"/>
      <c r="F281" s="27"/>
      <c r="I281" s="27"/>
    </row>
    <row r="282" spans="5:9" x14ac:dyDescent="0.2">
      <c r="E282" s="30"/>
      <c r="F282" s="27"/>
      <c r="I282" s="27"/>
    </row>
    <row r="283" spans="5:9" x14ac:dyDescent="0.2">
      <c r="E283" s="30"/>
      <c r="F283" s="27"/>
      <c r="I283" s="27"/>
    </row>
    <row r="284" spans="5:9" x14ac:dyDescent="0.2">
      <c r="E284" s="30"/>
      <c r="F284" s="27"/>
      <c r="I284" s="27"/>
    </row>
    <row r="285" spans="5:9" x14ac:dyDescent="0.2">
      <c r="E285" s="30"/>
      <c r="F285" s="27"/>
      <c r="I285" s="27"/>
    </row>
    <row r="286" spans="5:9" x14ac:dyDescent="0.2">
      <c r="E286" s="30"/>
      <c r="F286" s="27"/>
      <c r="I286" s="27"/>
    </row>
    <row r="287" spans="5:9" x14ac:dyDescent="0.2">
      <c r="E287" s="30"/>
      <c r="F287" s="27"/>
      <c r="I287" s="27"/>
    </row>
    <row r="288" spans="5:9" x14ac:dyDescent="0.2">
      <c r="E288" s="30"/>
      <c r="F288" s="27"/>
      <c r="I288" s="27"/>
    </row>
    <row r="289" spans="5:9" x14ac:dyDescent="0.2">
      <c r="E289" s="30"/>
      <c r="F289" s="27"/>
      <c r="I289" s="27"/>
    </row>
    <row r="290" spans="5:9" x14ac:dyDescent="0.2">
      <c r="E290" s="30"/>
      <c r="F290" s="27"/>
      <c r="I290" s="27"/>
    </row>
    <row r="291" spans="5:9" x14ac:dyDescent="0.2">
      <c r="E291" s="30"/>
      <c r="F291" s="27"/>
      <c r="I291" s="27"/>
    </row>
    <row r="292" spans="5:9" x14ac:dyDescent="0.2">
      <c r="E292" s="30"/>
      <c r="F292" s="27"/>
      <c r="I292" s="27"/>
    </row>
    <row r="293" spans="5:9" x14ac:dyDescent="0.2">
      <c r="E293" s="30"/>
      <c r="F293" s="27"/>
      <c r="I293" s="27"/>
    </row>
    <row r="294" spans="5:9" x14ac:dyDescent="0.2">
      <c r="E294" s="30"/>
      <c r="F294" s="27"/>
      <c r="I294" s="27"/>
    </row>
    <row r="295" spans="5:9" x14ac:dyDescent="0.2">
      <c r="E295" s="30"/>
      <c r="F295" s="27"/>
      <c r="I295" s="27"/>
    </row>
    <row r="296" spans="5:9" x14ac:dyDescent="0.2">
      <c r="E296" s="30"/>
      <c r="F296" s="27"/>
      <c r="I296" s="27"/>
    </row>
    <row r="297" spans="5:9" x14ac:dyDescent="0.2">
      <c r="E297" s="30"/>
      <c r="F297" s="27"/>
      <c r="I297" s="27"/>
    </row>
    <row r="298" spans="5:9" x14ac:dyDescent="0.2">
      <c r="E298" s="30"/>
      <c r="F298" s="27"/>
      <c r="I298" s="27"/>
    </row>
    <row r="299" spans="5:9" x14ac:dyDescent="0.2">
      <c r="E299" s="30"/>
      <c r="F299" s="27"/>
      <c r="I299" s="27"/>
    </row>
    <row r="300" spans="5:9" x14ac:dyDescent="0.2">
      <c r="E300" s="30"/>
      <c r="F300" s="27"/>
      <c r="I300" s="27"/>
    </row>
    <row r="301" spans="5:9" x14ac:dyDescent="0.2">
      <c r="E301" s="30"/>
      <c r="F301" s="27"/>
      <c r="I301" s="27"/>
    </row>
    <row r="302" spans="5:9" x14ac:dyDescent="0.2">
      <c r="E302" s="30"/>
      <c r="F302" s="27"/>
      <c r="I302" s="27"/>
    </row>
    <row r="303" spans="5:9" x14ac:dyDescent="0.2">
      <c r="E303" s="30"/>
      <c r="F303" s="27"/>
      <c r="I303" s="27"/>
    </row>
    <row r="304" spans="5:9" x14ac:dyDescent="0.2">
      <c r="E304" s="30"/>
      <c r="F304" s="27"/>
      <c r="I304" s="27"/>
    </row>
    <row r="305" spans="5:9" x14ac:dyDescent="0.2">
      <c r="E305" s="30"/>
      <c r="F305" s="27"/>
      <c r="I305" s="27"/>
    </row>
    <row r="306" spans="5:9" x14ac:dyDescent="0.2">
      <c r="E306" s="30"/>
      <c r="F306" s="27"/>
      <c r="I306" s="27"/>
    </row>
    <row r="307" spans="5:9" x14ac:dyDescent="0.2">
      <c r="E307" s="30"/>
      <c r="F307" s="27"/>
      <c r="I307" s="27"/>
    </row>
    <row r="308" spans="5:9" x14ac:dyDescent="0.2">
      <c r="E308" s="30"/>
      <c r="F308" s="27"/>
      <c r="I308" s="27"/>
    </row>
    <row r="309" spans="5:9" x14ac:dyDescent="0.2">
      <c r="E309" s="30"/>
      <c r="F309" s="27"/>
      <c r="I309" s="27"/>
    </row>
    <row r="310" spans="5:9" x14ac:dyDescent="0.2">
      <c r="E310" s="30"/>
      <c r="F310" s="27"/>
      <c r="I310" s="27"/>
    </row>
    <row r="311" spans="5:9" x14ac:dyDescent="0.2">
      <c r="E311" s="30"/>
      <c r="F311" s="27"/>
      <c r="I311" s="27"/>
    </row>
    <row r="312" spans="5:9" x14ac:dyDescent="0.2">
      <c r="E312" s="30"/>
      <c r="F312" s="27"/>
      <c r="I312" s="27"/>
    </row>
    <row r="313" spans="5:9" x14ac:dyDescent="0.2">
      <c r="E313" s="30"/>
      <c r="F313" s="27"/>
      <c r="I313" s="27"/>
    </row>
    <row r="314" spans="5:9" x14ac:dyDescent="0.2">
      <c r="E314" s="30"/>
      <c r="F314" s="27"/>
      <c r="I314" s="27"/>
    </row>
    <row r="315" spans="5:9" x14ac:dyDescent="0.2">
      <c r="E315" s="30"/>
      <c r="F315" s="27"/>
      <c r="I315" s="27"/>
    </row>
    <row r="316" spans="5:9" x14ac:dyDescent="0.2">
      <c r="E316" s="30"/>
      <c r="F316" s="27"/>
      <c r="I316" s="27"/>
    </row>
    <row r="317" spans="5:9" x14ac:dyDescent="0.2">
      <c r="E317" s="30"/>
      <c r="F317" s="27"/>
      <c r="I317" s="27"/>
    </row>
    <row r="318" spans="5:9" x14ac:dyDescent="0.2">
      <c r="E318" s="30"/>
      <c r="F318" s="27"/>
      <c r="I318" s="27"/>
    </row>
    <row r="319" spans="5:9" x14ac:dyDescent="0.2">
      <c r="E319" s="30"/>
      <c r="F319" s="27"/>
      <c r="I319" s="27"/>
    </row>
    <row r="320" spans="5:9" x14ac:dyDescent="0.2">
      <c r="E320" s="30"/>
      <c r="F320" s="27"/>
      <c r="I320" s="27"/>
    </row>
    <row r="321" spans="5:9" x14ac:dyDescent="0.2">
      <c r="E321" s="30"/>
      <c r="F321" s="27"/>
      <c r="I321" s="27"/>
    </row>
    <row r="322" spans="5:9" x14ac:dyDescent="0.2">
      <c r="E322" s="30"/>
      <c r="F322" s="27"/>
      <c r="I322" s="27"/>
    </row>
    <row r="323" spans="5:9" x14ac:dyDescent="0.2">
      <c r="E323" s="30"/>
      <c r="F323" s="27"/>
      <c r="I323" s="27"/>
    </row>
    <row r="324" spans="5:9" x14ac:dyDescent="0.2">
      <c r="E324" s="30"/>
      <c r="F324" s="27"/>
      <c r="I324" s="27"/>
    </row>
    <row r="325" spans="5:9" x14ac:dyDescent="0.2">
      <c r="E325" s="30"/>
      <c r="F325" s="27"/>
      <c r="I325" s="27"/>
    </row>
    <row r="326" spans="5:9" x14ac:dyDescent="0.2">
      <c r="E326" s="30"/>
      <c r="F326" s="27"/>
      <c r="I326" s="27"/>
    </row>
    <row r="327" spans="5:9" x14ac:dyDescent="0.2">
      <c r="E327" s="30"/>
      <c r="F327" s="27"/>
      <c r="I327" s="27"/>
    </row>
    <row r="328" spans="5:9" x14ac:dyDescent="0.2">
      <c r="E328" s="30"/>
      <c r="F328" s="27"/>
      <c r="I328" s="27"/>
    </row>
    <row r="329" spans="5:9" x14ac:dyDescent="0.2">
      <c r="E329" s="30"/>
      <c r="F329" s="27"/>
      <c r="I329" s="27"/>
    </row>
    <row r="330" spans="5:9" x14ac:dyDescent="0.2">
      <c r="E330" s="30"/>
      <c r="F330" s="27"/>
      <c r="I330" s="27"/>
    </row>
    <row r="331" spans="5:9" x14ac:dyDescent="0.2">
      <c r="E331" s="30"/>
      <c r="F331" s="27"/>
      <c r="I331" s="27"/>
    </row>
    <row r="332" spans="5:9" x14ac:dyDescent="0.2">
      <c r="E332" s="30"/>
      <c r="F332" s="27"/>
      <c r="I332" s="27"/>
    </row>
    <row r="333" spans="5:9" x14ac:dyDescent="0.2">
      <c r="E333" s="30"/>
      <c r="F333" s="27"/>
      <c r="I333" s="27"/>
    </row>
    <row r="334" spans="5:9" x14ac:dyDescent="0.2">
      <c r="E334" s="30"/>
      <c r="F334" s="27"/>
      <c r="I334" s="27"/>
    </row>
    <row r="335" spans="5:9" x14ac:dyDescent="0.2">
      <c r="E335" s="30"/>
      <c r="F335" s="27"/>
      <c r="I335" s="27"/>
    </row>
    <row r="336" spans="5:9" x14ac:dyDescent="0.2">
      <c r="E336" s="30"/>
      <c r="F336" s="27"/>
      <c r="I336" s="27"/>
    </row>
    <row r="337" spans="5:9" x14ac:dyDescent="0.2">
      <c r="E337" s="30"/>
      <c r="F337" s="27"/>
      <c r="I337" s="27"/>
    </row>
    <row r="338" spans="5:9" x14ac:dyDescent="0.2">
      <c r="E338" s="30"/>
      <c r="F338" s="27"/>
      <c r="I338" s="27"/>
    </row>
    <row r="339" spans="5:9" x14ac:dyDescent="0.2">
      <c r="E339" s="30"/>
      <c r="F339" s="27"/>
      <c r="I339" s="27"/>
    </row>
    <row r="340" spans="5:9" x14ac:dyDescent="0.2">
      <c r="E340" s="30"/>
      <c r="F340" s="27"/>
      <c r="I340" s="27"/>
    </row>
    <row r="341" spans="5:9" x14ac:dyDescent="0.2">
      <c r="E341" s="30"/>
      <c r="F341" s="27"/>
      <c r="I341" s="27"/>
    </row>
    <row r="342" spans="5:9" x14ac:dyDescent="0.2">
      <c r="E342" s="30"/>
      <c r="F342" s="27"/>
      <c r="I342" s="27"/>
    </row>
    <row r="343" spans="5:9" x14ac:dyDescent="0.2">
      <c r="E343" s="30"/>
      <c r="F343" s="27"/>
      <c r="I343" s="27"/>
    </row>
    <row r="344" spans="5:9" x14ac:dyDescent="0.2">
      <c r="E344" s="30"/>
      <c r="F344" s="27"/>
      <c r="I344" s="27"/>
    </row>
    <row r="345" spans="5:9" x14ac:dyDescent="0.2">
      <c r="E345" s="30"/>
      <c r="F345" s="27"/>
      <c r="I345" s="27"/>
    </row>
    <row r="346" spans="5:9" x14ac:dyDescent="0.2">
      <c r="E346" s="30"/>
      <c r="F346" s="27"/>
      <c r="I346" s="27"/>
    </row>
    <row r="347" spans="5:9" x14ac:dyDescent="0.2">
      <c r="E347" s="30"/>
      <c r="F347" s="27"/>
      <c r="I347" s="27"/>
    </row>
    <row r="348" spans="5:9" x14ac:dyDescent="0.2">
      <c r="E348" s="30"/>
      <c r="F348" s="27"/>
      <c r="I348" s="27"/>
    </row>
    <row r="349" spans="5:9" x14ac:dyDescent="0.2">
      <c r="E349" s="30"/>
      <c r="F349" s="27"/>
      <c r="I349" s="27"/>
    </row>
    <row r="350" spans="5:9" x14ac:dyDescent="0.2">
      <c r="E350" s="30"/>
      <c r="F350" s="27"/>
      <c r="I350" s="27"/>
    </row>
    <row r="351" spans="5:9" x14ac:dyDescent="0.2">
      <c r="E351" s="30"/>
      <c r="F351" s="27"/>
      <c r="I351" s="27"/>
    </row>
    <row r="352" spans="5:9" x14ac:dyDescent="0.2">
      <c r="E352" s="30"/>
      <c r="F352" s="27"/>
      <c r="I352" s="27"/>
    </row>
    <row r="353" spans="5:9" x14ac:dyDescent="0.2">
      <c r="E353" s="30"/>
      <c r="F353" s="27"/>
      <c r="I353" s="27"/>
    </row>
    <row r="354" spans="5:9" x14ac:dyDescent="0.2">
      <c r="E354" s="30"/>
      <c r="F354" s="27"/>
      <c r="I354" s="27"/>
    </row>
    <row r="355" spans="5:9" x14ac:dyDescent="0.2">
      <c r="E355" s="30"/>
      <c r="F355" s="27"/>
      <c r="I355" s="27"/>
    </row>
    <row r="356" spans="5:9" x14ac:dyDescent="0.2">
      <c r="E356" s="30"/>
      <c r="F356" s="27"/>
      <c r="I356" s="27"/>
    </row>
    <row r="357" spans="5:9" x14ac:dyDescent="0.2">
      <c r="E357" s="30"/>
      <c r="F357" s="27"/>
      <c r="I357" s="27"/>
    </row>
    <row r="358" spans="5:9" x14ac:dyDescent="0.2">
      <c r="E358" s="30"/>
      <c r="F358" s="27"/>
      <c r="I358" s="27"/>
    </row>
    <row r="359" spans="5:9" x14ac:dyDescent="0.2">
      <c r="E359" s="30"/>
      <c r="F359" s="27"/>
      <c r="I359" s="27"/>
    </row>
    <row r="360" spans="5:9" x14ac:dyDescent="0.2">
      <c r="E360" s="30"/>
      <c r="F360" s="27"/>
      <c r="I360" s="27"/>
    </row>
    <row r="361" spans="5:9" x14ac:dyDescent="0.2">
      <c r="E361" s="30"/>
      <c r="F361" s="27"/>
      <c r="I361" s="27"/>
    </row>
    <row r="362" spans="5:9" x14ac:dyDescent="0.2">
      <c r="E362" s="30"/>
      <c r="F362" s="27"/>
      <c r="I362" s="27"/>
    </row>
    <row r="363" spans="5:9" x14ac:dyDescent="0.2">
      <c r="E363" s="30"/>
      <c r="F363" s="27"/>
      <c r="I363" s="27"/>
    </row>
    <row r="364" spans="5:9" x14ac:dyDescent="0.2">
      <c r="E364" s="30"/>
      <c r="F364" s="27"/>
      <c r="I364" s="27"/>
    </row>
    <row r="365" spans="5:9" x14ac:dyDescent="0.2">
      <c r="E365" s="30"/>
      <c r="F365" s="27"/>
      <c r="I365" s="27"/>
    </row>
    <row r="366" spans="5:9" x14ac:dyDescent="0.2">
      <c r="E366" s="30"/>
      <c r="F366" s="27"/>
      <c r="I366" s="27"/>
    </row>
    <row r="367" spans="5:9" x14ac:dyDescent="0.2">
      <c r="E367" s="30"/>
      <c r="F367" s="27"/>
      <c r="I367" s="27"/>
    </row>
    <row r="368" spans="5:9" x14ac:dyDescent="0.2">
      <c r="E368" s="30"/>
      <c r="F368" s="27"/>
      <c r="I368" s="27"/>
    </row>
    <row r="369" spans="5:9" x14ac:dyDescent="0.2">
      <c r="E369" s="30"/>
      <c r="F369" s="27"/>
      <c r="I369" s="27"/>
    </row>
    <row r="370" spans="5:9" x14ac:dyDescent="0.2">
      <c r="E370" s="30"/>
      <c r="F370" s="27"/>
      <c r="I370" s="27"/>
    </row>
    <row r="371" spans="5:9" x14ac:dyDescent="0.2">
      <c r="E371" s="30"/>
      <c r="F371" s="27"/>
      <c r="I371" s="27"/>
    </row>
    <row r="372" spans="5:9" x14ac:dyDescent="0.2">
      <c r="E372" s="30"/>
      <c r="F372" s="27"/>
      <c r="I372" s="27"/>
    </row>
    <row r="373" spans="5:9" x14ac:dyDescent="0.2">
      <c r="E373" s="30"/>
      <c r="F373" s="27"/>
      <c r="I373" s="27"/>
    </row>
    <row r="374" spans="5:9" x14ac:dyDescent="0.2">
      <c r="E374" s="30"/>
      <c r="F374" s="27"/>
      <c r="I374" s="27"/>
    </row>
    <row r="375" spans="5:9" x14ac:dyDescent="0.2">
      <c r="E375" s="30"/>
      <c r="F375" s="27"/>
      <c r="I375" s="27"/>
    </row>
    <row r="376" spans="5:9" x14ac:dyDescent="0.2">
      <c r="E376" s="30"/>
      <c r="F376" s="27"/>
      <c r="I376" s="27"/>
    </row>
    <row r="377" spans="5:9" x14ac:dyDescent="0.2">
      <c r="E377" s="30"/>
      <c r="F377" s="27"/>
      <c r="I377" s="27"/>
    </row>
    <row r="378" spans="5:9" x14ac:dyDescent="0.2">
      <c r="E378" s="30"/>
      <c r="F378" s="27"/>
      <c r="I378" s="27"/>
    </row>
    <row r="379" spans="5:9" x14ac:dyDescent="0.2">
      <c r="E379" s="30"/>
      <c r="F379" s="27"/>
      <c r="I379" s="27"/>
    </row>
    <row r="380" spans="5:9" x14ac:dyDescent="0.2">
      <c r="E380" s="30"/>
      <c r="F380" s="27"/>
      <c r="I380" s="27"/>
    </row>
    <row r="381" spans="5:9" x14ac:dyDescent="0.2">
      <c r="E381" s="30"/>
      <c r="F381" s="27"/>
      <c r="I381" s="27"/>
    </row>
    <row r="382" spans="5:9" x14ac:dyDescent="0.2">
      <c r="E382" s="30"/>
      <c r="F382" s="27"/>
      <c r="I382" s="27"/>
    </row>
    <row r="383" spans="5:9" x14ac:dyDescent="0.2">
      <c r="E383" s="30"/>
      <c r="F383" s="27"/>
      <c r="I383" s="27"/>
    </row>
    <row r="384" spans="5:9" x14ac:dyDescent="0.2">
      <c r="E384" s="30"/>
      <c r="F384" s="27"/>
      <c r="I384" s="27"/>
    </row>
    <row r="385" spans="5:9" x14ac:dyDescent="0.2">
      <c r="E385" s="30"/>
      <c r="F385" s="27"/>
      <c r="I385" s="27"/>
    </row>
    <row r="386" spans="5:9" x14ac:dyDescent="0.2">
      <c r="E386" s="30"/>
      <c r="F386" s="27"/>
      <c r="I386" s="27"/>
    </row>
    <row r="387" spans="5:9" x14ac:dyDescent="0.2">
      <c r="E387" s="30"/>
      <c r="F387" s="27"/>
      <c r="I387" s="27"/>
    </row>
    <row r="388" spans="5:9" x14ac:dyDescent="0.2">
      <c r="E388" s="30"/>
      <c r="F388" s="27"/>
      <c r="I388" s="27"/>
    </row>
    <row r="389" spans="5:9" x14ac:dyDescent="0.2">
      <c r="E389" s="30"/>
      <c r="F389" s="27"/>
      <c r="I389" s="27"/>
    </row>
    <row r="390" spans="5:9" x14ac:dyDescent="0.2">
      <c r="E390" s="30"/>
      <c r="F390" s="27"/>
      <c r="I390" s="27"/>
    </row>
    <row r="391" spans="5:9" x14ac:dyDescent="0.2">
      <c r="E391" s="30"/>
      <c r="F391" s="27"/>
      <c r="I391" s="27"/>
    </row>
    <row r="392" spans="5:9" x14ac:dyDescent="0.2">
      <c r="E392" s="30"/>
      <c r="F392" s="27"/>
      <c r="I392" s="27"/>
    </row>
    <row r="393" spans="5:9" x14ac:dyDescent="0.2">
      <c r="E393" s="30"/>
      <c r="F393" s="27"/>
      <c r="I393" s="27"/>
    </row>
    <row r="394" spans="5:9" x14ac:dyDescent="0.2">
      <c r="E394" s="30"/>
      <c r="F394" s="27"/>
      <c r="I394" s="27"/>
    </row>
    <row r="395" spans="5:9" x14ac:dyDescent="0.2">
      <c r="E395" s="30"/>
      <c r="F395" s="27"/>
      <c r="I395" s="27"/>
    </row>
    <row r="396" spans="5:9" x14ac:dyDescent="0.2">
      <c r="E396" s="30"/>
      <c r="F396" s="27"/>
      <c r="I396" s="27"/>
    </row>
    <row r="397" spans="5:9" x14ac:dyDescent="0.2">
      <c r="E397" s="30"/>
      <c r="F397" s="27"/>
      <c r="I397" s="27"/>
    </row>
    <row r="398" spans="5:9" x14ac:dyDescent="0.2">
      <c r="E398" s="30"/>
      <c r="F398" s="27"/>
      <c r="I398" s="27"/>
    </row>
    <row r="399" spans="5:9" x14ac:dyDescent="0.2">
      <c r="E399" s="30"/>
      <c r="F399" s="27"/>
      <c r="I399" s="27"/>
    </row>
    <row r="400" spans="5:9" x14ac:dyDescent="0.2">
      <c r="E400" s="30"/>
      <c r="F400" s="27"/>
      <c r="I400" s="27"/>
    </row>
    <row r="401" spans="5:9" x14ac:dyDescent="0.2">
      <c r="E401" s="30"/>
      <c r="F401" s="27"/>
      <c r="I401" s="27"/>
    </row>
    <row r="402" spans="5:9" x14ac:dyDescent="0.2">
      <c r="E402" s="30"/>
      <c r="F402" s="27"/>
      <c r="I402" s="27"/>
    </row>
    <row r="403" spans="5:9" x14ac:dyDescent="0.2">
      <c r="E403" s="30"/>
      <c r="F403" s="27"/>
      <c r="I403" s="27"/>
    </row>
    <row r="404" spans="5:9" x14ac:dyDescent="0.2">
      <c r="E404" s="30"/>
      <c r="F404" s="27"/>
      <c r="I404" s="27"/>
    </row>
    <row r="405" spans="5:9" x14ac:dyDescent="0.2">
      <c r="E405" s="30"/>
      <c r="F405" s="27"/>
      <c r="I405" s="27"/>
    </row>
    <row r="406" spans="5:9" x14ac:dyDescent="0.2">
      <c r="E406" s="30"/>
      <c r="F406" s="27"/>
      <c r="I406" s="27"/>
    </row>
    <row r="407" spans="5:9" x14ac:dyDescent="0.2">
      <c r="E407" s="30"/>
      <c r="F407" s="27"/>
      <c r="I407" s="27"/>
    </row>
    <row r="408" spans="5:9" x14ac:dyDescent="0.2">
      <c r="E408" s="30"/>
      <c r="F408" s="27"/>
      <c r="I408" s="27"/>
    </row>
    <row r="409" spans="5:9" x14ac:dyDescent="0.2">
      <c r="E409" s="30"/>
      <c r="F409" s="27"/>
      <c r="I409" s="27"/>
    </row>
    <row r="410" spans="5:9" x14ac:dyDescent="0.2">
      <c r="E410" s="30"/>
      <c r="F410" s="27"/>
      <c r="I410" s="27"/>
    </row>
    <row r="411" spans="5:9" x14ac:dyDescent="0.2">
      <c r="E411" s="30"/>
      <c r="F411" s="27"/>
      <c r="I411" s="27"/>
    </row>
    <row r="412" spans="5:9" x14ac:dyDescent="0.2">
      <c r="E412" s="30"/>
      <c r="F412" s="27"/>
      <c r="I412" s="27"/>
    </row>
    <row r="413" spans="5:9" x14ac:dyDescent="0.2">
      <c r="E413" s="30"/>
      <c r="F413" s="27"/>
      <c r="I413" s="27"/>
    </row>
    <row r="414" spans="5:9" x14ac:dyDescent="0.2">
      <c r="E414" s="30"/>
      <c r="F414" s="27"/>
      <c r="I414" s="27"/>
    </row>
    <row r="415" spans="5:9" x14ac:dyDescent="0.2">
      <c r="E415" s="30"/>
      <c r="F415" s="27"/>
      <c r="I415" s="27"/>
    </row>
    <row r="416" spans="5:9" x14ac:dyDescent="0.2">
      <c r="E416" s="30"/>
      <c r="F416" s="27"/>
      <c r="I416" s="27"/>
    </row>
    <row r="417" spans="5:9" x14ac:dyDescent="0.2">
      <c r="E417" s="30"/>
      <c r="F417" s="27"/>
      <c r="I417" s="27"/>
    </row>
    <row r="418" spans="5:9" x14ac:dyDescent="0.2">
      <c r="E418" s="30"/>
      <c r="F418" s="27"/>
      <c r="I418" s="27"/>
    </row>
    <row r="419" spans="5:9" x14ac:dyDescent="0.2">
      <c r="E419" s="30"/>
      <c r="F419" s="27"/>
      <c r="I419" s="27"/>
    </row>
    <row r="420" spans="5:9" x14ac:dyDescent="0.2">
      <c r="E420" s="30"/>
      <c r="F420" s="27"/>
      <c r="I420" s="27"/>
    </row>
    <row r="421" spans="5:9" x14ac:dyDescent="0.2">
      <c r="E421" s="30"/>
      <c r="F421" s="27"/>
      <c r="I421" s="27"/>
    </row>
    <row r="422" spans="5:9" x14ac:dyDescent="0.2">
      <c r="E422" s="30"/>
      <c r="F422" s="27"/>
      <c r="I422" s="27"/>
    </row>
    <row r="423" spans="5:9" x14ac:dyDescent="0.2">
      <c r="E423" s="30"/>
      <c r="F423" s="27"/>
      <c r="I423" s="27"/>
    </row>
    <row r="424" spans="5:9" x14ac:dyDescent="0.2">
      <c r="E424" s="30"/>
      <c r="F424" s="27"/>
      <c r="I424" s="27"/>
    </row>
    <row r="425" spans="5:9" x14ac:dyDescent="0.2">
      <c r="E425" s="30"/>
      <c r="F425" s="27"/>
      <c r="I425" s="27"/>
    </row>
    <row r="426" spans="5:9" x14ac:dyDescent="0.2">
      <c r="E426" s="30"/>
      <c r="F426" s="27"/>
      <c r="I426" s="27"/>
    </row>
    <row r="427" spans="5:9" x14ac:dyDescent="0.2">
      <c r="E427" s="30"/>
      <c r="F427" s="27"/>
      <c r="I427" s="27"/>
    </row>
    <row r="428" spans="5:9" x14ac:dyDescent="0.2">
      <c r="E428" s="30"/>
      <c r="F428" s="27"/>
      <c r="I428" s="27"/>
    </row>
    <row r="429" spans="5:9" x14ac:dyDescent="0.2">
      <c r="E429" s="30"/>
      <c r="F429" s="27"/>
      <c r="I429" s="27"/>
    </row>
    <row r="430" spans="5:9" x14ac:dyDescent="0.2">
      <c r="E430" s="30"/>
      <c r="F430" s="27"/>
      <c r="I430" s="27"/>
    </row>
    <row r="431" spans="5:9" x14ac:dyDescent="0.2">
      <c r="E431" s="30"/>
      <c r="F431" s="27"/>
      <c r="I431" s="27"/>
    </row>
    <row r="432" spans="5:9" x14ac:dyDescent="0.2">
      <c r="E432" s="30"/>
      <c r="F432" s="27"/>
      <c r="I432" s="27"/>
    </row>
    <row r="433" spans="5:9" x14ac:dyDescent="0.2">
      <c r="E433" s="30"/>
      <c r="F433" s="27"/>
      <c r="I433" s="27"/>
    </row>
    <row r="434" spans="5:9" x14ac:dyDescent="0.2">
      <c r="E434" s="30"/>
      <c r="F434" s="27"/>
      <c r="I434" s="27"/>
    </row>
    <row r="435" spans="5:9" x14ac:dyDescent="0.2">
      <c r="E435" s="30"/>
      <c r="F435" s="27"/>
      <c r="I435" s="27"/>
    </row>
    <row r="436" spans="5:9" x14ac:dyDescent="0.2">
      <c r="E436" s="30"/>
      <c r="F436" s="27"/>
      <c r="I436" s="27"/>
    </row>
    <row r="437" spans="5:9" x14ac:dyDescent="0.2">
      <c r="E437" s="30"/>
      <c r="F437" s="27"/>
      <c r="I437" s="27"/>
    </row>
    <row r="438" spans="5:9" x14ac:dyDescent="0.2">
      <c r="E438" s="30"/>
      <c r="F438" s="27"/>
      <c r="I438" s="27"/>
    </row>
    <row r="439" spans="5:9" x14ac:dyDescent="0.2">
      <c r="E439" s="30"/>
      <c r="F439" s="27"/>
      <c r="I439" s="27"/>
    </row>
    <row r="440" spans="5:9" x14ac:dyDescent="0.2">
      <c r="E440" s="30"/>
      <c r="F440" s="27"/>
      <c r="I440" s="27"/>
    </row>
    <row r="441" spans="5:9" x14ac:dyDescent="0.2">
      <c r="E441" s="30"/>
      <c r="F441" s="27"/>
      <c r="I441" s="27"/>
    </row>
    <row r="442" spans="5:9" x14ac:dyDescent="0.2">
      <c r="E442" s="30"/>
      <c r="F442" s="27"/>
      <c r="I442" s="27"/>
    </row>
    <row r="443" spans="5:9" x14ac:dyDescent="0.2">
      <c r="E443" s="30"/>
      <c r="F443" s="27"/>
      <c r="I443" s="27"/>
    </row>
    <row r="444" spans="5:9" x14ac:dyDescent="0.2">
      <c r="E444" s="30"/>
      <c r="F444" s="27"/>
      <c r="I444" s="27"/>
    </row>
    <row r="445" spans="5:9" x14ac:dyDescent="0.2">
      <c r="E445" s="30"/>
      <c r="F445" s="27"/>
      <c r="I445" s="27"/>
    </row>
    <row r="446" spans="5:9" x14ac:dyDescent="0.2">
      <c r="E446" s="30"/>
      <c r="F446" s="27"/>
      <c r="I446" s="27"/>
    </row>
    <row r="447" spans="5:9" x14ac:dyDescent="0.2">
      <c r="E447" s="30"/>
      <c r="F447" s="27"/>
      <c r="I447" s="27"/>
    </row>
    <row r="448" spans="5:9" x14ac:dyDescent="0.2">
      <c r="E448" s="30"/>
      <c r="F448" s="27"/>
      <c r="I448" s="27"/>
    </row>
    <row r="449" spans="5:9" x14ac:dyDescent="0.2">
      <c r="E449" s="30"/>
      <c r="F449" s="27"/>
      <c r="I449" s="27"/>
    </row>
    <row r="450" spans="5:9" x14ac:dyDescent="0.2">
      <c r="E450" s="30"/>
      <c r="F450" s="27"/>
      <c r="I450" s="27"/>
    </row>
    <row r="451" spans="5:9" x14ac:dyDescent="0.2">
      <c r="E451" s="30"/>
      <c r="F451" s="27"/>
      <c r="I451" s="27"/>
    </row>
    <row r="452" spans="5:9" x14ac:dyDescent="0.2">
      <c r="E452" s="30"/>
      <c r="F452" s="27"/>
      <c r="I452" s="27"/>
    </row>
    <row r="453" spans="5:9" x14ac:dyDescent="0.2">
      <c r="E453" s="30"/>
      <c r="F453" s="27"/>
      <c r="I453" s="27"/>
    </row>
    <row r="454" spans="5:9" x14ac:dyDescent="0.2">
      <c r="E454" s="30"/>
      <c r="F454" s="27"/>
      <c r="I454" s="27"/>
    </row>
    <row r="455" spans="5:9" x14ac:dyDescent="0.2">
      <c r="E455" s="30"/>
      <c r="F455" s="27"/>
      <c r="I455" s="27"/>
    </row>
    <row r="456" spans="5:9" x14ac:dyDescent="0.2">
      <c r="E456" s="30"/>
      <c r="F456" s="27"/>
      <c r="I456" s="27"/>
    </row>
    <row r="457" spans="5:9" x14ac:dyDescent="0.2">
      <c r="E457" s="30"/>
      <c r="F457" s="27"/>
      <c r="I457" s="27"/>
    </row>
    <row r="458" spans="5:9" x14ac:dyDescent="0.2">
      <c r="E458" s="30"/>
      <c r="F458" s="27"/>
      <c r="I458" s="27"/>
    </row>
    <row r="459" spans="5:9" x14ac:dyDescent="0.2">
      <c r="E459" s="30"/>
      <c r="F459" s="27"/>
      <c r="I459" s="27"/>
    </row>
    <row r="460" spans="5:9" x14ac:dyDescent="0.2">
      <c r="E460" s="30"/>
      <c r="F460" s="27"/>
      <c r="I460" s="27"/>
    </row>
    <row r="461" spans="5:9" x14ac:dyDescent="0.2">
      <c r="E461" s="30"/>
      <c r="F461" s="27"/>
      <c r="I461" s="27"/>
    </row>
    <row r="462" spans="5:9" x14ac:dyDescent="0.2">
      <c r="E462" s="30"/>
      <c r="F462" s="27"/>
      <c r="I462" s="27"/>
    </row>
    <row r="463" spans="5:9" x14ac:dyDescent="0.2">
      <c r="E463" s="30"/>
      <c r="F463" s="27"/>
      <c r="I463" s="27"/>
    </row>
    <row r="464" spans="5:9" x14ac:dyDescent="0.2">
      <c r="E464" s="30"/>
      <c r="F464" s="27"/>
      <c r="I464" s="27"/>
    </row>
    <row r="465" spans="5:9" x14ac:dyDescent="0.2">
      <c r="E465" s="30"/>
      <c r="F465" s="27"/>
      <c r="I465" s="27"/>
    </row>
    <row r="466" spans="5:9" x14ac:dyDescent="0.2">
      <c r="E466" s="30"/>
      <c r="F466" s="27"/>
      <c r="I466" s="27"/>
    </row>
    <row r="467" spans="5:9" x14ac:dyDescent="0.2">
      <c r="E467" s="30"/>
      <c r="F467" s="27"/>
      <c r="I467" s="27"/>
    </row>
    <row r="468" spans="5:9" x14ac:dyDescent="0.2">
      <c r="E468" s="30"/>
      <c r="F468" s="27"/>
      <c r="I468" s="27"/>
    </row>
    <row r="469" spans="5:9" x14ac:dyDescent="0.2">
      <c r="E469" s="30"/>
      <c r="F469" s="27"/>
      <c r="I469" s="27"/>
    </row>
    <row r="470" spans="5:9" x14ac:dyDescent="0.2">
      <c r="E470" s="30"/>
      <c r="F470" s="27"/>
      <c r="I470" s="27"/>
    </row>
    <row r="471" spans="5:9" x14ac:dyDescent="0.2">
      <c r="E471" s="30"/>
      <c r="F471" s="27"/>
      <c r="I471" s="27"/>
    </row>
    <row r="472" spans="5:9" x14ac:dyDescent="0.2">
      <c r="E472" s="30"/>
      <c r="F472" s="27"/>
      <c r="I472" s="27"/>
    </row>
    <row r="473" spans="5:9" x14ac:dyDescent="0.2">
      <c r="E473" s="30"/>
      <c r="F473" s="27"/>
      <c r="I473" s="27"/>
    </row>
    <row r="474" spans="5:9" x14ac:dyDescent="0.2">
      <c r="E474" s="30"/>
      <c r="F474" s="27"/>
      <c r="I474" s="27"/>
    </row>
    <row r="475" spans="5:9" x14ac:dyDescent="0.2">
      <c r="E475" s="30"/>
      <c r="F475" s="27"/>
      <c r="I475" s="27"/>
    </row>
    <row r="476" spans="5:9" x14ac:dyDescent="0.2">
      <c r="E476" s="30"/>
      <c r="F476" s="27"/>
      <c r="I476" s="27"/>
    </row>
    <row r="477" spans="5:9" x14ac:dyDescent="0.2">
      <c r="E477" s="30"/>
      <c r="F477" s="27"/>
      <c r="I477" s="27"/>
    </row>
    <row r="478" spans="5:9" x14ac:dyDescent="0.2">
      <c r="E478" s="30"/>
      <c r="F478" s="27"/>
      <c r="I478" s="27"/>
    </row>
    <row r="479" spans="5:9" x14ac:dyDescent="0.2">
      <c r="E479" s="30"/>
      <c r="F479" s="27"/>
      <c r="I479" s="27"/>
    </row>
    <row r="480" spans="5:9" x14ac:dyDescent="0.2">
      <c r="E480" s="30"/>
      <c r="F480" s="27"/>
      <c r="I480" s="27"/>
    </row>
    <row r="481" spans="5:9" x14ac:dyDescent="0.2">
      <c r="E481" s="30"/>
      <c r="F481" s="27"/>
      <c r="I481" s="27"/>
    </row>
    <row r="482" spans="5:9" x14ac:dyDescent="0.2">
      <c r="E482" s="30"/>
      <c r="F482" s="27"/>
      <c r="I482" s="27"/>
    </row>
    <row r="483" spans="5:9" x14ac:dyDescent="0.2">
      <c r="E483" s="30"/>
      <c r="F483" s="27"/>
      <c r="I483" s="27"/>
    </row>
    <row r="484" spans="5:9" x14ac:dyDescent="0.2">
      <c r="E484" s="30"/>
      <c r="F484" s="27"/>
      <c r="I484" s="27"/>
    </row>
    <row r="485" spans="5:9" x14ac:dyDescent="0.2">
      <c r="E485" s="30"/>
      <c r="F485" s="27"/>
      <c r="I485" s="27"/>
    </row>
    <row r="486" spans="5:9" x14ac:dyDescent="0.2">
      <c r="E486" s="30"/>
      <c r="F486" s="27"/>
      <c r="I486" s="27"/>
    </row>
    <row r="487" spans="5:9" x14ac:dyDescent="0.2">
      <c r="E487" s="30"/>
      <c r="F487" s="27"/>
      <c r="I487" s="27"/>
    </row>
    <row r="488" spans="5:9" x14ac:dyDescent="0.2">
      <c r="E488" s="30"/>
      <c r="F488" s="27"/>
      <c r="I488" s="27"/>
    </row>
    <row r="489" spans="5:9" x14ac:dyDescent="0.2">
      <c r="E489" s="30"/>
      <c r="F489" s="27"/>
      <c r="I489" s="27"/>
    </row>
    <row r="490" spans="5:9" x14ac:dyDescent="0.2">
      <c r="E490" s="30"/>
      <c r="F490" s="27"/>
      <c r="I490" s="27"/>
    </row>
    <row r="491" spans="5:9" x14ac:dyDescent="0.2">
      <c r="E491" s="30"/>
      <c r="F491" s="27"/>
      <c r="I491" s="27"/>
    </row>
    <row r="492" spans="5:9" x14ac:dyDescent="0.2">
      <c r="E492" s="30"/>
      <c r="F492" s="27"/>
      <c r="I492" s="27"/>
    </row>
    <row r="493" spans="5:9" x14ac:dyDescent="0.2">
      <c r="E493" s="30"/>
      <c r="F493" s="27"/>
      <c r="I493" s="27"/>
    </row>
    <row r="494" spans="5:9" x14ac:dyDescent="0.2">
      <c r="E494" s="30"/>
      <c r="F494" s="27"/>
      <c r="I494" s="27"/>
    </row>
    <row r="495" spans="5:9" x14ac:dyDescent="0.2">
      <c r="E495" s="30"/>
      <c r="F495" s="27"/>
      <c r="I495" s="27"/>
    </row>
    <row r="496" spans="5:9" x14ac:dyDescent="0.2">
      <c r="E496" s="30"/>
      <c r="F496" s="27"/>
      <c r="I496" s="27"/>
    </row>
    <row r="497" spans="5:9" x14ac:dyDescent="0.2">
      <c r="E497" s="30"/>
      <c r="F497" s="27"/>
      <c r="I497" s="27"/>
    </row>
    <row r="498" spans="5:9" x14ac:dyDescent="0.2">
      <c r="E498" s="30"/>
      <c r="F498" s="27"/>
      <c r="I498" s="27"/>
    </row>
    <row r="499" spans="5:9" x14ac:dyDescent="0.2">
      <c r="E499" s="30"/>
      <c r="F499" s="27"/>
      <c r="I499" s="27"/>
    </row>
    <row r="500" spans="5:9" x14ac:dyDescent="0.2">
      <c r="E500" s="30"/>
      <c r="F500" s="27"/>
      <c r="I500" s="27"/>
    </row>
    <row r="501" spans="5:9" x14ac:dyDescent="0.2">
      <c r="E501" s="30"/>
      <c r="F501" s="27"/>
      <c r="I501" s="27"/>
    </row>
    <row r="502" spans="5:9" x14ac:dyDescent="0.2">
      <c r="E502" s="30"/>
      <c r="F502" s="27"/>
      <c r="I502" s="27"/>
    </row>
    <row r="503" spans="5:9" x14ac:dyDescent="0.2">
      <c r="E503" s="30"/>
      <c r="F503" s="27"/>
      <c r="I503" s="27"/>
    </row>
    <row r="504" spans="5:9" x14ac:dyDescent="0.2">
      <c r="E504" s="30"/>
      <c r="F504" s="27"/>
      <c r="I504" s="27"/>
    </row>
    <row r="505" spans="5:9" x14ac:dyDescent="0.2">
      <c r="E505" s="30"/>
      <c r="F505" s="27"/>
      <c r="I505" s="27"/>
    </row>
    <row r="506" spans="5:9" x14ac:dyDescent="0.2">
      <c r="E506" s="30"/>
      <c r="F506" s="27"/>
      <c r="I506" s="27"/>
    </row>
    <row r="507" spans="5:9" x14ac:dyDescent="0.2">
      <c r="E507" s="30"/>
      <c r="F507" s="27"/>
      <c r="I507" s="27"/>
    </row>
    <row r="508" spans="5:9" x14ac:dyDescent="0.2">
      <c r="E508" s="30"/>
      <c r="F508" s="27"/>
      <c r="I508" s="27"/>
    </row>
    <row r="509" spans="5:9" x14ac:dyDescent="0.2">
      <c r="E509" s="30"/>
      <c r="F509" s="27"/>
      <c r="I509" s="27"/>
    </row>
    <row r="510" spans="5:9" x14ac:dyDescent="0.2">
      <c r="E510" s="30"/>
      <c r="F510" s="27"/>
      <c r="I510" s="27"/>
    </row>
    <row r="511" spans="5:9" x14ac:dyDescent="0.2">
      <c r="E511" s="30"/>
      <c r="F511" s="27"/>
      <c r="I511" s="27"/>
    </row>
    <row r="512" spans="5:9" x14ac:dyDescent="0.2">
      <c r="E512" s="30"/>
      <c r="F512" s="27"/>
      <c r="I512" s="27"/>
    </row>
    <row r="513" spans="5:9" x14ac:dyDescent="0.2">
      <c r="E513" s="30"/>
      <c r="F513" s="27"/>
      <c r="I513" s="27"/>
    </row>
    <row r="514" spans="5:9" x14ac:dyDescent="0.2">
      <c r="E514" s="30"/>
      <c r="F514" s="27"/>
      <c r="I514" s="27"/>
    </row>
    <row r="515" spans="5:9" x14ac:dyDescent="0.2">
      <c r="E515" s="30"/>
      <c r="F515" s="27"/>
      <c r="I515" s="27"/>
    </row>
    <row r="516" spans="5:9" x14ac:dyDescent="0.2">
      <c r="E516" s="30"/>
      <c r="F516" s="27"/>
      <c r="I516" s="27"/>
    </row>
    <row r="517" spans="5:9" x14ac:dyDescent="0.2">
      <c r="E517" s="30"/>
      <c r="F517" s="27"/>
      <c r="I517" s="27"/>
    </row>
    <row r="518" spans="5:9" x14ac:dyDescent="0.2">
      <c r="E518" s="30"/>
      <c r="F518" s="27"/>
      <c r="I518" s="27"/>
    </row>
    <row r="519" spans="5:9" x14ac:dyDescent="0.2">
      <c r="E519" s="30"/>
      <c r="F519" s="27"/>
      <c r="I519" s="27"/>
    </row>
    <row r="520" spans="5:9" x14ac:dyDescent="0.2">
      <c r="E520" s="30"/>
      <c r="F520" s="27"/>
      <c r="I520" s="27"/>
    </row>
    <row r="521" spans="5:9" x14ac:dyDescent="0.2">
      <c r="E521" s="30"/>
      <c r="F521" s="27"/>
      <c r="I521" s="27"/>
    </row>
    <row r="522" spans="5:9" x14ac:dyDescent="0.2">
      <c r="E522" s="30"/>
      <c r="F522" s="27"/>
      <c r="I522" s="27"/>
    </row>
    <row r="523" spans="5:9" x14ac:dyDescent="0.2">
      <c r="E523" s="30"/>
      <c r="F523" s="27"/>
      <c r="I523" s="27"/>
    </row>
    <row r="524" spans="5:9" x14ac:dyDescent="0.2">
      <c r="E524" s="30"/>
      <c r="F524" s="27"/>
      <c r="I524" s="27"/>
    </row>
    <row r="525" spans="5:9" x14ac:dyDescent="0.2">
      <c r="E525" s="30"/>
      <c r="F525" s="27"/>
      <c r="I525" s="27"/>
    </row>
    <row r="526" spans="5:9" x14ac:dyDescent="0.2">
      <c r="E526" s="30"/>
      <c r="F526" s="27"/>
      <c r="I526" s="27"/>
    </row>
    <row r="527" spans="5:9" x14ac:dyDescent="0.2">
      <c r="E527" s="30"/>
      <c r="F527" s="27"/>
      <c r="I527" s="27"/>
    </row>
    <row r="528" spans="5:9" x14ac:dyDescent="0.2">
      <c r="E528" s="30"/>
      <c r="F528" s="27"/>
      <c r="I528" s="27"/>
    </row>
    <row r="529" spans="5:9" x14ac:dyDescent="0.2">
      <c r="E529" s="30"/>
      <c r="F529" s="27"/>
      <c r="I529" s="27"/>
    </row>
    <row r="530" spans="5:9" x14ac:dyDescent="0.2">
      <c r="E530" s="30"/>
      <c r="F530" s="27"/>
      <c r="I530" s="27"/>
    </row>
    <row r="531" spans="5:9" x14ac:dyDescent="0.2">
      <c r="E531" s="30"/>
      <c r="F531" s="27"/>
      <c r="I531" s="27"/>
    </row>
    <row r="532" spans="5:9" x14ac:dyDescent="0.2">
      <c r="E532" s="30"/>
      <c r="F532" s="27"/>
      <c r="I532" s="27"/>
    </row>
    <row r="533" spans="5:9" x14ac:dyDescent="0.2">
      <c r="E533" s="30"/>
      <c r="F533" s="27"/>
      <c r="I533" s="27"/>
    </row>
    <row r="534" spans="5:9" x14ac:dyDescent="0.2">
      <c r="E534" s="30"/>
      <c r="F534" s="27"/>
      <c r="I534" s="27"/>
    </row>
    <row r="535" spans="5:9" x14ac:dyDescent="0.2">
      <c r="E535" s="30"/>
      <c r="F535" s="27"/>
      <c r="I535" s="27"/>
    </row>
    <row r="536" spans="5:9" x14ac:dyDescent="0.2">
      <c r="E536" s="30"/>
      <c r="F536" s="27"/>
      <c r="I536" s="27"/>
    </row>
    <row r="537" spans="5:9" x14ac:dyDescent="0.2">
      <c r="E537" s="30"/>
      <c r="F537" s="27"/>
      <c r="I537" s="27"/>
    </row>
    <row r="538" spans="5:9" x14ac:dyDescent="0.2">
      <c r="E538" s="30"/>
      <c r="F538" s="27"/>
      <c r="I538" s="27"/>
    </row>
    <row r="539" spans="5:9" x14ac:dyDescent="0.2">
      <c r="E539" s="30"/>
      <c r="F539" s="27"/>
      <c r="I539" s="27"/>
    </row>
    <row r="540" spans="5:9" x14ac:dyDescent="0.2">
      <c r="E540" s="30"/>
      <c r="F540" s="27"/>
      <c r="I540" s="27"/>
    </row>
    <row r="541" spans="5:9" x14ac:dyDescent="0.2">
      <c r="E541" s="30"/>
      <c r="F541" s="27"/>
      <c r="I541" s="27"/>
    </row>
    <row r="542" spans="5:9" x14ac:dyDescent="0.2">
      <c r="E542" s="30"/>
      <c r="F542" s="27"/>
      <c r="I542" s="27"/>
    </row>
    <row r="543" spans="5:9" x14ac:dyDescent="0.2">
      <c r="E543" s="30"/>
      <c r="F543" s="27"/>
      <c r="I543" s="27"/>
    </row>
    <row r="544" spans="5:9" x14ac:dyDescent="0.2">
      <c r="E544" s="30"/>
      <c r="F544" s="27"/>
      <c r="I544" s="27"/>
    </row>
    <row r="545" spans="5:9" x14ac:dyDescent="0.2">
      <c r="E545" s="30"/>
      <c r="F545" s="27"/>
      <c r="I545" s="27"/>
    </row>
    <row r="546" spans="5:9" x14ac:dyDescent="0.2">
      <c r="E546" s="30"/>
      <c r="F546" s="27"/>
      <c r="I546" s="27"/>
    </row>
    <row r="547" spans="5:9" x14ac:dyDescent="0.2">
      <c r="E547" s="30"/>
      <c r="F547" s="27"/>
      <c r="I547" s="27"/>
    </row>
    <row r="548" spans="5:9" x14ac:dyDescent="0.2">
      <c r="E548" s="30"/>
      <c r="F548" s="27"/>
      <c r="I548" s="27"/>
    </row>
    <row r="549" spans="5:9" x14ac:dyDescent="0.2">
      <c r="E549" s="30"/>
      <c r="F549" s="27"/>
      <c r="I549" s="27"/>
    </row>
    <row r="550" spans="5:9" x14ac:dyDescent="0.2">
      <c r="E550" s="30"/>
      <c r="F550" s="27"/>
      <c r="I550" s="27"/>
    </row>
    <row r="551" spans="5:9" x14ac:dyDescent="0.2">
      <c r="E551" s="30"/>
      <c r="F551" s="27"/>
      <c r="I551" s="27"/>
    </row>
    <row r="552" spans="5:9" x14ac:dyDescent="0.2">
      <c r="E552" s="30"/>
      <c r="F552" s="27"/>
      <c r="I552" s="27"/>
    </row>
    <row r="553" spans="5:9" x14ac:dyDescent="0.2">
      <c r="E553" s="30"/>
      <c r="F553" s="27"/>
      <c r="I553" s="27"/>
    </row>
    <row r="554" spans="5:9" x14ac:dyDescent="0.2">
      <c r="E554" s="30"/>
      <c r="F554" s="27"/>
      <c r="I554" s="27"/>
    </row>
    <row r="555" spans="5:9" x14ac:dyDescent="0.2">
      <c r="E555" s="30"/>
      <c r="F555" s="27"/>
      <c r="I555" s="27"/>
    </row>
    <row r="556" spans="5:9" x14ac:dyDescent="0.2">
      <c r="E556" s="30"/>
      <c r="F556" s="27"/>
      <c r="I556" s="27"/>
    </row>
    <row r="557" spans="5:9" x14ac:dyDescent="0.2">
      <c r="E557" s="30"/>
      <c r="F557" s="27"/>
      <c r="I557" s="27"/>
    </row>
    <row r="558" spans="5:9" x14ac:dyDescent="0.2">
      <c r="E558" s="30"/>
      <c r="F558" s="27"/>
      <c r="I558" s="27"/>
    </row>
    <row r="559" spans="5:9" x14ac:dyDescent="0.2">
      <c r="E559" s="30"/>
      <c r="F559" s="27"/>
      <c r="I559" s="27"/>
    </row>
    <row r="560" spans="5:9" x14ac:dyDescent="0.2">
      <c r="E560" s="30"/>
      <c r="F560" s="27"/>
      <c r="I560" s="27"/>
    </row>
    <row r="561" spans="5:9" x14ac:dyDescent="0.2">
      <c r="E561" s="30"/>
      <c r="F561" s="27"/>
      <c r="I561" s="27"/>
    </row>
    <row r="562" spans="5:9" x14ac:dyDescent="0.2">
      <c r="E562" s="30"/>
      <c r="F562" s="27"/>
      <c r="I562" s="27"/>
    </row>
    <row r="563" spans="5:9" x14ac:dyDescent="0.2">
      <c r="E563" s="30"/>
      <c r="F563" s="27"/>
      <c r="I563" s="27"/>
    </row>
    <row r="564" spans="5:9" x14ac:dyDescent="0.2">
      <c r="E564" s="30"/>
      <c r="F564" s="27"/>
      <c r="I564" s="27"/>
    </row>
    <row r="565" spans="5:9" x14ac:dyDescent="0.2">
      <c r="E565" s="30"/>
      <c r="F565" s="27"/>
      <c r="I565" s="27"/>
    </row>
    <row r="566" spans="5:9" x14ac:dyDescent="0.2">
      <c r="E566" s="30"/>
      <c r="F566" s="27"/>
      <c r="I566" s="27"/>
    </row>
    <row r="567" spans="5:9" x14ac:dyDescent="0.2">
      <c r="E567" s="30"/>
      <c r="F567" s="27"/>
      <c r="I567" s="27"/>
    </row>
    <row r="568" spans="5:9" x14ac:dyDescent="0.2">
      <c r="E568" s="30"/>
      <c r="F568" s="27"/>
      <c r="I568" s="27"/>
    </row>
    <row r="569" spans="5:9" x14ac:dyDescent="0.2">
      <c r="E569" s="30"/>
      <c r="F569" s="27"/>
      <c r="I569" s="27"/>
    </row>
    <row r="570" spans="5:9" x14ac:dyDescent="0.2">
      <c r="E570" s="30"/>
      <c r="F570" s="27"/>
      <c r="I570" s="27"/>
    </row>
    <row r="571" spans="5:9" x14ac:dyDescent="0.2">
      <c r="E571" s="30"/>
      <c r="F571" s="27"/>
      <c r="I571" s="27"/>
    </row>
    <row r="572" spans="5:9" x14ac:dyDescent="0.2">
      <c r="E572" s="30"/>
      <c r="F572" s="27"/>
      <c r="I572" s="27"/>
    </row>
    <row r="573" spans="5:9" x14ac:dyDescent="0.2">
      <c r="E573" s="30"/>
      <c r="F573" s="27"/>
      <c r="I573" s="27"/>
    </row>
    <row r="574" spans="5:9" x14ac:dyDescent="0.2">
      <c r="E574" s="30"/>
      <c r="F574" s="27"/>
      <c r="I574" s="27"/>
    </row>
    <row r="575" spans="5:9" x14ac:dyDescent="0.2">
      <c r="E575" s="30"/>
      <c r="F575" s="27"/>
      <c r="I575" s="27"/>
    </row>
    <row r="576" spans="5:9" x14ac:dyDescent="0.2">
      <c r="E576" s="30"/>
      <c r="F576" s="27"/>
      <c r="I576" s="27"/>
    </row>
    <row r="577" spans="5:9" x14ac:dyDescent="0.2">
      <c r="E577" s="30"/>
      <c r="F577" s="27"/>
      <c r="I577" s="27"/>
    </row>
    <row r="578" spans="5:9" x14ac:dyDescent="0.2">
      <c r="E578" s="30"/>
      <c r="F578" s="27"/>
      <c r="I578" s="27"/>
    </row>
    <row r="579" spans="5:9" x14ac:dyDescent="0.2">
      <c r="E579" s="30"/>
      <c r="F579" s="27"/>
      <c r="I579" s="27"/>
    </row>
    <row r="580" spans="5:9" x14ac:dyDescent="0.2">
      <c r="E580" s="30"/>
      <c r="F580" s="27"/>
      <c r="I580" s="27"/>
    </row>
    <row r="581" spans="5:9" x14ac:dyDescent="0.2">
      <c r="E581" s="30"/>
      <c r="F581" s="27"/>
      <c r="I581" s="27"/>
    </row>
    <row r="582" spans="5:9" x14ac:dyDescent="0.2">
      <c r="E582" s="30"/>
      <c r="F582" s="27"/>
      <c r="I582" s="27"/>
    </row>
    <row r="583" spans="5:9" x14ac:dyDescent="0.2">
      <c r="E583" s="30"/>
      <c r="F583" s="27"/>
      <c r="I583" s="27"/>
    </row>
    <row r="584" spans="5:9" x14ac:dyDescent="0.2">
      <c r="E584" s="30"/>
      <c r="F584" s="27"/>
      <c r="I584" s="27"/>
    </row>
    <row r="585" spans="5:9" x14ac:dyDescent="0.2">
      <c r="E585" s="30"/>
      <c r="F585" s="27"/>
      <c r="I585" s="27"/>
    </row>
    <row r="586" spans="5:9" x14ac:dyDescent="0.2">
      <c r="E586" s="30"/>
      <c r="F586" s="27"/>
      <c r="I586" s="27"/>
    </row>
    <row r="587" spans="5:9" x14ac:dyDescent="0.2">
      <c r="E587" s="30"/>
      <c r="F587" s="27"/>
      <c r="I587" s="27"/>
    </row>
    <row r="588" spans="5:9" x14ac:dyDescent="0.2">
      <c r="E588" s="30"/>
      <c r="F588" s="27"/>
      <c r="I588" s="27"/>
    </row>
    <row r="589" spans="5:9" x14ac:dyDescent="0.2">
      <c r="E589" s="30"/>
      <c r="F589" s="27"/>
      <c r="I589" s="27"/>
    </row>
    <row r="590" spans="5:9" x14ac:dyDescent="0.2">
      <c r="E590" s="30"/>
      <c r="F590" s="27"/>
      <c r="I590" s="27"/>
    </row>
    <row r="591" spans="5:9" x14ac:dyDescent="0.2">
      <c r="E591" s="30"/>
      <c r="F591" s="27"/>
      <c r="I591" s="27"/>
    </row>
    <row r="592" spans="5:9" x14ac:dyDescent="0.2">
      <c r="E592" s="30"/>
      <c r="F592" s="27"/>
      <c r="I592" s="27"/>
    </row>
    <row r="593" spans="5:9" x14ac:dyDescent="0.2">
      <c r="E593" s="30"/>
      <c r="F593" s="27"/>
      <c r="I593" s="27"/>
    </row>
    <row r="594" spans="5:9" x14ac:dyDescent="0.2">
      <c r="E594" s="30"/>
      <c r="F594" s="27"/>
      <c r="I594" s="27"/>
    </row>
    <row r="595" spans="5:9" x14ac:dyDescent="0.2">
      <c r="E595" s="30"/>
      <c r="F595" s="27"/>
      <c r="I595" s="27"/>
    </row>
    <row r="596" spans="5:9" x14ac:dyDescent="0.2">
      <c r="E596" s="30"/>
      <c r="F596" s="27"/>
      <c r="I596" s="27"/>
    </row>
    <row r="597" spans="5:9" x14ac:dyDescent="0.2">
      <c r="E597" s="30"/>
      <c r="F597" s="27"/>
      <c r="I597" s="27"/>
    </row>
    <row r="598" spans="5:9" x14ac:dyDescent="0.2">
      <c r="E598" s="30"/>
      <c r="F598" s="27"/>
      <c r="I598" s="27"/>
    </row>
    <row r="599" spans="5:9" x14ac:dyDescent="0.2">
      <c r="E599" s="30"/>
      <c r="F599" s="27"/>
      <c r="I599" s="27"/>
    </row>
    <row r="600" spans="5:9" x14ac:dyDescent="0.2">
      <c r="E600" s="30"/>
      <c r="F600" s="27"/>
      <c r="I600" s="27"/>
    </row>
    <row r="601" spans="5:9" x14ac:dyDescent="0.2">
      <c r="E601" s="30"/>
      <c r="F601" s="27"/>
      <c r="I601" s="27"/>
    </row>
    <row r="602" spans="5:9" x14ac:dyDescent="0.2">
      <c r="E602" s="30"/>
      <c r="F602" s="27"/>
      <c r="I602" s="27"/>
    </row>
    <row r="603" spans="5:9" x14ac:dyDescent="0.2">
      <c r="E603" s="30"/>
      <c r="F603" s="27"/>
      <c r="I603" s="27"/>
    </row>
    <row r="604" spans="5:9" x14ac:dyDescent="0.2">
      <c r="E604" s="30"/>
      <c r="F604" s="27"/>
      <c r="I604" s="27"/>
    </row>
    <row r="605" spans="5:9" x14ac:dyDescent="0.2">
      <c r="E605" s="30"/>
      <c r="F605" s="27"/>
      <c r="I605" s="27"/>
    </row>
    <row r="606" spans="5:9" x14ac:dyDescent="0.2">
      <c r="E606" s="30"/>
      <c r="F606" s="27"/>
      <c r="I606" s="27"/>
    </row>
    <row r="607" spans="5:9" x14ac:dyDescent="0.2">
      <c r="E607" s="30"/>
      <c r="F607" s="27"/>
      <c r="I607" s="27"/>
    </row>
    <row r="608" spans="5:9" x14ac:dyDescent="0.2">
      <c r="E608" s="30"/>
      <c r="F608" s="27"/>
      <c r="I608" s="27"/>
    </row>
    <row r="609" spans="5:9" x14ac:dyDescent="0.2">
      <c r="E609" s="30"/>
      <c r="F609" s="27"/>
      <c r="I609" s="27"/>
    </row>
    <row r="610" spans="5:9" x14ac:dyDescent="0.2">
      <c r="E610" s="30"/>
      <c r="F610" s="27"/>
      <c r="I610" s="27"/>
    </row>
    <row r="611" spans="5:9" x14ac:dyDescent="0.2">
      <c r="E611" s="30"/>
      <c r="F611" s="27"/>
      <c r="I611" s="27"/>
    </row>
    <row r="612" spans="5:9" x14ac:dyDescent="0.2">
      <c r="E612" s="30"/>
      <c r="F612" s="27"/>
      <c r="I612" s="27"/>
    </row>
    <row r="613" spans="5:9" x14ac:dyDescent="0.2">
      <c r="E613" s="30"/>
      <c r="F613" s="27"/>
      <c r="I613" s="27"/>
    </row>
    <row r="614" spans="5:9" x14ac:dyDescent="0.2">
      <c r="E614" s="30"/>
      <c r="F614" s="27"/>
      <c r="I614" s="27"/>
    </row>
    <row r="615" spans="5:9" x14ac:dyDescent="0.2">
      <c r="E615" s="30"/>
      <c r="F615" s="27"/>
      <c r="I615" s="27"/>
    </row>
    <row r="616" spans="5:9" x14ac:dyDescent="0.2">
      <c r="E616" s="30"/>
      <c r="F616" s="27"/>
      <c r="I616" s="27"/>
    </row>
    <row r="617" spans="5:9" x14ac:dyDescent="0.2">
      <c r="E617" s="30"/>
      <c r="F617" s="27"/>
      <c r="I617" s="27"/>
    </row>
    <row r="618" spans="5:9" x14ac:dyDescent="0.2">
      <c r="E618" s="30"/>
      <c r="F618" s="27"/>
      <c r="I618" s="27"/>
    </row>
    <row r="619" spans="5:9" x14ac:dyDescent="0.2">
      <c r="E619" s="30"/>
      <c r="F619" s="27"/>
      <c r="I619" s="27"/>
    </row>
    <row r="620" spans="5:9" x14ac:dyDescent="0.2">
      <c r="E620" s="30"/>
      <c r="F620" s="27"/>
      <c r="I620" s="27"/>
    </row>
    <row r="621" spans="5:9" x14ac:dyDescent="0.2">
      <c r="E621" s="30"/>
      <c r="F621" s="27"/>
      <c r="I621" s="27"/>
    </row>
    <row r="622" spans="5:9" x14ac:dyDescent="0.2">
      <c r="E622" s="30"/>
      <c r="F622" s="27"/>
      <c r="I622" s="27"/>
    </row>
    <row r="623" spans="5:9" x14ac:dyDescent="0.2">
      <c r="E623" s="30"/>
      <c r="F623" s="27"/>
      <c r="I623" s="27"/>
    </row>
    <row r="624" spans="5:9" x14ac:dyDescent="0.2">
      <c r="E624" s="30"/>
      <c r="F624" s="27"/>
      <c r="I624" s="27"/>
    </row>
    <row r="625" spans="5:9" x14ac:dyDescent="0.2">
      <c r="E625" s="30"/>
      <c r="F625" s="27"/>
      <c r="I625" s="27"/>
    </row>
    <row r="626" spans="5:9" x14ac:dyDescent="0.2">
      <c r="E626" s="30"/>
      <c r="F626" s="27"/>
      <c r="I626" s="27"/>
    </row>
    <row r="627" spans="5:9" x14ac:dyDescent="0.2">
      <c r="E627" s="30"/>
      <c r="F627" s="27"/>
      <c r="I627" s="27"/>
    </row>
    <row r="628" spans="5:9" x14ac:dyDescent="0.2">
      <c r="E628" s="30"/>
      <c r="F628" s="27"/>
      <c r="I628" s="27"/>
    </row>
    <row r="629" spans="5:9" x14ac:dyDescent="0.2">
      <c r="E629" s="30"/>
      <c r="F629" s="27"/>
      <c r="I629" s="27"/>
    </row>
    <row r="630" spans="5:9" x14ac:dyDescent="0.2">
      <c r="E630" s="30"/>
      <c r="F630" s="27"/>
      <c r="I630" s="27"/>
    </row>
    <row r="631" spans="5:9" x14ac:dyDescent="0.2">
      <c r="E631" s="30"/>
      <c r="F631" s="27"/>
      <c r="I631" s="27"/>
    </row>
    <row r="632" spans="5:9" x14ac:dyDescent="0.2">
      <c r="E632" s="30"/>
      <c r="F632" s="27"/>
      <c r="I632" s="27"/>
    </row>
    <row r="633" spans="5:9" x14ac:dyDescent="0.2">
      <c r="E633" s="30"/>
      <c r="F633" s="27"/>
      <c r="I633" s="27"/>
    </row>
    <row r="634" spans="5:9" x14ac:dyDescent="0.2">
      <c r="E634" s="30"/>
      <c r="F634" s="27"/>
      <c r="I634" s="27"/>
    </row>
    <row r="635" spans="5:9" x14ac:dyDescent="0.2">
      <c r="E635" s="30"/>
      <c r="F635" s="27"/>
      <c r="I635" s="27"/>
    </row>
    <row r="636" spans="5:9" x14ac:dyDescent="0.2">
      <c r="E636" s="30"/>
      <c r="F636" s="27"/>
      <c r="I636" s="27"/>
    </row>
    <row r="637" spans="5:9" x14ac:dyDescent="0.2">
      <c r="E637" s="30"/>
      <c r="F637" s="27"/>
      <c r="I637" s="27"/>
    </row>
    <row r="638" spans="5:9" x14ac:dyDescent="0.2">
      <c r="E638" s="30"/>
      <c r="F638" s="27"/>
      <c r="I638" s="27"/>
    </row>
    <row r="639" spans="5:9" x14ac:dyDescent="0.2">
      <c r="E639" s="30"/>
      <c r="F639" s="27"/>
      <c r="I639" s="27"/>
    </row>
    <row r="640" spans="5:9" x14ac:dyDescent="0.2">
      <c r="E640" s="30"/>
      <c r="F640" s="27"/>
      <c r="I640" s="27"/>
    </row>
    <row r="641" spans="5:9" x14ac:dyDescent="0.2">
      <c r="E641" s="30"/>
      <c r="F641" s="27"/>
      <c r="I641" s="27"/>
    </row>
    <row r="642" spans="5:9" x14ac:dyDescent="0.2">
      <c r="E642" s="30"/>
      <c r="F642" s="27"/>
      <c r="I642" s="27"/>
    </row>
    <row r="643" spans="5:9" x14ac:dyDescent="0.2">
      <c r="E643" s="30"/>
      <c r="F643" s="27"/>
      <c r="I643" s="27"/>
    </row>
    <row r="644" spans="5:9" x14ac:dyDescent="0.2">
      <c r="E644" s="30"/>
      <c r="F644" s="27"/>
      <c r="I644" s="27"/>
    </row>
    <row r="645" spans="5:9" x14ac:dyDescent="0.2">
      <c r="E645" s="30"/>
      <c r="F645" s="27"/>
      <c r="I645" s="27"/>
    </row>
    <row r="646" spans="5:9" x14ac:dyDescent="0.2">
      <c r="E646" s="30"/>
      <c r="F646" s="27"/>
      <c r="I646" s="27"/>
    </row>
    <row r="647" spans="5:9" x14ac:dyDescent="0.2">
      <c r="E647" s="30"/>
      <c r="F647" s="27"/>
      <c r="I647" s="27"/>
    </row>
    <row r="648" spans="5:9" x14ac:dyDescent="0.2">
      <c r="E648" s="30"/>
      <c r="F648" s="27"/>
      <c r="I648" s="27"/>
    </row>
    <row r="649" spans="5:9" x14ac:dyDescent="0.2">
      <c r="E649" s="30"/>
      <c r="F649" s="27"/>
      <c r="I649" s="27"/>
    </row>
    <row r="650" spans="5:9" x14ac:dyDescent="0.2">
      <c r="E650" s="30"/>
      <c r="F650" s="27"/>
      <c r="I650" s="27"/>
    </row>
    <row r="651" spans="5:9" x14ac:dyDescent="0.2">
      <c r="E651" s="30"/>
      <c r="F651" s="27"/>
      <c r="I651" s="27"/>
    </row>
    <row r="652" spans="5:9" x14ac:dyDescent="0.2">
      <c r="E652" s="30"/>
      <c r="F652" s="27"/>
      <c r="I652" s="27"/>
    </row>
    <row r="653" spans="5:9" x14ac:dyDescent="0.2">
      <c r="E653" s="30"/>
      <c r="F653" s="27"/>
      <c r="I653" s="27"/>
    </row>
    <row r="654" spans="5:9" x14ac:dyDescent="0.2">
      <c r="E654" s="30"/>
      <c r="F654" s="27"/>
      <c r="I654" s="27"/>
    </row>
    <row r="655" spans="5:9" x14ac:dyDescent="0.2">
      <c r="E655" s="30"/>
      <c r="F655" s="27"/>
      <c r="I655" s="27"/>
    </row>
    <row r="656" spans="5:9" x14ac:dyDescent="0.2">
      <c r="E656" s="30"/>
      <c r="F656" s="27"/>
      <c r="I656" s="27"/>
    </row>
    <row r="657" spans="5:9" x14ac:dyDescent="0.2">
      <c r="E657" s="30"/>
      <c r="F657" s="27"/>
      <c r="I657" s="27"/>
    </row>
    <row r="658" spans="5:9" x14ac:dyDescent="0.2">
      <c r="E658" s="30"/>
      <c r="F658" s="27"/>
      <c r="I658" s="27"/>
    </row>
    <row r="659" spans="5:9" x14ac:dyDescent="0.2">
      <c r="E659" s="30"/>
      <c r="F659" s="27"/>
      <c r="I659" s="27"/>
    </row>
    <row r="660" spans="5:9" x14ac:dyDescent="0.2">
      <c r="E660" s="30"/>
      <c r="F660" s="27"/>
      <c r="I660" s="27"/>
    </row>
    <row r="661" spans="5:9" x14ac:dyDescent="0.2">
      <c r="E661" s="30"/>
      <c r="F661" s="27"/>
      <c r="I661" s="27"/>
    </row>
    <row r="662" spans="5:9" x14ac:dyDescent="0.2">
      <c r="E662" s="30"/>
      <c r="F662" s="27"/>
      <c r="I662" s="27"/>
    </row>
    <row r="663" spans="5:9" x14ac:dyDescent="0.2">
      <c r="E663" s="30"/>
      <c r="F663" s="27"/>
      <c r="I663" s="27"/>
    </row>
    <row r="664" spans="5:9" x14ac:dyDescent="0.2">
      <c r="E664" s="30"/>
      <c r="F664" s="27"/>
      <c r="I664" s="27"/>
    </row>
    <row r="665" spans="5:9" x14ac:dyDescent="0.2">
      <c r="E665" s="30"/>
      <c r="F665" s="27"/>
      <c r="I665" s="27"/>
    </row>
    <row r="666" spans="5:9" x14ac:dyDescent="0.2">
      <c r="E666" s="30"/>
      <c r="F666" s="27"/>
      <c r="I666" s="27"/>
    </row>
    <row r="667" spans="5:9" x14ac:dyDescent="0.2">
      <c r="E667" s="30"/>
      <c r="F667" s="27"/>
      <c r="I667" s="27"/>
    </row>
    <row r="668" spans="5:9" x14ac:dyDescent="0.2">
      <c r="E668" s="30"/>
      <c r="F668" s="27"/>
      <c r="I668" s="27"/>
    </row>
    <row r="669" spans="5:9" x14ac:dyDescent="0.2">
      <c r="E669" s="30"/>
      <c r="F669" s="27"/>
      <c r="I669" s="27"/>
    </row>
    <row r="670" spans="5:9" x14ac:dyDescent="0.2">
      <c r="E670" s="30"/>
      <c r="F670" s="27"/>
      <c r="I670" s="27"/>
    </row>
    <row r="671" spans="5:9" x14ac:dyDescent="0.2">
      <c r="E671" s="30"/>
      <c r="F671" s="27"/>
      <c r="I671" s="27"/>
    </row>
    <row r="672" spans="5:9" x14ac:dyDescent="0.2">
      <c r="E672" s="30"/>
      <c r="F672" s="27"/>
      <c r="I672" s="27"/>
    </row>
    <row r="673" spans="5:9" x14ac:dyDescent="0.2">
      <c r="E673" s="30"/>
      <c r="F673" s="27"/>
      <c r="I673" s="27"/>
    </row>
    <row r="674" spans="5:9" x14ac:dyDescent="0.2">
      <c r="E674" s="30"/>
      <c r="F674" s="27"/>
      <c r="I674" s="27"/>
    </row>
    <row r="675" spans="5:9" x14ac:dyDescent="0.2">
      <c r="E675" s="30"/>
      <c r="F675" s="27"/>
      <c r="I675" s="27"/>
    </row>
    <row r="676" spans="5:9" x14ac:dyDescent="0.2">
      <c r="E676" s="30"/>
      <c r="F676" s="27"/>
      <c r="I676" s="27"/>
    </row>
    <row r="677" spans="5:9" x14ac:dyDescent="0.2">
      <c r="E677" s="30"/>
      <c r="F677" s="27"/>
      <c r="I677" s="27"/>
    </row>
    <row r="678" spans="5:9" x14ac:dyDescent="0.2">
      <c r="E678" s="30"/>
      <c r="F678" s="27"/>
      <c r="I678" s="27"/>
    </row>
    <row r="679" spans="5:9" x14ac:dyDescent="0.2">
      <c r="E679" s="30"/>
      <c r="F679" s="27"/>
      <c r="I679" s="27"/>
    </row>
    <row r="680" spans="5:9" x14ac:dyDescent="0.2">
      <c r="E680" s="30"/>
      <c r="F680" s="27"/>
      <c r="I680" s="27"/>
    </row>
    <row r="681" spans="5:9" x14ac:dyDescent="0.2">
      <c r="E681" s="30"/>
      <c r="F681" s="27"/>
      <c r="I681" s="27"/>
    </row>
    <row r="682" spans="5:9" x14ac:dyDescent="0.2">
      <c r="E682" s="30"/>
      <c r="F682" s="27"/>
      <c r="I682" s="27"/>
    </row>
    <row r="683" spans="5:9" x14ac:dyDescent="0.2">
      <c r="E683" s="30"/>
      <c r="F683" s="27"/>
      <c r="I683" s="27"/>
    </row>
    <row r="684" spans="5:9" x14ac:dyDescent="0.2">
      <c r="E684" s="30"/>
      <c r="F684" s="27"/>
      <c r="I684" s="27"/>
    </row>
    <row r="685" spans="5:9" x14ac:dyDescent="0.2">
      <c r="E685" s="30"/>
      <c r="F685" s="27"/>
      <c r="I685" s="27"/>
    </row>
    <row r="686" spans="5:9" x14ac:dyDescent="0.2">
      <c r="E686" s="30"/>
      <c r="F686" s="27"/>
      <c r="I686" s="27"/>
    </row>
    <row r="687" spans="5:9" x14ac:dyDescent="0.2">
      <c r="E687" s="30"/>
      <c r="F687" s="27"/>
      <c r="I687" s="27"/>
    </row>
    <row r="688" spans="5:9" x14ac:dyDescent="0.2">
      <c r="E688" s="30"/>
      <c r="F688" s="27"/>
      <c r="I688" s="27"/>
    </row>
    <row r="689" spans="5:9" x14ac:dyDescent="0.2">
      <c r="E689" s="30"/>
      <c r="F689" s="27"/>
      <c r="I689" s="27"/>
    </row>
    <row r="690" spans="5:9" x14ac:dyDescent="0.2">
      <c r="E690" s="30"/>
      <c r="F690" s="27"/>
      <c r="I690" s="27"/>
    </row>
    <row r="691" spans="5:9" x14ac:dyDescent="0.2">
      <c r="E691" s="30"/>
      <c r="F691" s="27"/>
      <c r="I691" s="27"/>
    </row>
    <row r="692" spans="5:9" x14ac:dyDescent="0.2">
      <c r="E692" s="30"/>
      <c r="F692" s="27"/>
      <c r="I692" s="27"/>
    </row>
    <row r="693" spans="5:9" x14ac:dyDescent="0.2">
      <c r="E693" s="30"/>
      <c r="F693" s="27"/>
      <c r="I693" s="27"/>
    </row>
    <row r="694" spans="5:9" x14ac:dyDescent="0.2">
      <c r="E694" s="30"/>
      <c r="F694" s="27"/>
      <c r="I694" s="27"/>
    </row>
    <row r="695" spans="5:9" x14ac:dyDescent="0.2">
      <c r="E695" s="30"/>
      <c r="F695" s="27"/>
      <c r="I695" s="27"/>
    </row>
    <row r="696" spans="5:9" x14ac:dyDescent="0.2">
      <c r="E696" s="30"/>
      <c r="F696" s="27"/>
      <c r="I696" s="27"/>
    </row>
    <row r="697" spans="5:9" x14ac:dyDescent="0.2">
      <c r="E697" s="30"/>
      <c r="F697" s="27"/>
      <c r="I697" s="27"/>
    </row>
    <row r="698" spans="5:9" x14ac:dyDescent="0.2">
      <c r="E698" s="30"/>
      <c r="F698" s="27"/>
      <c r="I698" s="27"/>
    </row>
    <row r="699" spans="5:9" x14ac:dyDescent="0.2">
      <c r="E699" s="30"/>
      <c r="F699" s="27"/>
      <c r="I699" s="27"/>
    </row>
    <row r="700" spans="5:9" x14ac:dyDescent="0.2">
      <c r="E700" s="30"/>
      <c r="F700" s="27"/>
      <c r="I700" s="27"/>
    </row>
    <row r="701" spans="5:9" x14ac:dyDescent="0.2">
      <c r="E701" s="30"/>
      <c r="F701" s="27"/>
      <c r="I701" s="27"/>
    </row>
    <row r="702" spans="5:9" x14ac:dyDescent="0.2">
      <c r="E702" s="30"/>
      <c r="F702" s="27"/>
      <c r="I702" s="27"/>
    </row>
    <row r="703" spans="5:9" x14ac:dyDescent="0.2">
      <c r="E703" s="30"/>
      <c r="F703" s="27"/>
      <c r="I703" s="27"/>
    </row>
    <row r="704" spans="5:9" x14ac:dyDescent="0.2">
      <c r="E704" s="30"/>
      <c r="F704" s="27"/>
      <c r="I704" s="27"/>
    </row>
    <row r="705" spans="5:9" x14ac:dyDescent="0.2">
      <c r="E705" s="30"/>
      <c r="F705" s="27"/>
      <c r="I705" s="27"/>
    </row>
    <row r="706" spans="5:9" x14ac:dyDescent="0.2">
      <c r="E706" s="30"/>
      <c r="F706" s="27"/>
      <c r="I706" s="27"/>
    </row>
    <row r="707" spans="5:9" x14ac:dyDescent="0.2">
      <c r="E707" s="30"/>
      <c r="F707" s="27"/>
      <c r="I707" s="27"/>
    </row>
    <row r="708" spans="5:9" x14ac:dyDescent="0.2">
      <c r="E708" s="30"/>
      <c r="F708" s="27"/>
      <c r="I708" s="27"/>
    </row>
    <row r="709" spans="5:9" x14ac:dyDescent="0.2">
      <c r="E709" s="30"/>
      <c r="F709" s="27"/>
      <c r="I709" s="27"/>
    </row>
    <row r="710" spans="5:9" x14ac:dyDescent="0.2">
      <c r="E710" s="30"/>
      <c r="F710" s="27"/>
      <c r="I710" s="27"/>
    </row>
    <row r="711" spans="5:9" x14ac:dyDescent="0.2">
      <c r="E711" s="30"/>
      <c r="F711" s="27"/>
      <c r="I711" s="27"/>
    </row>
    <row r="712" spans="5:9" x14ac:dyDescent="0.2">
      <c r="E712" s="30"/>
      <c r="F712" s="27"/>
      <c r="I712" s="27"/>
    </row>
    <row r="713" spans="5:9" x14ac:dyDescent="0.2">
      <c r="E713" s="30"/>
      <c r="F713" s="27"/>
      <c r="I713" s="27"/>
    </row>
    <row r="714" spans="5:9" x14ac:dyDescent="0.2">
      <c r="E714" s="30"/>
      <c r="F714" s="27"/>
      <c r="I714" s="27"/>
    </row>
    <row r="715" spans="5:9" x14ac:dyDescent="0.2">
      <c r="E715" s="30"/>
      <c r="F715" s="27"/>
      <c r="I715" s="27"/>
    </row>
    <row r="716" spans="5:9" x14ac:dyDescent="0.2">
      <c r="E716" s="30"/>
      <c r="F716" s="27"/>
      <c r="I716" s="27"/>
    </row>
    <row r="717" spans="5:9" x14ac:dyDescent="0.2">
      <c r="E717" s="30"/>
      <c r="F717" s="27"/>
      <c r="I717" s="27"/>
    </row>
    <row r="718" spans="5:9" x14ac:dyDescent="0.2">
      <c r="E718" s="30"/>
      <c r="F718" s="27"/>
      <c r="I718" s="27"/>
    </row>
    <row r="719" spans="5:9" x14ac:dyDescent="0.2">
      <c r="E719" s="30"/>
      <c r="F719" s="27"/>
      <c r="I719" s="27"/>
    </row>
    <row r="720" spans="5:9" x14ac:dyDescent="0.2">
      <c r="E720" s="30"/>
      <c r="F720" s="27"/>
      <c r="I720" s="27"/>
    </row>
    <row r="721" spans="5:9" x14ac:dyDescent="0.2">
      <c r="E721" s="30"/>
      <c r="F721" s="27"/>
      <c r="I721" s="27"/>
    </row>
    <row r="722" spans="5:9" x14ac:dyDescent="0.2">
      <c r="E722" s="30"/>
      <c r="F722" s="27"/>
      <c r="I722" s="27"/>
    </row>
    <row r="723" spans="5:9" x14ac:dyDescent="0.2">
      <c r="E723" s="30"/>
      <c r="F723" s="27"/>
      <c r="I723" s="27"/>
    </row>
    <row r="724" spans="5:9" x14ac:dyDescent="0.2">
      <c r="E724" s="30"/>
      <c r="F724" s="27"/>
      <c r="I724" s="27"/>
    </row>
    <row r="725" spans="5:9" x14ac:dyDescent="0.2">
      <c r="E725" s="30"/>
      <c r="F725" s="27"/>
      <c r="I725" s="27"/>
    </row>
    <row r="726" spans="5:9" x14ac:dyDescent="0.2">
      <c r="E726" s="30"/>
      <c r="F726" s="27"/>
      <c r="I726" s="27"/>
    </row>
    <row r="727" spans="5:9" x14ac:dyDescent="0.2">
      <c r="E727" s="30"/>
      <c r="F727" s="27"/>
      <c r="I727" s="27"/>
    </row>
    <row r="728" spans="5:9" x14ac:dyDescent="0.2">
      <c r="E728" s="30"/>
      <c r="F728" s="27"/>
      <c r="I728" s="27"/>
    </row>
    <row r="729" spans="5:9" x14ac:dyDescent="0.2">
      <c r="E729" s="30"/>
      <c r="F729" s="27"/>
      <c r="I729" s="27"/>
    </row>
    <row r="730" spans="5:9" x14ac:dyDescent="0.2">
      <c r="E730" s="30"/>
      <c r="F730" s="27"/>
      <c r="I730" s="27"/>
    </row>
    <row r="731" spans="5:9" x14ac:dyDescent="0.2">
      <c r="E731" s="30"/>
      <c r="F731" s="27"/>
      <c r="I731" s="27"/>
    </row>
    <row r="732" spans="5:9" x14ac:dyDescent="0.2">
      <c r="E732" s="30"/>
      <c r="F732" s="27"/>
      <c r="I732" s="27"/>
    </row>
    <row r="733" spans="5:9" x14ac:dyDescent="0.2">
      <c r="E733" s="30"/>
      <c r="F733" s="27"/>
      <c r="I733" s="27"/>
    </row>
    <row r="734" spans="5:9" x14ac:dyDescent="0.2">
      <c r="E734" s="30"/>
      <c r="F734" s="27"/>
      <c r="I734" s="27"/>
    </row>
    <row r="735" spans="5:9" x14ac:dyDescent="0.2">
      <c r="E735" s="30"/>
      <c r="F735" s="27"/>
      <c r="I735" s="27"/>
    </row>
    <row r="736" spans="5:9" x14ac:dyDescent="0.2">
      <c r="E736" s="30"/>
      <c r="F736" s="27"/>
      <c r="I736" s="27"/>
    </row>
    <row r="737" spans="5:9" x14ac:dyDescent="0.2">
      <c r="E737" s="30"/>
      <c r="F737" s="27"/>
      <c r="I737" s="27"/>
    </row>
    <row r="738" spans="5:9" x14ac:dyDescent="0.2">
      <c r="E738" s="30"/>
      <c r="F738" s="27"/>
      <c r="I738" s="27"/>
    </row>
    <row r="739" spans="5:9" x14ac:dyDescent="0.2">
      <c r="E739" s="30"/>
      <c r="F739" s="27"/>
      <c r="I739" s="27"/>
    </row>
    <row r="740" spans="5:9" x14ac:dyDescent="0.2">
      <c r="E740" s="30"/>
      <c r="F740" s="27"/>
      <c r="I740" s="27"/>
    </row>
    <row r="741" spans="5:9" x14ac:dyDescent="0.2">
      <c r="E741" s="30"/>
      <c r="F741" s="27"/>
      <c r="I741" s="27"/>
    </row>
    <row r="742" spans="5:9" x14ac:dyDescent="0.2">
      <c r="E742" s="30"/>
      <c r="F742" s="27"/>
      <c r="I742" s="27"/>
    </row>
    <row r="743" spans="5:9" x14ac:dyDescent="0.2">
      <c r="E743" s="30"/>
      <c r="F743" s="27"/>
      <c r="I743" s="27"/>
    </row>
    <row r="744" spans="5:9" x14ac:dyDescent="0.2">
      <c r="E744" s="30"/>
      <c r="F744" s="27"/>
      <c r="I744" s="27"/>
    </row>
    <row r="745" spans="5:9" x14ac:dyDescent="0.2">
      <c r="E745" s="30"/>
      <c r="F745" s="27"/>
      <c r="I745" s="27"/>
    </row>
    <row r="746" spans="5:9" x14ac:dyDescent="0.2">
      <c r="E746" s="30"/>
      <c r="F746" s="27"/>
      <c r="I746" s="27"/>
    </row>
    <row r="747" spans="5:9" x14ac:dyDescent="0.2">
      <c r="E747" s="30"/>
      <c r="F747" s="27"/>
      <c r="I747" s="27"/>
    </row>
    <row r="748" spans="5:9" x14ac:dyDescent="0.2">
      <c r="E748" s="30"/>
      <c r="F748" s="27"/>
      <c r="I748" s="27"/>
    </row>
    <row r="749" spans="5:9" x14ac:dyDescent="0.2">
      <c r="E749" s="30"/>
      <c r="F749" s="27"/>
      <c r="I749" s="27"/>
    </row>
    <row r="750" spans="5:9" x14ac:dyDescent="0.2">
      <c r="E750" s="30"/>
      <c r="F750" s="27"/>
      <c r="I750" s="27"/>
    </row>
    <row r="751" spans="5:9" x14ac:dyDescent="0.2">
      <c r="E751" s="30"/>
      <c r="F751" s="27"/>
      <c r="I751" s="27"/>
    </row>
    <row r="752" spans="5:9" x14ac:dyDescent="0.2">
      <c r="E752" s="30"/>
      <c r="F752" s="27"/>
      <c r="I752" s="27"/>
    </row>
    <row r="753" spans="5:9" x14ac:dyDescent="0.2">
      <c r="E753" s="30"/>
      <c r="F753" s="27"/>
      <c r="I753" s="27"/>
    </row>
    <row r="754" spans="5:9" x14ac:dyDescent="0.2">
      <c r="E754" s="30"/>
      <c r="F754" s="27"/>
      <c r="I754" s="27"/>
    </row>
    <row r="755" spans="5:9" x14ac:dyDescent="0.2">
      <c r="E755" s="30"/>
      <c r="F755" s="27"/>
      <c r="I755" s="27"/>
    </row>
    <row r="756" spans="5:9" x14ac:dyDescent="0.2">
      <c r="E756" s="30"/>
      <c r="F756" s="27"/>
      <c r="I756" s="27"/>
    </row>
    <row r="757" spans="5:9" x14ac:dyDescent="0.2">
      <c r="E757" s="30"/>
      <c r="F757" s="27"/>
      <c r="I757" s="27"/>
    </row>
    <row r="758" spans="5:9" x14ac:dyDescent="0.2">
      <c r="E758" s="30"/>
      <c r="F758" s="27"/>
      <c r="I758" s="27"/>
    </row>
    <row r="759" spans="5:9" x14ac:dyDescent="0.2">
      <c r="E759" s="30"/>
      <c r="F759" s="27"/>
      <c r="I759" s="27"/>
    </row>
    <row r="760" spans="5:9" x14ac:dyDescent="0.2">
      <c r="E760" s="30"/>
      <c r="F760" s="27"/>
      <c r="I760" s="27"/>
    </row>
    <row r="761" spans="5:9" x14ac:dyDescent="0.2">
      <c r="E761" s="30"/>
      <c r="F761" s="27"/>
      <c r="I761" s="27"/>
    </row>
    <row r="762" spans="5:9" x14ac:dyDescent="0.2">
      <c r="E762" s="30"/>
      <c r="F762" s="27"/>
      <c r="I762" s="27"/>
    </row>
    <row r="763" spans="5:9" x14ac:dyDescent="0.2">
      <c r="E763" s="30"/>
      <c r="F763" s="27"/>
      <c r="I763" s="27"/>
    </row>
    <row r="764" spans="5:9" x14ac:dyDescent="0.2">
      <c r="E764" s="30"/>
      <c r="F764" s="27"/>
      <c r="I764" s="27"/>
    </row>
    <row r="765" spans="5:9" x14ac:dyDescent="0.2">
      <c r="E765" s="30"/>
      <c r="F765" s="27"/>
      <c r="I765" s="27"/>
    </row>
    <row r="766" spans="5:9" x14ac:dyDescent="0.2">
      <c r="E766" s="30"/>
      <c r="F766" s="27"/>
      <c r="I766" s="27"/>
    </row>
    <row r="767" spans="5:9" x14ac:dyDescent="0.2">
      <c r="E767" s="30"/>
      <c r="F767" s="27"/>
      <c r="I767" s="27"/>
    </row>
    <row r="768" spans="5:9" x14ac:dyDescent="0.2">
      <c r="E768" s="30"/>
      <c r="F768" s="27"/>
      <c r="I768" s="27"/>
    </row>
    <row r="769" spans="5:9" x14ac:dyDescent="0.2">
      <c r="E769" s="30"/>
      <c r="F769" s="27"/>
      <c r="I769" s="27"/>
    </row>
    <row r="770" spans="5:9" x14ac:dyDescent="0.2">
      <c r="E770" s="30"/>
      <c r="F770" s="27"/>
      <c r="I770" s="27"/>
    </row>
    <row r="771" spans="5:9" x14ac:dyDescent="0.2">
      <c r="E771" s="30"/>
      <c r="F771" s="27"/>
      <c r="I771" s="27"/>
    </row>
    <row r="772" spans="5:9" x14ac:dyDescent="0.2">
      <c r="E772" s="30"/>
      <c r="F772" s="27"/>
      <c r="I772" s="27"/>
    </row>
    <row r="773" spans="5:9" x14ac:dyDescent="0.2">
      <c r="E773" s="30"/>
      <c r="F773" s="27"/>
      <c r="I773" s="27"/>
    </row>
    <row r="774" spans="5:9" x14ac:dyDescent="0.2">
      <c r="E774" s="30"/>
      <c r="F774" s="27"/>
      <c r="I774" s="27"/>
    </row>
    <row r="775" spans="5:9" x14ac:dyDescent="0.2">
      <c r="E775" s="30"/>
      <c r="F775" s="27"/>
      <c r="I775" s="27"/>
    </row>
    <row r="776" spans="5:9" x14ac:dyDescent="0.2">
      <c r="E776" s="30"/>
      <c r="F776" s="27"/>
      <c r="I776" s="27"/>
    </row>
    <row r="777" spans="5:9" x14ac:dyDescent="0.2">
      <c r="E777" s="30"/>
      <c r="F777" s="27"/>
      <c r="I777" s="27"/>
    </row>
    <row r="778" spans="5:9" x14ac:dyDescent="0.2">
      <c r="E778" s="30"/>
      <c r="F778" s="27"/>
      <c r="I778" s="27"/>
    </row>
    <row r="779" spans="5:9" x14ac:dyDescent="0.2">
      <c r="E779" s="30"/>
      <c r="F779" s="27"/>
      <c r="I779" s="27"/>
    </row>
    <row r="780" spans="5:9" x14ac:dyDescent="0.2">
      <c r="E780" s="30"/>
      <c r="F780" s="27"/>
      <c r="I780" s="27"/>
    </row>
    <row r="781" spans="5:9" x14ac:dyDescent="0.2">
      <c r="E781" s="30"/>
      <c r="F781" s="27"/>
      <c r="I781" s="27"/>
    </row>
    <row r="782" spans="5:9" x14ac:dyDescent="0.2">
      <c r="E782" s="30"/>
      <c r="F782" s="27"/>
      <c r="I782" s="27"/>
    </row>
    <row r="783" spans="5:9" x14ac:dyDescent="0.2">
      <c r="E783" s="30"/>
      <c r="F783" s="27"/>
      <c r="I783" s="27"/>
    </row>
    <row r="784" spans="5:9" x14ac:dyDescent="0.2">
      <c r="E784" s="30"/>
      <c r="F784" s="27"/>
      <c r="I784" s="27"/>
    </row>
    <row r="785" spans="5:9" x14ac:dyDescent="0.2">
      <c r="E785" s="30"/>
      <c r="F785" s="27"/>
      <c r="I785" s="27"/>
    </row>
    <row r="786" spans="5:9" x14ac:dyDescent="0.2">
      <c r="E786" s="30"/>
      <c r="F786" s="27"/>
      <c r="I786" s="27"/>
    </row>
    <row r="787" spans="5:9" x14ac:dyDescent="0.2">
      <c r="E787" s="30"/>
      <c r="F787" s="27"/>
      <c r="I787" s="27"/>
    </row>
    <row r="788" spans="5:9" x14ac:dyDescent="0.2">
      <c r="E788" s="30"/>
      <c r="F788" s="27"/>
      <c r="I788" s="27"/>
    </row>
    <row r="789" spans="5:9" x14ac:dyDescent="0.2">
      <c r="E789" s="30"/>
      <c r="F789" s="27"/>
      <c r="I789" s="27"/>
    </row>
    <row r="790" spans="5:9" x14ac:dyDescent="0.2">
      <c r="E790" s="30"/>
      <c r="F790" s="27"/>
      <c r="I790" s="27"/>
    </row>
    <row r="791" spans="5:9" x14ac:dyDescent="0.2">
      <c r="E791" s="30"/>
      <c r="F791" s="27"/>
      <c r="I791" s="27"/>
    </row>
    <row r="792" spans="5:9" x14ac:dyDescent="0.2">
      <c r="E792" s="30"/>
      <c r="F792" s="27"/>
      <c r="I792" s="27"/>
    </row>
    <row r="793" spans="5:9" x14ac:dyDescent="0.2">
      <c r="E793" s="30"/>
      <c r="F793" s="27"/>
      <c r="I793" s="27"/>
    </row>
    <row r="794" spans="5:9" x14ac:dyDescent="0.2">
      <c r="E794" s="30"/>
      <c r="F794" s="27"/>
      <c r="I794" s="27"/>
    </row>
    <row r="795" spans="5:9" x14ac:dyDescent="0.2">
      <c r="E795" s="30"/>
      <c r="F795" s="27"/>
      <c r="I795" s="27"/>
    </row>
    <row r="796" spans="5:9" x14ac:dyDescent="0.2">
      <c r="E796" s="30"/>
      <c r="F796" s="27"/>
      <c r="I796" s="27"/>
    </row>
    <row r="797" spans="5:9" x14ac:dyDescent="0.2">
      <c r="E797" s="30"/>
      <c r="F797" s="27"/>
      <c r="I797" s="27"/>
    </row>
    <row r="798" spans="5:9" x14ac:dyDescent="0.2">
      <c r="E798" s="30"/>
      <c r="F798" s="27"/>
      <c r="I798" s="27"/>
    </row>
    <row r="799" spans="5:9" x14ac:dyDescent="0.2">
      <c r="E799" s="30"/>
      <c r="F799" s="27"/>
      <c r="I799" s="27"/>
    </row>
    <row r="800" spans="5:9" x14ac:dyDescent="0.2">
      <c r="E800" s="30"/>
      <c r="F800" s="27"/>
      <c r="I800" s="27"/>
    </row>
    <row r="801" spans="5:9" x14ac:dyDescent="0.2">
      <c r="E801" s="30"/>
      <c r="F801" s="27"/>
      <c r="I801" s="27"/>
    </row>
    <row r="802" spans="5:9" x14ac:dyDescent="0.2">
      <c r="E802" s="30"/>
      <c r="F802" s="27"/>
      <c r="I802" s="27"/>
    </row>
    <row r="803" spans="5:9" x14ac:dyDescent="0.2">
      <c r="E803" s="30"/>
      <c r="F803" s="27"/>
      <c r="I803" s="27"/>
    </row>
    <row r="804" spans="5:9" x14ac:dyDescent="0.2">
      <c r="E804" s="30"/>
      <c r="F804" s="27"/>
      <c r="I804" s="27"/>
    </row>
    <row r="805" spans="5:9" x14ac:dyDescent="0.2">
      <c r="E805" s="30"/>
      <c r="F805" s="27"/>
      <c r="I805" s="27"/>
    </row>
    <row r="806" spans="5:9" x14ac:dyDescent="0.2">
      <c r="E806" s="30"/>
      <c r="F806" s="27"/>
      <c r="I806" s="27"/>
    </row>
    <row r="807" spans="5:9" x14ac:dyDescent="0.2">
      <c r="E807" s="30"/>
      <c r="F807" s="27"/>
      <c r="I807" s="27"/>
    </row>
    <row r="808" spans="5:9" x14ac:dyDescent="0.2">
      <c r="E808" s="30"/>
      <c r="F808" s="27"/>
      <c r="I808" s="27"/>
    </row>
    <row r="809" spans="5:9" x14ac:dyDescent="0.2">
      <c r="E809" s="30"/>
      <c r="F809" s="27"/>
      <c r="I809" s="27"/>
    </row>
    <row r="810" spans="5:9" x14ac:dyDescent="0.2">
      <c r="E810" s="30"/>
      <c r="F810" s="27"/>
      <c r="I810" s="27"/>
    </row>
    <row r="811" spans="5:9" x14ac:dyDescent="0.2">
      <c r="E811" s="30"/>
      <c r="F811" s="27"/>
      <c r="I811" s="27"/>
    </row>
    <row r="812" spans="5:9" x14ac:dyDescent="0.2">
      <c r="E812" s="30"/>
      <c r="F812" s="27"/>
      <c r="I812" s="27"/>
    </row>
    <row r="813" spans="5:9" x14ac:dyDescent="0.2">
      <c r="E813" s="30"/>
      <c r="F813" s="27"/>
      <c r="I813" s="27"/>
    </row>
    <row r="814" spans="5:9" x14ac:dyDescent="0.2">
      <c r="E814" s="30"/>
      <c r="F814" s="27"/>
      <c r="I814" s="27"/>
    </row>
    <row r="815" spans="5:9" x14ac:dyDescent="0.2">
      <c r="E815" s="30"/>
      <c r="F815" s="27"/>
      <c r="I815" s="27"/>
    </row>
    <row r="816" spans="5:9" x14ac:dyDescent="0.2">
      <c r="E816" s="30"/>
      <c r="F816" s="27"/>
      <c r="I816" s="27"/>
    </row>
    <row r="817" spans="5:9" x14ac:dyDescent="0.2">
      <c r="E817" s="30"/>
      <c r="F817" s="27"/>
      <c r="I817" s="27"/>
    </row>
    <row r="818" spans="5:9" x14ac:dyDescent="0.2">
      <c r="E818" s="30"/>
      <c r="F818" s="27"/>
      <c r="I818" s="27"/>
    </row>
    <row r="819" spans="5:9" x14ac:dyDescent="0.2">
      <c r="E819" s="30"/>
      <c r="F819" s="27"/>
      <c r="I819" s="27"/>
    </row>
    <row r="820" spans="5:9" x14ac:dyDescent="0.2">
      <c r="E820" s="30"/>
      <c r="F820" s="27"/>
      <c r="I820" s="27"/>
    </row>
    <row r="821" spans="5:9" x14ac:dyDescent="0.2">
      <c r="E821" s="30"/>
      <c r="F821" s="27"/>
      <c r="I821" s="27"/>
    </row>
    <row r="822" spans="5:9" x14ac:dyDescent="0.2">
      <c r="E822" s="30"/>
      <c r="F822" s="27"/>
      <c r="I822" s="27"/>
    </row>
    <row r="823" spans="5:9" x14ac:dyDescent="0.2">
      <c r="E823" s="30"/>
      <c r="F823" s="27"/>
      <c r="I823" s="27"/>
    </row>
    <row r="824" spans="5:9" x14ac:dyDescent="0.2">
      <c r="E824" s="30"/>
      <c r="F824" s="27"/>
      <c r="I824" s="27"/>
    </row>
    <row r="825" spans="5:9" x14ac:dyDescent="0.2">
      <c r="E825" s="30"/>
      <c r="F825" s="27"/>
      <c r="I825" s="27"/>
    </row>
    <row r="826" spans="5:9" x14ac:dyDescent="0.2">
      <c r="E826" s="30"/>
      <c r="F826" s="27"/>
      <c r="I826" s="27"/>
    </row>
    <row r="827" spans="5:9" x14ac:dyDescent="0.2">
      <c r="E827" s="30"/>
      <c r="F827" s="27"/>
      <c r="I827" s="27"/>
    </row>
    <row r="828" spans="5:9" x14ac:dyDescent="0.2">
      <c r="E828" s="30"/>
      <c r="F828" s="27"/>
      <c r="I828" s="27"/>
    </row>
    <row r="829" spans="5:9" x14ac:dyDescent="0.2">
      <c r="E829" s="30"/>
      <c r="F829" s="27"/>
      <c r="I829" s="27"/>
    </row>
    <row r="830" spans="5:9" x14ac:dyDescent="0.2">
      <c r="E830" s="30"/>
      <c r="F830" s="27"/>
      <c r="I830" s="27"/>
    </row>
    <row r="831" spans="5:9" x14ac:dyDescent="0.2">
      <c r="E831" s="30"/>
      <c r="F831" s="27"/>
      <c r="I831" s="27"/>
    </row>
    <row r="832" spans="5:9" x14ac:dyDescent="0.2">
      <c r="E832" s="30"/>
      <c r="F832" s="27"/>
      <c r="I832" s="27"/>
    </row>
    <row r="833" spans="5:9" x14ac:dyDescent="0.2">
      <c r="E833" s="30"/>
      <c r="F833" s="27"/>
      <c r="I833" s="27"/>
    </row>
    <row r="834" spans="5:9" x14ac:dyDescent="0.2">
      <c r="E834" s="30"/>
      <c r="F834" s="27"/>
      <c r="I834" s="27"/>
    </row>
    <row r="835" spans="5:9" x14ac:dyDescent="0.2">
      <c r="E835" s="30"/>
      <c r="F835" s="27"/>
      <c r="I835" s="27"/>
    </row>
    <row r="836" spans="5:9" x14ac:dyDescent="0.2">
      <c r="E836" s="30"/>
      <c r="F836" s="27"/>
      <c r="I836" s="27"/>
    </row>
    <row r="837" spans="5:9" x14ac:dyDescent="0.2">
      <c r="E837" s="30"/>
      <c r="F837" s="27"/>
      <c r="I837" s="27"/>
    </row>
    <row r="838" spans="5:9" x14ac:dyDescent="0.2">
      <c r="E838" s="30"/>
      <c r="F838" s="27"/>
      <c r="I838" s="27"/>
    </row>
    <row r="839" spans="5:9" x14ac:dyDescent="0.2">
      <c r="E839" s="30"/>
      <c r="F839" s="27"/>
      <c r="I839" s="27"/>
    </row>
    <row r="840" spans="5:9" x14ac:dyDescent="0.2">
      <c r="E840" s="30"/>
      <c r="F840" s="27"/>
      <c r="I840" s="27"/>
    </row>
    <row r="841" spans="5:9" x14ac:dyDescent="0.2">
      <c r="E841" s="30"/>
      <c r="F841" s="27"/>
      <c r="I841" s="27"/>
    </row>
    <row r="842" spans="5:9" x14ac:dyDescent="0.2">
      <c r="E842" s="30"/>
      <c r="F842" s="27"/>
      <c r="I842" s="27"/>
    </row>
    <row r="843" spans="5:9" x14ac:dyDescent="0.2">
      <c r="E843" s="30"/>
      <c r="F843" s="27"/>
      <c r="I843" s="27"/>
    </row>
    <row r="844" spans="5:9" x14ac:dyDescent="0.2">
      <c r="E844" s="30"/>
      <c r="F844" s="27"/>
      <c r="I844" s="27"/>
    </row>
    <row r="845" spans="5:9" x14ac:dyDescent="0.2">
      <c r="E845" s="30"/>
      <c r="F845" s="27"/>
      <c r="I845" s="27"/>
    </row>
    <row r="846" spans="5:9" x14ac:dyDescent="0.2">
      <c r="E846" s="30"/>
      <c r="F846" s="27"/>
      <c r="I846" s="27"/>
    </row>
    <row r="847" spans="5:9" x14ac:dyDescent="0.2">
      <c r="E847" s="30"/>
      <c r="F847" s="27"/>
      <c r="I847" s="27"/>
    </row>
    <row r="848" spans="5:9" x14ac:dyDescent="0.2">
      <c r="E848" s="30"/>
      <c r="F848" s="27"/>
      <c r="I848" s="27"/>
    </row>
    <row r="849" spans="5:9" x14ac:dyDescent="0.2">
      <c r="E849" s="30"/>
      <c r="F849" s="27"/>
      <c r="I849" s="27"/>
    </row>
    <row r="850" spans="5:9" x14ac:dyDescent="0.2">
      <c r="E850" s="30"/>
      <c r="F850" s="27"/>
      <c r="I850" s="27"/>
    </row>
    <row r="851" spans="5:9" x14ac:dyDescent="0.2">
      <c r="E851" s="30"/>
      <c r="F851" s="27"/>
      <c r="I851" s="27"/>
    </row>
    <row r="852" spans="5:9" x14ac:dyDescent="0.2">
      <c r="E852" s="30"/>
      <c r="F852" s="27"/>
      <c r="I852" s="27"/>
    </row>
    <row r="853" spans="5:9" x14ac:dyDescent="0.2">
      <c r="E853" s="30"/>
      <c r="F853" s="27"/>
      <c r="I853" s="27"/>
    </row>
    <row r="854" spans="5:9" x14ac:dyDescent="0.2">
      <c r="E854" s="30"/>
      <c r="F854" s="27"/>
      <c r="I854" s="27"/>
    </row>
    <row r="855" spans="5:9" x14ac:dyDescent="0.2">
      <c r="E855" s="30"/>
      <c r="F855" s="27"/>
      <c r="I855" s="27"/>
    </row>
    <row r="856" spans="5:9" x14ac:dyDescent="0.2">
      <c r="E856" s="30"/>
      <c r="F856" s="27"/>
      <c r="I856" s="27"/>
    </row>
    <row r="857" spans="5:9" x14ac:dyDescent="0.2">
      <c r="E857" s="30"/>
      <c r="F857" s="27"/>
      <c r="I857" s="27"/>
    </row>
    <row r="858" spans="5:9" x14ac:dyDescent="0.2">
      <c r="E858" s="30"/>
      <c r="F858" s="27"/>
      <c r="I858" s="27"/>
    </row>
    <row r="859" spans="5:9" x14ac:dyDescent="0.2">
      <c r="E859" s="30"/>
      <c r="F859" s="27"/>
      <c r="I859" s="27"/>
    </row>
    <row r="860" spans="5:9" x14ac:dyDescent="0.2">
      <c r="E860" s="30"/>
      <c r="F860" s="27"/>
      <c r="I860" s="27"/>
    </row>
    <row r="861" spans="5:9" x14ac:dyDescent="0.2">
      <c r="E861" s="30"/>
      <c r="F861" s="27"/>
      <c r="I861" s="27"/>
    </row>
    <row r="862" spans="5:9" x14ac:dyDescent="0.2">
      <c r="E862" s="30"/>
      <c r="F862" s="27"/>
      <c r="I862" s="27"/>
    </row>
    <row r="863" spans="5:9" x14ac:dyDescent="0.2">
      <c r="E863" s="30"/>
      <c r="F863" s="27"/>
      <c r="I863" s="27"/>
    </row>
    <row r="864" spans="5:9" x14ac:dyDescent="0.2">
      <c r="E864" s="30"/>
      <c r="F864" s="27"/>
      <c r="I864" s="27"/>
    </row>
    <row r="865" spans="5:9" x14ac:dyDescent="0.2">
      <c r="E865" s="30"/>
      <c r="F865" s="27"/>
      <c r="I865" s="27"/>
    </row>
    <row r="866" spans="5:9" x14ac:dyDescent="0.2">
      <c r="E866" s="30"/>
      <c r="F866" s="27"/>
      <c r="I866" s="27"/>
    </row>
    <row r="867" spans="5:9" x14ac:dyDescent="0.2">
      <c r="E867" s="30"/>
      <c r="F867" s="27"/>
      <c r="I867" s="27"/>
    </row>
    <row r="868" spans="5:9" x14ac:dyDescent="0.2">
      <c r="E868" s="30"/>
      <c r="F868" s="27"/>
      <c r="I868" s="27"/>
    </row>
    <row r="869" spans="5:9" x14ac:dyDescent="0.2">
      <c r="E869" s="30"/>
      <c r="F869" s="27"/>
      <c r="I869" s="27"/>
    </row>
    <row r="870" spans="5:9" x14ac:dyDescent="0.2">
      <c r="E870" s="30"/>
      <c r="F870" s="27"/>
      <c r="I870" s="27"/>
    </row>
    <row r="871" spans="5:9" x14ac:dyDescent="0.2">
      <c r="E871" s="30"/>
      <c r="F871" s="27"/>
      <c r="I871" s="27"/>
    </row>
    <row r="872" spans="5:9" x14ac:dyDescent="0.2">
      <c r="E872" s="30"/>
      <c r="F872" s="27"/>
      <c r="I872" s="27"/>
    </row>
    <row r="873" spans="5:9" x14ac:dyDescent="0.2">
      <c r="E873" s="30"/>
      <c r="F873" s="27"/>
      <c r="I873" s="27"/>
    </row>
    <row r="874" spans="5:9" x14ac:dyDescent="0.2">
      <c r="E874" s="30"/>
      <c r="F874" s="27"/>
      <c r="I874" s="27"/>
    </row>
    <row r="875" spans="5:9" x14ac:dyDescent="0.2">
      <c r="E875" s="30"/>
      <c r="F875" s="27"/>
      <c r="I875" s="27"/>
    </row>
    <row r="876" spans="5:9" x14ac:dyDescent="0.2">
      <c r="E876" s="30"/>
      <c r="F876" s="27"/>
      <c r="I876" s="27"/>
    </row>
    <row r="877" spans="5:9" x14ac:dyDescent="0.2">
      <c r="E877" s="30"/>
      <c r="F877" s="27"/>
      <c r="I877" s="27"/>
    </row>
    <row r="878" spans="5:9" x14ac:dyDescent="0.2">
      <c r="E878" s="30"/>
      <c r="F878" s="27"/>
      <c r="I878" s="27"/>
    </row>
    <row r="879" spans="5:9" x14ac:dyDescent="0.2">
      <c r="E879" s="30"/>
      <c r="F879" s="27"/>
      <c r="I879" s="27"/>
    </row>
    <row r="880" spans="5:9" x14ac:dyDescent="0.2">
      <c r="E880" s="30"/>
      <c r="F880" s="27"/>
      <c r="I880" s="27"/>
    </row>
    <row r="881" spans="5:9" x14ac:dyDescent="0.2">
      <c r="E881" s="30"/>
      <c r="F881" s="27"/>
      <c r="I881" s="27"/>
    </row>
    <row r="882" spans="5:9" x14ac:dyDescent="0.2">
      <c r="E882" s="30"/>
      <c r="F882" s="27"/>
      <c r="I882" s="27"/>
    </row>
    <row r="883" spans="5:9" x14ac:dyDescent="0.2">
      <c r="E883" s="30"/>
      <c r="F883" s="27"/>
      <c r="I883" s="27"/>
    </row>
    <row r="884" spans="5:9" x14ac:dyDescent="0.2">
      <c r="E884" s="30"/>
      <c r="F884" s="27"/>
      <c r="I884" s="27"/>
    </row>
    <row r="885" spans="5:9" x14ac:dyDescent="0.2">
      <c r="E885" s="30"/>
      <c r="F885" s="27"/>
      <c r="I885" s="27"/>
    </row>
    <row r="886" spans="5:9" x14ac:dyDescent="0.2">
      <c r="E886" s="30"/>
      <c r="F886" s="27"/>
      <c r="I886" s="27"/>
    </row>
    <row r="887" spans="5:9" x14ac:dyDescent="0.2">
      <c r="E887" s="30"/>
      <c r="F887" s="27"/>
      <c r="I887" s="27"/>
    </row>
    <row r="888" spans="5:9" x14ac:dyDescent="0.2">
      <c r="E888" s="30"/>
      <c r="F888" s="27"/>
      <c r="I888" s="27"/>
    </row>
    <row r="889" spans="5:9" x14ac:dyDescent="0.2">
      <c r="E889" s="30"/>
      <c r="F889" s="27"/>
      <c r="I889" s="27"/>
    </row>
    <row r="890" spans="5:9" x14ac:dyDescent="0.2">
      <c r="E890" s="30"/>
      <c r="F890" s="27"/>
      <c r="I890" s="27"/>
    </row>
    <row r="891" spans="5:9" x14ac:dyDescent="0.2">
      <c r="E891" s="30"/>
      <c r="F891" s="27"/>
      <c r="I891" s="27"/>
    </row>
    <row r="892" spans="5:9" x14ac:dyDescent="0.2">
      <c r="E892" s="30"/>
      <c r="F892" s="27"/>
      <c r="I892" s="27"/>
    </row>
    <row r="893" spans="5:9" x14ac:dyDescent="0.2">
      <c r="E893" s="30"/>
      <c r="F893" s="27"/>
      <c r="I893" s="27"/>
    </row>
    <row r="894" spans="5:9" x14ac:dyDescent="0.2">
      <c r="E894" s="30"/>
      <c r="F894" s="27"/>
      <c r="I894" s="27"/>
    </row>
    <row r="895" spans="5:9" x14ac:dyDescent="0.2">
      <c r="E895" s="30"/>
      <c r="F895" s="27"/>
      <c r="I895" s="27"/>
    </row>
    <row r="896" spans="5:9" x14ac:dyDescent="0.2">
      <c r="E896" s="30"/>
      <c r="F896" s="27"/>
      <c r="I896" s="27"/>
    </row>
    <row r="897" spans="5:9" x14ac:dyDescent="0.2">
      <c r="E897" s="30"/>
      <c r="F897" s="27"/>
      <c r="I897" s="27"/>
    </row>
    <row r="898" spans="5:9" x14ac:dyDescent="0.2">
      <c r="E898" s="30"/>
      <c r="F898" s="27"/>
      <c r="I898" s="27"/>
    </row>
    <row r="899" spans="5:9" x14ac:dyDescent="0.2">
      <c r="E899" s="30"/>
      <c r="F899" s="27"/>
      <c r="I899" s="27"/>
    </row>
    <row r="900" spans="5:9" x14ac:dyDescent="0.2">
      <c r="E900" s="30"/>
      <c r="F900" s="27"/>
      <c r="I900" s="27"/>
    </row>
    <row r="901" spans="5:9" x14ac:dyDescent="0.2">
      <c r="E901" s="30"/>
      <c r="F901" s="27"/>
      <c r="I901" s="27"/>
    </row>
    <row r="902" spans="5:9" x14ac:dyDescent="0.2">
      <c r="E902" s="30"/>
      <c r="F902" s="27"/>
      <c r="I902" s="27"/>
    </row>
    <row r="903" spans="5:9" x14ac:dyDescent="0.2">
      <c r="E903" s="30"/>
      <c r="F903" s="27"/>
      <c r="I903" s="27"/>
    </row>
    <row r="904" spans="5:9" x14ac:dyDescent="0.2">
      <c r="E904" s="30"/>
      <c r="F904" s="27"/>
      <c r="I904" s="27"/>
    </row>
    <row r="905" spans="5:9" x14ac:dyDescent="0.2">
      <c r="E905" s="30"/>
      <c r="F905" s="27"/>
      <c r="I905" s="27"/>
    </row>
    <row r="906" spans="5:9" x14ac:dyDescent="0.2">
      <c r="E906" s="30"/>
      <c r="F906" s="27"/>
      <c r="I906" s="27"/>
    </row>
    <row r="907" spans="5:9" x14ac:dyDescent="0.2">
      <c r="E907" s="30"/>
      <c r="F907" s="27"/>
      <c r="I907" s="27"/>
    </row>
    <row r="908" spans="5:9" x14ac:dyDescent="0.2">
      <c r="E908" s="30"/>
      <c r="F908" s="27"/>
      <c r="I908" s="27"/>
    </row>
    <row r="909" spans="5:9" x14ac:dyDescent="0.2">
      <c r="E909" s="30"/>
      <c r="F909" s="27"/>
      <c r="I909" s="27"/>
    </row>
    <row r="910" spans="5:9" x14ac:dyDescent="0.2">
      <c r="E910" s="30"/>
      <c r="F910" s="27"/>
      <c r="I910" s="27"/>
    </row>
    <row r="911" spans="5:9" x14ac:dyDescent="0.2">
      <c r="E911" s="30"/>
      <c r="F911" s="27"/>
      <c r="I911" s="27"/>
    </row>
    <row r="912" spans="5:9" x14ac:dyDescent="0.2">
      <c r="E912" s="30"/>
      <c r="F912" s="27"/>
      <c r="I912" s="27"/>
    </row>
    <row r="913" spans="5:9" x14ac:dyDescent="0.2">
      <c r="E913" s="30"/>
      <c r="F913" s="27"/>
      <c r="I913" s="27"/>
    </row>
    <row r="914" spans="5:9" x14ac:dyDescent="0.2">
      <c r="E914" s="30"/>
      <c r="F914" s="27"/>
      <c r="I914" s="27"/>
    </row>
    <row r="915" spans="5:9" x14ac:dyDescent="0.2">
      <c r="E915" s="30"/>
      <c r="F915" s="27"/>
      <c r="I915" s="27"/>
    </row>
    <row r="916" spans="5:9" x14ac:dyDescent="0.2">
      <c r="E916" s="30"/>
      <c r="F916" s="27"/>
      <c r="I916" s="27"/>
    </row>
    <row r="917" spans="5:9" x14ac:dyDescent="0.2">
      <c r="E917" s="30"/>
      <c r="F917" s="27"/>
      <c r="I917" s="27"/>
    </row>
    <row r="918" spans="5:9" x14ac:dyDescent="0.2">
      <c r="E918" s="30"/>
      <c r="F918" s="27"/>
      <c r="I918" s="27"/>
    </row>
    <row r="919" spans="5:9" x14ac:dyDescent="0.2">
      <c r="E919" s="30"/>
      <c r="F919" s="27"/>
      <c r="I919" s="27"/>
    </row>
    <row r="920" spans="5:9" x14ac:dyDescent="0.2">
      <c r="E920" s="30"/>
      <c r="F920" s="27"/>
      <c r="I920" s="27"/>
    </row>
    <row r="921" spans="5:9" x14ac:dyDescent="0.2">
      <c r="E921" s="30"/>
      <c r="F921" s="27"/>
      <c r="I921" s="27"/>
    </row>
    <row r="922" spans="5:9" x14ac:dyDescent="0.2">
      <c r="E922" s="30"/>
      <c r="F922" s="27"/>
      <c r="I922" s="27"/>
    </row>
    <row r="923" spans="5:9" x14ac:dyDescent="0.2">
      <c r="E923" s="30"/>
      <c r="F923" s="27"/>
      <c r="I923" s="27"/>
    </row>
    <row r="924" spans="5:9" x14ac:dyDescent="0.2">
      <c r="E924" s="30"/>
      <c r="F924" s="27"/>
      <c r="I924" s="27"/>
    </row>
    <row r="925" spans="5:9" x14ac:dyDescent="0.2">
      <c r="E925" s="30"/>
      <c r="F925" s="27"/>
      <c r="I925" s="27"/>
    </row>
    <row r="926" spans="5:9" x14ac:dyDescent="0.2">
      <c r="E926" s="30"/>
      <c r="F926" s="27"/>
      <c r="I926" s="27"/>
    </row>
    <row r="927" spans="5:9" x14ac:dyDescent="0.2">
      <c r="E927" s="30"/>
      <c r="F927" s="27"/>
      <c r="I927" s="27"/>
    </row>
    <row r="928" spans="5:9" x14ac:dyDescent="0.2">
      <c r="E928" s="30"/>
      <c r="F928" s="27"/>
      <c r="I928" s="27"/>
    </row>
    <row r="929" spans="5:9" x14ac:dyDescent="0.2">
      <c r="E929" s="30"/>
      <c r="F929" s="27"/>
      <c r="I929" s="27"/>
    </row>
    <row r="930" spans="5:9" x14ac:dyDescent="0.2">
      <c r="E930" s="30"/>
      <c r="F930" s="27"/>
      <c r="I930" s="27"/>
    </row>
    <row r="931" spans="5:9" x14ac:dyDescent="0.2">
      <c r="E931" s="30"/>
      <c r="F931" s="27"/>
      <c r="I931" s="27"/>
    </row>
    <row r="932" spans="5:9" x14ac:dyDescent="0.2">
      <c r="E932" s="30"/>
      <c r="F932" s="27"/>
      <c r="I932" s="27"/>
    </row>
    <row r="933" spans="5:9" x14ac:dyDescent="0.2">
      <c r="E933" s="30"/>
      <c r="F933" s="27"/>
      <c r="I933" s="27"/>
    </row>
    <row r="934" spans="5:9" x14ac:dyDescent="0.2">
      <c r="E934" s="30"/>
      <c r="F934" s="27"/>
      <c r="I934" s="27"/>
    </row>
    <row r="935" spans="5:9" x14ac:dyDescent="0.2">
      <c r="E935" s="30"/>
      <c r="F935" s="27"/>
      <c r="I935" s="27"/>
    </row>
    <row r="936" spans="5:9" x14ac:dyDescent="0.2">
      <c r="E936" s="30"/>
      <c r="F936" s="27"/>
      <c r="I936" s="27"/>
    </row>
    <row r="937" spans="5:9" x14ac:dyDescent="0.2">
      <c r="E937" s="30"/>
      <c r="F937" s="27"/>
      <c r="I937" s="27"/>
    </row>
    <row r="938" spans="5:9" x14ac:dyDescent="0.2">
      <c r="E938" s="30"/>
      <c r="F938" s="27"/>
      <c r="I938" s="27"/>
    </row>
    <row r="939" spans="5:9" x14ac:dyDescent="0.2">
      <c r="E939" s="30"/>
      <c r="F939" s="27"/>
      <c r="I939" s="27"/>
    </row>
    <row r="940" spans="5:9" x14ac:dyDescent="0.2">
      <c r="E940" s="30"/>
      <c r="F940" s="27"/>
      <c r="I940" s="27"/>
    </row>
    <row r="941" spans="5:9" x14ac:dyDescent="0.2">
      <c r="E941" s="30"/>
      <c r="F941" s="27"/>
      <c r="I941" s="27"/>
    </row>
    <row r="942" spans="5:9" x14ac:dyDescent="0.2">
      <c r="E942" s="30"/>
      <c r="F942" s="27"/>
      <c r="I942" s="27"/>
    </row>
    <row r="943" spans="5:9" x14ac:dyDescent="0.2">
      <c r="E943" s="30"/>
      <c r="F943" s="27"/>
      <c r="I943" s="27"/>
    </row>
    <row r="944" spans="5:9" x14ac:dyDescent="0.2">
      <c r="E944" s="30"/>
      <c r="F944" s="27"/>
      <c r="I944" s="27"/>
    </row>
    <row r="945" spans="5:9" x14ac:dyDescent="0.2">
      <c r="E945" s="30"/>
      <c r="F945" s="27"/>
      <c r="I945" s="27"/>
    </row>
    <row r="946" spans="5:9" x14ac:dyDescent="0.2">
      <c r="E946" s="30"/>
      <c r="F946" s="27"/>
      <c r="I946" s="27"/>
    </row>
    <row r="947" spans="5:9" x14ac:dyDescent="0.2">
      <c r="E947" s="30"/>
      <c r="F947" s="27"/>
      <c r="I947" s="27"/>
    </row>
    <row r="948" spans="5:9" x14ac:dyDescent="0.2">
      <c r="E948" s="30"/>
      <c r="F948" s="27"/>
      <c r="I948" s="27"/>
    </row>
    <row r="949" spans="5:9" x14ac:dyDescent="0.2">
      <c r="E949" s="30"/>
      <c r="F949" s="27"/>
      <c r="I949" s="27"/>
    </row>
    <row r="950" spans="5:9" x14ac:dyDescent="0.2">
      <c r="E950" s="30"/>
      <c r="F950" s="27"/>
      <c r="I950" s="27"/>
    </row>
    <row r="951" spans="5:9" x14ac:dyDescent="0.2">
      <c r="E951" s="30"/>
      <c r="F951" s="27"/>
      <c r="I951" s="27"/>
    </row>
    <row r="952" spans="5:9" x14ac:dyDescent="0.2">
      <c r="E952" s="30"/>
      <c r="F952" s="27"/>
      <c r="I952" s="27"/>
    </row>
    <row r="953" spans="5:9" x14ac:dyDescent="0.2">
      <c r="E953" s="30"/>
      <c r="F953" s="27"/>
      <c r="I953" s="27"/>
    </row>
    <row r="954" spans="5:9" x14ac:dyDescent="0.2">
      <c r="E954" s="30"/>
      <c r="F954" s="27"/>
      <c r="I954" s="27"/>
    </row>
    <row r="955" spans="5:9" x14ac:dyDescent="0.2">
      <c r="E955" s="30"/>
      <c r="F955" s="27"/>
      <c r="I955" s="27"/>
    </row>
    <row r="956" spans="5:9" x14ac:dyDescent="0.2">
      <c r="E956" s="30"/>
      <c r="F956" s="27"/>
      <c r="I956" s="27"/>
    </row>
    <row r="957" spans="5:9" x14ac:dyDescent="0.2">
      <c r="E957" s="30"/>
      <c r="F957" s="27"/>
      <c r="I957" s="27"/>
    </row>
    <row r="958" spans="5:9" x14ac:dyDescent="0.2">
      <c r="E958" s="30"/>
      <c r="F958" s="27"/>
      <c r="I958" s="27"/>
    </row>
    <row r="959" spans="5:9" x14ac:dyDescent="0.2">
      <c r="E959" s="30"/>
      <c r="F959" s="27"/>
      <c r="I959" s="27"/>
    </row>
    <row r="960" spans="5:9" x14ac:dyDescent="0.2">
      <c r="E960" s="30"/>
      <c r="F960" s="27"/>
      <c r="I960" s="27"/>
    </row>
    <row r="961" spans="5:9" x14ac:dyDescent="0.2">
      <c r="E961" s="30"/>
      <c r="F961" s="27"/>
      <c r="I961" s="27"/>
    </row>
    <row r="962" spans="5:9" x14ac:dyDescent="0.2">
      <c r="E962" s="30"/>
      <c r="F962" s="27"/>
      <c r="I962" s="27"/>
    </row>
    <row r="963" spans="5:9" x14ac:dyDescent="0.2">
      <c r="E963" s="30"/>
      <c r="F963" s="27"/>
      <c r="I963" s="27"/>
    </row>
    <row r="964" spans="5:9" x14ac:dyDescent="0.2">
      <c r="E964" s="30"/>
      <c r="F964" s="27"/>
      <c r="I964" s="27"/>
    </row>
    <row r="965" spans="5:9" x14ac:dyDescent="0.2">
      <c r="E965" s="30"/>
      <c r="F965" s="27"/>
      <c r="I965" s="27"/>
    </row>
    <row r="966" spans="5:9" x14ac:dyDescent="0.2">
      <c r="E966" s="30"/>
      <c r="F966" s="27"/>
      <c r="I966" s="27"/>
    </row>
    <row r="967" spans="5:9" x14ac:dyDescent="0.2">
      <c r="E967" s="30"/>
      <c r="F967" s="27"/>
      <c r="I967" s="27"/>
    </row>
    <row r="968" spans="5:9" x14ac:dyDescent="0.2">
      <c r="E968" s="30"/>
      <c r="F968" s="27"/>
      <c r="I968" s="27"/>
    </row>
    <row r="969" spans="5:9" x14ac:dyDescent="0.2">
      <c r="E969" s="30"/>
      <c r="F969" s="27"/>
      <c r="I969" s="27"/>
    </row>
    <row r="970" spans="5:9" x14ac:dyDescent="0.2">
      <c r="E970" s="30"/>
      <c r="F970" s="27"/>
      <c r="I970" s="27"/>
    </row>
    <row r="971" spans="5:9" x14ac:dyDescent="0.2">
      <c r="E971" s="30"/>
      <c r="F971" s="27"/>
      <c r="I971" s="27"/>
    </row>
    <row r="972" spans="5:9" x14ac:dyDescent="0.2">
      <c r="E972" s="30"/>
      <c r="F972" s="27"/>
      <c r="I972" s="27"/>
    </row>
    <row r="973" spans="5:9" x14ac:dyDescent="0.2">
      <c r="E973" s="30"/>
      <c r="F973" s="27"/>
      <c r="I973" s="27"/>
    </row>
    <row r="974" spans="5:9" x14ac:dyDescent="0.2">
      <c r="E974" s="30"/>
      <c r="F974" s="27"/>
      <c r="I974" s="27"/>
    </row>
    <row r="975" spans="5:9" x14ac:dyDescent="0.2">
      <c r="E975" s="30"/>
      <c r="F975" s="27"/>
      <c r="I975" s="27"/>
    </row>
    <row r="976" spans="5:9" x14ac:dyDescent="0.2">
      <c r="E976" s="30"/>
      <c r="F976" s="27"/>
      <c r="I976" s="27"/>
    </row>
    <row r="977" spans="5:9" x14ac:dyDescent="0.2">
      <c r="E977" s="30"/>
      <c r="F977" s="27"/>
      <c r="I977" s="27"/>
    </row>
    <row r="978" spans="5:9" x14ac:dyDescent="0.2">
      <c r="E978" s="30"/>
      <c r="F978" s="27"/>
      <c r="I978" s="27"/>
    </row>
    <row r="979" spans="5:9" x14ac:dyDescent="0.2">
      <c r="E979" s="30"/>
      <c r="F979" s="27"/>
      <c r="I979" s="27"/>
    </row>
    <row r="980" spans="5:9" x14ac:dyDescent="0.2">
      <c r="E980" s="30"/>
      <c r="F980" s="27"/>
      <c r="I980" s="27"/>
    </row>
    <row r="981" spans="5:9" x14ac:dyDescent="0.2">
      <c r="E981" s="30"/>
      <c r="F981" s="27"/>
      <c r="I981" s="27"/>
    </row>
    <row r="982" spans="5:9" x14ac:dyDescent="0.2">
      <c r="E982" s="30"/>
      <c r="F982" s="27"/>
      <c r="I982" s="27"/>
    </row>
    <row r="983" spans="5:9" x14ac:dyDescent="0.2">
      <c r="E983" s="30"/>
      <c r="F983" s="27"/>
      <c r="I983" s="27"/>
    </row>
    <row r="984" spans="5:9" x14ac:dyDescent="0.2">
      <c r="E984" s="30"/>
      <c r="F984" s="27"/>
      <c r="I984" s="27"/>
    </row>
    <row r="985" spans="5:9" x14ac:dyDescent="0.2">
      <c r="E985" s="30"/>
      <c r="F985" s="27"/>
      <c r="I985" s="27"/>
    </row>
    <row r="986" spans="5:9" x14ac:dyDescent="0.2">
      <c r="E986" s="30"/>
      <c r="F986" s="27"/>
      <c r="I986" s="27"/>
    </row>
    <row r="987" spans="5:9" x14ac:dyDescent="0.2">
      <c r="E987" s="30"/>
      <c r="F987" s="27"/>
      <c r="I987" s="27"/>
    </row>
    <row r="988" spans="5:9" x14ac:dyDescent="0.2">
      <c r="E988" s="30"/>
      <c r="F988" s="27"/>
      <c r="I988" s="27"/>
    </row>
    <row r="989" spans="5:9" x14ac:dyDescent="0.2">
      <c r="E989" s="30"/>
      <c r="F989" s="27"/>
      <c r="I989" s="27"/>
    </row>
    <row r="990" spans="5:9" x14ac:dyDescent="0.2">
      <c r="E990" s="30"/>
      <c r="F990" s="27"/>
      <c r="I990" s="27"/>
    </row>
    <row r="991" spans="5:9" x14ac:dyDescent="0.2">
      <c r="E991" s="30"/>
      <c r="F991" s="27"/>
      <c r="I991" s="27"/>
    </row>
    <row r="992" spans="5:9" x14ac:dyDescent="0.2">
      <c r="E992" s="30"/>
      <c r="F992" s="27"/>
      <c r="I992" s="27"/>
    </row>
    <row r="993" spans="5:9" x14ac:dyDescent="0.2">
      <c r="E993" s="30"/>
      <c r="F993" s="27"/>
      <c r="I993" s="27"/>
    </row>
    <row r="994" spans="5:9" x14ac:dyDescent="0.2">
      <c r="E994" s="30"/>
      <c r="F994" s="27"/>
      <c r="I994" s="27"/>
    </row>
    <row r="995" spans="5:9" x14ac:dyDescent="0.2">
      <c r="E995" s="30"/>
      <c r="F995" s="27"/>
      <c r="I995" s="27"/>
    </row>
    <row r="996" spans="5:9" x14ac:dyDescent="0.2">
      <c r="E996" s="30"/>
      <c r="F996" s="27"/>
      <c r="I996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6"/>
  <sheetViews>
    <sheetView workbookViewId="0"/>
  </sheetViews>
  <sheetFormatPr baseColWidth="10" defaultColWidth="12.5703125" defaultRowHeight="15.75" customHeight="1" x14ac:dyDescent="0.2"/>
  <cols>
    <col min="6" max="6" width="21.85546875" customWidth="1"/>
  </cols>
  <sheetData>
    <row r="1" spans="1:9" x14ac:dyDescent="0.2">
      <c r="A1" s="14" t="s">
        <v>10</v>
      </c>
      <c r="B1" s="14" t="s">
        <v>417</v>
      </c>
      <c r="D1" s="14" t="s">
        <v>418</v>
      </c>
      <c r="E1" s="14" t="s">
        <v>419</v>
      </c>
      <c r="F1" s="14" t="s">
        <v>420</v>
      </c>
      <c r="H1" s="14" t="s">
        <v>421</v>
      </c>
      <c r="I1" s="14" t="s">
        <v>422</v>
      </c>
    </row>
    <row r="2" spans="1:9" x14ac:dyDescent="0.2">
      <c r="A2" s="14" t="s">
        <v>423</v>
      </c>
      <c r="B2" s="14">
        <v>1</v>
      </c>
      <c r="D2" s="14" t="s">
        <v>424</v>
      </c>
      <c r="E2" s="14">
        <v>1</v>
      </c>
      <c r="F2" s="14">
        <v>1</v>
      </c>
      <c r="H2" s="14" t="s">
        <v>425</v>
      </c>
      <c r="I2" s="14">
        <v>4090</v>
      </c>
    </row>
    <row r="3" spans="1:9" x14ac:dyDescent="0.2">
      <c r="A3" s="14" t="s">
        <v>426</v>
      </c>
      <c r="B3" s="14">
        <v>0.95</v>
      </c>
      <c r="D3" s="14" t="s">
        <v>427</v>
      </c>
      <c r="E3" s="14">
        <v>0.9</v>
      </c>
      <c r="F3" s="14">
        <v>1.1000000000000001</v>
      </c>
      <c r="H3" s="14" t="s">
        <v>428</v>
      </c>
      <c r="I3" s="14">
        <v>3885</v>
      </c>
    </row>
    <row r="4" spans="1:9" x14ac:dyDescent="0.2">
      <c r="A4" s="14" t="s">
        <v>429</v>
      </c>
      <c r="B4" s="14">
        <v>0.94</v>
      </c>
      <c r="D4" s="14" t="s">
        <v>430</v>
      </c>
      <c r="E4" s="14">
        <v>0.85</v>
      </c>
      <c r="F4" s="14">
        <v>1.1499999999999999</v>
      </c>
      <c r="H4" s="14" t="s">
        <v>431</v>
      </c>
      <c r="I4" s="14">
        <v>3735</v>
      </c>
    </row>
    <row r="5" spans="1:9" x14ac:dyDescent="0.2">
      <c r="A5" s="14" t="s">
        <v>432</v>
      </c>
      <c r="B5" s="14">
        <v>0.93</v>
      </c>
      <c r="D5" s="14" t="s">
        <v>433</v>
      </c>
      <c r="E5" s="14">
        <v>0.8</v>
      </c>
      <c r="F5" s="14">
        <v>1.25</v>
      </c>
      <c r="H5" s="14" t="s">
        <v>434</v>
      </c>
      <c r="I5" s="14">
        <v>3735</v>
      </c>
    </row>
    <row r="6" spans="1:9" x14ac:dyDescent="0.2">
      <c r="A6" s="14" t="s">
        <v>435</v>
      </c>
      <c r="B6" s="14">
        <v>0.88</v>
      </c>
      <c r="D6" s="14" t="s">
        <v>436</v>
      </c>
      <c r="E6" s="14">
        <v>0.75</v>
      </c>
      <c r="F6" s="14">
        <v>1.35</v>
      </c>
      <c r="H6" s="14" t="s">
        <v>437</v>
      </c>
      <c r="I6" s="14">
        <v>3640</v>
      </c>
    </row>
    <row r="7" spans="1:9" x14ac:dyDescent="0.2">
      <c r="A7" s="14" t="s">
        <v>438</v>
      </c>
      <c r="B7" s="14">
        <v>0.85</v>
      </c>
      <c r="H7" s="14" t="s">
        <v>439</v>
      </c>
      <c r="I7" s="14">
        <v>3640</v>
      </c>
    </row>
    <row r="8" spans="1:9" x14ac:dyDescent="0.2">
      <c r="A8" s="14" t="s">
        <v>440</v>
      </c>
      <c r="B8" s="14">
        <v>0.83</v>
      </c>
      <c r="H8" s="14" t="s">
        <v>441</v>
      </c>
      <c r="I8" s="14">
        <v>3399</v>
      </c>
    </row>
    <row r="9" spans="1:9" x14ac:dyDescent="0.2">
      <c r="A9" s="14" t="s">
        <v>442</v>
      </c>
      <c r="B9" s="14">
        <v>0.76</v>
      </c>
      <c r="H9" s="14" t="s">
        <v>443</v>
      </c>
      <c r="I9" s="14">
        <v>3399</v>
      </c>
    </row>
    <row r="10" spans="1:9" x14ac:dyDescent="0.2">
      <c r="A10" s="14" t="s">
        <v>444</v>
      </c>
      <c r="B10" s="14">
        <v>0.65</v>
      </c>
      <c r="H10" s="14" t="s">
        <v>445</v>
      </c>
      <c r="I10" s="14">
        <v>3399</v>
      </c>
    </row>
    <row r="11" spans="1:9" x14ac:dyDescent="0.2">
      <c r="A11" s="14" t="s">
        <v>446</v>
      </c>
      <c r="B11" s="14">
        <v>1</v>
      </c>
      <c r="H11" s="14" t="s">
        <v>447</v>
      </c>
      <c r="I11" s="14">
        <v>3259</v>
      </c>
    </row>
    <row r="12" spans="1:9" x14ac:dyDescent="0.2">
      <c r="A12" s="14" t="s">
        <v>448</v>
      </c>
      <c r="B12" s="14">
        <v>0.92</v>
      </c>
      <c r="H12" s="14" t="s">
        <v>449</v>
      </c>
      <c r="I12" s="14">
        <v>3200</v>
      </c>
    </row>
    <row r="13" spans="1:9" x14ac:dyDescent="0.2">
      <c r="A13" s="14" t="s">
        <v>450</v>
      </c>
      <c r="B13" s="14">
        <v>0.78</v>
      </c>
      <c r="H13" s="14" t="s">
        <v>451</v>
      </c>
      <c r="I13" s="14">
        <v>2750</v>
      </c>
    </row>
    <row r="14" spans="1:9" x14ac:dyDescent="0.2">
      <c r="A14" s="14" t="s">
        <v>452</v>
      </c>
      <c r="B14" s="14">
        <v>0.75</v>
      </c>
      <c r="H14" s="14" t="s">
        <v>453</v>
      </c>
      <c r="I14" s="14">
        <v>2850</v>
      </c>
    </row>
    <row r="15" spans="1:9" x14ac:dyDescent="0.2">
      <c r="A15" s="14" t="s">
        <v>454</v>
      </c>
      <c r="B15" s="14">
        <v>0.74</v>
      </c>
      <c r="H15" s="14" t="s">
        <v>455</v>
      </c>
      <c r="I15" s="14">
        <v>2850</v>
      </c>
    </row>
    <row r="16" spans="1:9" x14ac:dyDescent="0.2">
      <c r="A16" s="14" t="s">
        <v>456</v>
      </c>
      <c r="B16" s="14">
        <v>0.73</v>
      </c>
      <c r="H16" s="14" t="s">
        <v>457</v>
      </c>
      <c r="I16" s="14">
        <v>2850</v>
      </c>
    </row>
    <row r="17" spans="1:9" x14ac:dyDescent="0.2">
      <c r="A17" s="14" t="s">
        <v>458</v>
      </c>
      <c r="B17" s="14">
        <v>0.7</v>
      </c>
      <c r="H17" s="14" t="s">
        <v>459</v>
      </c>
      <c r="I17" s="14">
        <v>2850</v>
      </c>
    </row>
    <row r="18" spans="1:9" x14ac:dyDescent="0.2">
      <c r="A18" s="14" t="s">
        <v>460</v>
      </c>
      <c r="B18" s="14">
        <v>0.65</v>
      </c>
      <c r="H18" s="14" t="s">
        <v>461</v>
      </c>
      <c r="I18" s="14">
        <v>2640</v>
      </c>
    </row>
    <row r="19" spans="1:9" x14ac:dyDescent="0.2">
      <c r="A19" s="14" t="s">
        <v>462</v>
      </c>
      <c r="B19" s="14">
        <v>0.6</v>
      </c>
      <c r="H19" s="14" t="s">
        <v>463</v>
      </c>
      <c r="I19" s="14">
        <v>2640</v>
      </c>
    </row>
    <row r="20" spans="1:9" x14ac:dyDescent="0.2">
      <c r="A20" s="14" t="s">
        <v>464</v>
      </c>
      <c r="B20" s="14">
        <v>0.55000000000000004</v>
      </c>
      <c r="H20" s="14" t="s">
        <v>465</v>
      </c>
      <c r="I20" s="14">
        <v>2640</v>
      </c>
    </row>
    <row r="21" spans="1:9" x14ac:dyDescent="0.2">
      <c r="H21" s="14" t="s">
        <v>466</v>
      </c>
      <c r="I21" s="14">
        <v>2580</v>
      </c>
    </row>
    <row r="22" spans="1:9" x14ac:dyDescent="0.2">
      <c r="H22" s="14" t="s">
        <v>467</v>
      </c>
      <c r="I22" s="14">
        <v>2580</v>
      </c>
    </row>
    <row r="23" spans="1:9" x14ac:dyDescent="0.2">
      <c r="H23" s="14" t="s">
        <v>468</v>
      </c>
      <c r="I23" s="14">
        <v>2580</v>
      </c>
    </row>
    <row r="24" spans="1:9" x14ac:dyDescent="0.2">
      <c r="H24" s="14" t="s">
        <v>469</v>
      </c>
      <c r="I24" s="14">
        <v>2550</v>
      </c>
    </row>
    <row r="25" spans="1:9" x14ac:dyDescent="0.2">
      <c r="H25" s="14" t="s">
        <v>470</v>
      </c>
      <c r="I25" s="14">
        <v>2527</v>
      </c>
    </row>
    <row r="26" spans="1:9" x14ac:dyDescent="0.2">
      <c r="H26" s="14" t="s">
        <v>471</v>
      </c>
      <c r="I26" s="14">
        <v>2335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Backtest</vt:lpstr>
      <vt:lpstr>Registro</vt:lpstr>
      <vt:lpstr>Coeficientes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Mateo Peralta</cp:lastModifiedBy>
  <dcterms:modified xsi:type="dcterms:W3CDTF">2026-04-02T16:06:32Z</dcterms:modified>
</cp:coreProperties>
</file>